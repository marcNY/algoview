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olas/Projects/algoview/"/>
    </mc:Choice>
  </mc:AlternateContent>
  <bookViews>
    <workbookView xWindow="23240" yWindow="460" windowWidth="27960" windowHeight="28340" tabRatio="500"/>
  </bookViews>
  <sheets>
    <sheet name="Trade1" sheetId="1" r:id="rId1"/>
    <sheet name="Log1" sheetId="2" r:id="rId2"/>
  </sheets>
  <definedNames>
    <definedName name="bump">Trade1!$J$14</definedName>
    <definedName name="CorP">Trade1!$B$3</definedName>
    <definedName name="d_1">Trade1!$D$13</definedName>
    <definedName name="d_1_down">Trade1!$D$16</definedName>
    <definedName name="d_1_up">Trade1!$D$15</definedName>
    <definedName name="Expiry">Trade1!$V$3</definedName>
    <definedName name="K">Trade1!$D$6</definedName>
    <definedName name="long_margin">Trade1!$D$2</definedName>
    <definedName name="Mult">Trade1!$D$4</definedName>
    <definedName name="n_dates">Trade1!$V$5</definedName>
    <definedName name="q">Trade1!$D$10</definedName>
    <definedName name="r_dom">Trade1!$D$9</definedName>
    <definedName name="S_0">Trade1!$D$5</definedName>
    <definedName name="S_0_Down">Trade1!$J$16</definedName>
    <definedName name="S_0_Up">Trade1!$J$15</definedName>
    <definedName name="S_T">Trade1!$V$4</definedName>
    <definedName name="short_margin">Trade1!$D$3</definedName>
    <definedName name="sigma">Trade1!$D$8</definedName>
    <definedName name="sigma_down">Trade1!$J$26</definedName>
    <definedName name="sigma_up">Trade1!$J$25</definedName>
    <definedName name="T">Trade1!$D$7</definedName>
    <definedName name="ValueDate">Trade1!$B$2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3" i="1" l="1"/>
  <c r="Q36" i="1"/>
  <c r="Y36" i="1"/>
  <c r="I36" i="1"/>
  <c r="AE36" i="1"/>
  <c r="M36" i="1"/>
  <c r="B36" i="1"/>
  <c r="C36" i="1"/>
  <c r="Q37" i="1"/>
  <c r="Y37" i="1"/>
  <c r="I37" i="1"/>
  <c r="AE37" i="1"/>
  <c r="M37" i="1"/>
  <c r="B37" i="1"/>
  <c r="C37" i="1"/>
  <c r="F38" i="1"/>
  <c r="Q38" i="1"/>
  <c r="Y38" i="1"/>
  <c r="Z38" i="1"/>
  <c r="AC38" i="1"/>
  <c r="J38" i="1"/>
  <c r="Z37" i="1"/>
  <c r="AC37" i="1"/>
  <c r="J37" i="1"/>
  <c r="I38" i="1"/>
  <c r="L38" i="1"/>
  <c r="S38" i="1"/>
  <c r="AH38" i="1"/>
  <c r="AK37" i="1"/>
  <c r="P37" i="1"/>
  <c r="AJ38" i="1"/>
  <c r="AL38" i="1"/>
  <c r="AE38" i="1"/>
  <c r="M38" i="1"/>
  <c r="B38" i="1"/>
  <c r="C38" i="1"/>
  <c r="F39" i="1"/>
  <c r="Q39" i="1"/>
  <c r="Y39" i="1"/>
  <c r="Z39" i="1"/>
  <c r="AC39" i="1"/>
  <c r="J39" i="1"/>
  <c r="I39" i="1"/>
  <c r="L39" i="1"/>
  <c r="S39" i="1"/>
  <c r="AH39" i="1"/>
  <c r="AK38" i="1"/>
  <c r="P38" i="1"/>
  <c r="AJ39" i="1"/>
  <c r="AL39" i="1"/>
  <c r="AE39" i="1"/>
  <c r="M39" i="1"/>
  <c r="B39" i="1"/>
  <c r="C39" i="1"/>
  <c r="F40" i="1"/>
  <c r="Q40" i="1"/>
  <c r="Y40" i="1"/>
  <c r="Z40" i="1"/>
  <c r="AC40" i="1"/>
  <c r="J40" i="1"/>
  <c r="I40" i="1"/>
  <c r="L40" i="1"/>
  <c r="S40" i="1"/>
  <c r="AH40" i="1"/>
  <c r="AK39" i="1"/>
  <c r="P39" i="1"/>
  <c r="AJ40" i="1"/>
  <c r="AL40" i="1"/>
  <c r="AE40" i="1"/>
  <c r="M40" i="1"/>
  <c r="B40" i="1"/>
  <c r="C40" i="1"/>
  <c r="F41" i="1"/>
  <c r="Q41" i="1"/>
  <c r="Y41" i="1"/>
  <c r="Z41" i="1"/>
  <c r="AC41" i="1"/>
  <c r="J41" i="1"/>
  <c r="I41" i="1"/>
  <c r="L41" i="1"/>
  <c r="S41" i="1"/>
  <c r="AH41" i="1"/>
  <c r="AK40" i="1"/>
  <c r="P40" i="1"/>
  <c r="AJ41" i="1"/>
  <c r="AL41" i="1"/>
  <c r="AE41" i="1"/>
  <c r="M41" i="1"/>
  <c r="B41" i="1"/>
  <c r="C41" i="1"/>
  <c r="F42" i="1"/>
  <c r="Q42" i="1"/>
  <c r="Y42" i="1"/>
  <c r="Z42" i="1"/>
  <c r="AC42" i="1"/>
  <c r="J42" i="1"/>
  <c r="I42" i="1"/>
  <c r="L42" i="1"/>
  <c r="S42" i="1"/>
  <c r="AH42" i="1"/>
  <c r="AK41" i="1"/>
  <c r="P41" i="1"/>
  <c r="AJ42" i="1"/>
  <c r="AL42" i="1"/>
  <c r="AE42" i="1"/>
  <c r="M42" i="1"/>
  <c r="B42" i="1"/>
  <c r="C42" i="1"/>
  <c r="F43" i="1"/>
  <c r="Q43" i="1"/>
  <c r="Y43" i="1"/>
  <c r="Z43" i="1"/>
  <c r="AC43" i="1"/>
  <c r="J43" i="1"/>
  <c r="I43" i="1"/>
  <c r="L43" i="1"/>
  <c r="S43" i="1"/>
  <c r="AH43" i="1"/>
  <c r="AK42" i="1"/>
  <c r="P42" i="1"/>
  <c r="AJ43" i="1"/>
  <c r="AL43" i="1"/>
  <c r="AE43" i="1"/>
  <c r="M43" i="1"/>
  <c r="B43" i="1"/>
  <c r="C43" i="1"/>
  <c r="F44" i="1"/>
  <c r="Q44" i="1"/>
  <c r="Y44" i="1"/>
  <c r="Z44" i="1"/>
  <c r="AC44" i="1"/>
  <c r="J44" i="1"/>
  <c r="I44" i="1"/>
  <c r="L44" i="1"/>
  <c r="S44" i="1"/>
  <c r="AH44" i="1"/>
  <c r="AK43" i="1"/>
  <c r="P43" i="1"/>
  <c r="AJ44" i="1"/>
  <c r="AL44" i="1"/>
  <c r="AE44" i="1"/>
  <c r="M44" i="1"/>
  <c r="B44" i="1"/>
  <c r="C44" i="1"/>
  <c r="F45" i="1"/>
  <c r="Q45" i="1"/>
  <c r="Y45" i="1"/>
  <c r="Z45" i="1"/>
  <c r="AC45" i="1"/>
  <c r="J45" i="1"/>
  <c r="L45" i="1"/>
  <c r="S45" i="1"/>
  <c r="AH45" i="1"/>
  <c r="AK44" i="1"/>
  <c r="P44" i="1"/>
  <c r="AJ45" i="1"/>
  <c r="AL45" i="1"/>
  <c r="AE45" i="1"/>
  <c r="M45" i="1"/>
  <c r="B45" i="1"/>
  <c r="C45" i="1"/>
  <c r="F46" i="1"/>
  <c r="AC46" i="1"/>
  <c r="J46" i="1"/>
  <c r="L46" i="1"/>
  <c r="S46" i="1"/>
  <c r="AH46" i="1"/>
  <c r="AK45" i="1"/>
  <c r="P45" i="1"/>
  <c r="AJ46" i="1"/>
  <c r="AL46" i="1"/>
  <c r="Z36" i="1"/>
  <c r="AC36" i="1"/>
  <c r="J36" i="1"/>
  <c r="G36" i="1"/>
  <c r="L36" i="1"/>
  <c r="S36" i="1"/>
  <c r="AL36" i="1"/>
  <c r="F37" i="1"/>
  <c r="L37" i="1"/>
  <c r="S37" i="1"/>
  <c r="AH37" i="1"/>
  <c r="AK36" i="1"/>
  <c r="P36" i="1"/>
  <c r="AJ37" i="1"/>
  <c r="AL37" i="1"/>
  <c r="AJ47" i="1"/>
  <c r="P46" i="1"/>
  <c r="AH47" i="1"/>
  <c r="AH48" i="1"/>
  <c r="AH49" i="1"/>
  <c r="AH50" i="1"/>
  <c r="AH51" i="1"/>
  <c r="AH52" i="1"/>
  <c r="AH53" i="1"/>
  <c r="AH54" i="1"/>
  <c r="AH55" i="1"/>
  <c r="Q46" i="1"/>
  <c r="Y46" i="1"/>
  <c r="Y47" i="1"/>
  <c r="Y48" i="1"/>
  <c r="Y49" i="1"/>
  <c r="Y50" i="1"/>
  <c r="Y51" i="1"/>
  <c r="Y52" i="1"/>
  <c r="Y53" i="1"/>
  <c r="Y54" i="1"/>
  <c r="Y55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AK46" i="1"/>
  <c r="AK47" i="1"/>
  <c r="AK48" i="1"/>
  <c r="AK49" i="1"/>
  <c r="N36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37" i="1"/>
  <c r="D38" i="1"/>
  <c r="O38" i="1"/>
  <c r="D39" i="1"/>
  <c r="O39" i="1"/>
  <c r="D40" i="1"/>
  <c r="O40" i="1"/>
  <c r="D41" i="1"/>
  <c r="O41" i="1"/>
  <c r="D42" i="1"/>
  <c r="O42" i="1"/>
  <c r="D43" i="1"/>
  <c r="O43" i="1"/>
  <c r="D44" i="1"/>
  <c r="O44" i="1"/>
  <c r="D45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D37" i="1"/>
  <c r="O37" i="1"/>
  <c r="D36" i="1"/>
  <c r="O36" i="1"/>
  <c r="AE46" i="1"/>
  <c r="M46" i="1"/>
  <c r="B46" i="1"/>
  <c r="C46" i="1"/>
  <c r="D46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V7" i="1"/>
  <c r="V6" i="1"/>
  <c r="K36" i="1"/>
  <c r="T36" i="1"/>
  <c r="T37" i="1"/>
  <c r="U37" i="1"/>
  <c r="V36" i="1"/>
  <c r="V37" i="1"/>
  <c r="T38" i="1"/>
  <c r="U38" i="1"/>
  <c r="V38" i="1"/>
  <c r="T39" i="1"/>
  <c r="U39" i="1"/>
  <c r="V39" i="1"/>
  <c r="T40" i="1"/>
  <c r="U40" i="1"/>
  <c r="V40" i="1"/>
  <c r="T41" i="1"/>
  <c r="U41" i="1"/>
  <c r="V41" i="1"/>
  <c r="T42" i="1"/>
  <c r="U42" i="1"/>
  <c r="V42" i="1"/>
  <c r="T43" i="1"/>
  <c r="U43" i="1"/>
  <c r="V43" i="1"/>
  <c r="T44" i="1"/>
  <c r="U44" i="1"/>
  <c r="V44" i="1"/>
  <c r="I45" i="1"/>
  <c r="T45" i="1"/>
  <c r="U45" i="1"/>
  <c r="V45" i="1"/>
  <c r="I46" i="1"/>
  <c r="T46" i="1"/>
  <c r="U46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8" i="1"/>
  <c r="V9" i="1"/>
  <c r="L4" i="1"/>
  <c r="E4" i="1"/>
  <c r="D4" i="1"/>
  <c r="E16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11" i="2"/>
  <c r="E12" i="2"/>
  <c r="F12" i="2"/>
  <c r="E13" i="2"/>
  <c r="F13" i="2"/>
  <c r="E14" i="2"/>
  <c r="F14" i="2"/>
  <c r="E15" i="2"/>
  <c r="F15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12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H9" i="2"/>
  <c r="H8" i="2"/>
  <c r="H35" i="2"/>
  <c r="F9" i="2"/>
  <c r="F8" i="2"/>
  <c r="F10" i="2"/>
  <c r="F35" i="2"/>
  <c r="H10" i="2"/>
  <c r="H11" i="2"/>
  <c r="AD36" i="1"/>
  <c r="H9" i="1"/>
  <c r="AF36" i="1"/>
  <c r="AF37" i="1"/>
  <c r="AF38" i="1"/>
  <c r="AF39" i="1"/>
  <c r="AF40" i="1"/>
  <c r="AF41" i="1"/>
  <c r="AF42" i="1"/>
  <c r="AF43" i="1"/>
  <c r="AF44" i="1"/>
  <c r="AF45" i="1"/>
  <c r="AF46" i="1"/>
  <c r="Q47" i="1"/>
  <c r="I47" i="1"/>
  <c r="AF47" i="1"/>
  <c r="AE47" i="1"/>
  <c r="M47" i="1"/>
  <c r="B47" i="1"/>
  <c r="C47" i="1"/>
  <c r="Q48" i="1"/>
  <c r="I48" i="1"/>
  <c r="AF48" i="1"/>
  <c r="AE48" i="1"/>
  <c r="M48" i="1"/>
  <c r="B48" i="1"/>
  <c r="C48" i="1"/>
  <c r="Q49" i="1"/>
  <c r="I49" i="1"/>
  <c r="AF49" i="1"/>
  <c r="AE49" i="1"/>
  <c r="M49" i="1"/>
  <c r="B49" i="1"/>
  <c r="C49" i="1"/>
  <c r="Q50" i="1"/>
  <c r="I50" i="1"/>
  <c r="AF50" i="1"/>
  <c r="AE50" i="1"/>
  <c r="M50" i="1"/>
  <c r="B50" i="1"/>
  <c r="C50" i="1"/>
  <c r="Q51" i="1"/>
  <c r="I51" i="1"/>
  <c r="AF51" i="1"/>
  <c r="AE51" i="1"/>
  <c r="M51" i="1"/>
  <c r="B51" i="1"/>
  <c r="C51" i="1"/>
  <c r="Q52" i="1"/>
  <c r="I52" i="1"/>
  <c r="AF52" i="1"/>
  <c r="AE52" i="1"/>
  <c r="M52" i="1"/>
  <c r="B52" i="1"/>
  <c r="C52" i="1"/>
  <c r="Q53" i="1"/>
  <c r="I53" i="1"/>
  <c r="AF53" i="1"/>
  <c r="AE53" i="1"/>
  <c r="M53" i="1"/>
  <c r="B53" i="1"/>
  <c r="C53" i="1"/>
  <c r="Q54" i="1"/>
  <c r="I54" i="1"/>
  <c r="AF54" i="1"/>
  <c r="AE54" i="1"/>
  <c r="M54" i="1"/>
  <c r="B54" i="1"/>
  <c r="C54" i="1"/>
  <c r="Q55" i="1"/>
  <c r="I55" i="1"/>
  <c r="AF55" i="1"/>
  <c r="AE55" i="1"/>
  <c r="M55" i="1"/>
  <c r="B55" i="1"/>
  <c r="C55" i="1"/>
  <c r="Q56" i="1"/>
  <c r="I56" i="1"/>
  <c r="AF56" i="1"/>
  <c r="AE56" i="1"/>
  <c r="M56" i="1"/>
  <c r="B56" i="1"/>
  <c r="C56" i="1"/>
  <c r="Q57" i="1"/>
  <c r="I57" i="1"/>
  <c r="AF57" i="1"/>
  <c r="AE57" i="1"/>
  <c r="M57" i="1"/>
  <c r="B57" i="1"/>
  <c r="C57" i="1"/>
  <c r="Q58" i="1"/>
  <c r="I58" i="1"/>
  <c r="AF58" i="1"/>
  <c r="AE58" i="1"/>
  <c r="M58" i="1"/>
  <c r="B58" i="1"/>
  <c r="C58" i="1"/>
  <c r="Q59" i="1"/>
  <c r="I59" i="1"/>
  <c r="AF59" i="1"/>
  <c r="AE59" i="1"/>
  <c r="M59" i="1"/>
  <c r="B59" i="1"/>
  <c r="C59" i="1"/>
  <c r="Q60" i="1"/>
  <c r="I60" i="1"/>
  <c r="AF60" i="1"/>
  <c r="AE60" i="1"/>
  <c r="M60" i="1"/>
  <c r="B60" i="1"/>
  <c r="C60" i="1"/>
  <c r="Q61" i="1"/>
  <c r="I61" i="1"/>
  <c r="AF61" i="1"/>
  <c r="AE61" i="1"/>
  <c r="M61" i="1"/>
  <c r="B61" i="1"/>
  <c r="C61" i="1"/>
  <c r="I62" i="1"/>
  <c r="AF62" i="1"/>
  <c r="AE62" i="1"/>
  <c r="M62" i="1"/>
  <c r="B62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36" i="1"/>
  <c r="AD38" i="1"/>
  <c r="AD39" i="1"/>
  <c r="AD40" i="1"/>
  <c r="AD41" i="1"/>
  <c r="AD42" i="1"/>
  <c r="AD43" i="1"/>
  <c r="AD44" i="1"/>
  <c r="AD45" i="1"/>
  <c r="Z46" i="1"/>
  <c r="AD46" i="1"/>
  <c r="Z47" i="1"/>
  <c r="AC47" i="1"/>
  <c r="AD47" i="1"/>
  <c r="Z48" i="1"/>
  <c r="AC48" i="1"/>
  <c r="AD48" i="1"/>
  <c r="Z49" i="1"/>
  <c r="AC49" i="1"/>
  <c r="AD49" i="1"/>
  <c r="Z50" i="1"/>
  <c r="AC50" i="1"/>
  <c r="AD50" i="1"/>
  <c r="Z51" i="1"/>
  <c r="AC51" i="1"/>
  <c r="AD51" i="1"/>
  <c r="Z52" i="1"/>
  <c r="AC52" i="1"/>
  <c r="AD52" i="1"/>
  <c r="Z53" i="1"/>
  <c r="AC53" i="1"/>
  <c r="AD53" i="1"/>
  <c r="Z54" i="1"/>
  <c r="AC54" i="1"/>
  <c r="AD54" i="1"/>
  <c r="Z55" i="1"/>
  <c r="AC55" i="1"/>
  <c r="AD55" i="1"/>
  <c r="Z56" i="1"/>
  <c r="AC56" i="1"/>
  <c r="AD56" i="1"/>
  <c r="Z57" i="1"/>
  <c r="AC57" i="1"/>
  <c r="AD57" i="1"/>
  <c r="Z58" i="1"/>
  <c r="AC58" i="1"/>
  <c r="AD58" i="1"/>
  <c r="Z59" i="1"/>
  <c r="AC59" i="1"/>
  <c r="AD59" i="1"/>
  <c r="Z60" i="1"/>
  <c r="AC60" i="1"/>
  <c r="AD60" i="1"/>
  <c r="Z61" i="1"/>
  <c r="AC61" i="1"/>
  <c r="AD61" i="1"/>
  <c r="AC62" i="1"/>
  <c r="AD62" i="1"/>
  <c r="AC63" i="1"/>
  <c r="AD63" i="1"/>
  <c r="AE63" i="1"/>
  <c r="AC64" i="1"/>
  <c r="AD64" i="1"/>
  <c r="AE64" i="1"/>
  <c r="AC65" i="1"/>
  <c r="AD65" i="1"/>
  <c r="AE65" i="1"/>
  <c r="AC66" i="1"/>
  <c r="AD66" i="1"/>
  <c r="AE66" i="1"/>
  <c r="AC67" i="1"/>
  <c r="AD67" i="1"/>
  <c r="AE67" i="1"/>
  <c r="AC68" i="1"/>
  <c r="AD68" i="1"/>
  <c r="AE68" i="1"/>
  <c r="AC69" i="1"/>
  <c r="AD69" i="1"/>
  <c r="AE69" i="1"/>
  <c r="AC70" i="1"/>
  <c r="AD70" i="1"/>
  <c r="AE70" i="1"/>
  <c r="AC71" i="1"/>
  <c r="AD71" i="1"/>
  <c r="AE71" i="1"/>
  <c r="AC72" i="1"/>
  <c r="AD72" i="1"/>
  <c r="AE72" i="1"/>
  <c r="AC73" i="1"/>
  <c r="AD73" i="1"/>
  <c r="AE73" i="1"/>
  <c r="AC74" i="1"/>
  <c r="AD74" i="1"/>
  <c r="AE74" i="1"/>
  <c r="AC75" i="1"/>
  <c r="AD75" i="1"/>
  <c r="AE75" i="1"/>
  <c r="AC76" i="1"/>
  <c r="AD76" i="1"/>
  <c r="AE76" i="1"/>
  <c r="AC77" i="1"/>
  <c r="AD77" i="1"/>
  <c r="AE77" i="1"/>
  <c r="AC78" i="1"/>
  <c r="AD78" i="1"/>
  <c r="AE78" i="1"/>
  <c r="AC79" i="1"/>
  <c r="AD79" i="1"/>
  <c r="AE79" i="1"/>
  <c r="AC80" i="1"/>
  <c r="AD80" i="1"/>
  <c r="AE80" i="1"/>
  <c r="AC81" i="1"/>
  <c r="AD81" i="1"/>
  <c r="AE81" i="1"/>
  <c r="AC82" i="1"/>
  <c r="AD82" i="1"/>
  <c r="AE82" i="1"/>
  <c r="AC83" i="1"/>
  <c r="AD83" i="1"/>
  <c r="AE83" i="1"/>
  <c r="AC84" i="1"/>
  <c r="AD84" i="1"/>
  <c r="AE84" i="1"/>
  <c r="AC85" i="1"/>
  <c r="AD85" i="1"/>
  <c r="AE85" i="1"/>
  <c r="AC86" i="1"/>
  <c r="AD86" i="1"/>
  <c r="AE86" i="1"/>
  <c r="AC87" i="1"/>
  <c r="AD87" i="1"/>
  <c r="AE87" i="1"/>
  <c r="AC88" i="1"/>
  <c r="AD88" i="1"/>
  <c r="AE88" i="1"/>
  <c r="AC89" i="1"/>
  <c r="AD89" i="1"/>
  <c r="AE89" i="1"/>
  <c r="AC90" i="1"/>
  <c r="AD90" i="1"/>
  <c r="AE90" i="1"/>
  <c r="AC91" i="1"/>
  <c r="AD91" i="1"/>
  <c r="AE91" i="1"/>
  <c r="AC92" i="1"/>
  <c r="AD92" i="1"/>
  <c r="AE92" i="1"/>
  <c r="AC93" i="1"/>
  <c r="AD93" i="1"/>
  <c r="AE93" i="1"/>
  <c r="AC94" i="1"/>
  <c r="AD94" i="1"/>
  <c r="AE94" i="1"/>
  <c r="AC95" i="1"/>
  <c r="AD95" i="1"/>
  <c r="AE95" i="1"/>
  <c r="AC96" i="1"/>
  <c r="AD96" i="1"/>
  <c r="AE96" i="1"/>
  <c r="AC97" i="1"/>
  <c r="AD97" i="1"/>
  <c r="AE97" i="1"/>
  <c r="AC98" i="1"/>
  <c r="AD98" i="1"/>
  <c r="AE98" i="1"/>
  <c r="AC99" i="1"/>
  <c r="AD99" i="1"/>
  <c r="AE99" i="1"/>
  <c r="AC100" i="1"/>
  <c r="AD100" i="1"/>
  <c r="AE100" i="1"/>
  <c r="AC101" i="1"/>
  <c r="AD101" i="1"/>
  <c r="AE101" i="1"/>
  <c r="AC102" i="1"/>
  <c r="AD102" i="1"/>
  <c r="AE102" i="1"/>
  <c r="AC103" i="1"/>
  <c r="AD103" i="1"/>
  <c r="AE103" i="1"/>
  <c r="AC104" i="1"/>
  <c r="AD104" i="1"/>
  <c r="AE104" i="1"/>
  <c r="AC105" i="1"/>
  <c r="AD105" i="1"/>
  <c r="AE105" i="1"/>
  <c r="AC106" i="1"/>
  <c r="AD106" i="1"/>
  <c r="AE106" i="1"/>
  <c r="AC107" i="1"/>
  <c r="AD107" i="1"/>
  <c r="AE107" i="1"/>
  <c r="AC108" i="1"/>
  <c r="AD108" i="1"/>
  <c r="AE108" i="1"/>
  <c r="AC109" i="1"/>
  <c r="AD109" i="1"/>
  <c r="AE109" i="1"/>
  <c r="AC110" i="1"/>
  <c r="AD110" i="1"/>
  <c r="AE110" i="1"/>
  <c r="AC111" i="1"/>
  <c r="AD111" i="1"/>
  <c r="AE111" i="1"/>
  <c r="AC112" i="1"/>
  <c r="AD112" i="1"/>
  <c r="AE112" i="1"/>
  <c r="AC113" i="1"/>
  <c r="AD113" i="1"/>
  <c r="AE113" i="1"/>
  <c r="AC114" i="1"/>
  <c r="AD114" i="1"/>
  <c r="AE114" i="1"/>
  <c r="AC115" i="1"/>
  <c r="AD115" i="1"/>
  <c r="AE115" i="1"/>
  <c r="AC116" i="1"/>
  <c r="AD116" i="1"/>
  <c r="AE116" i="1"/>
  <c r="AC117" i="1"/>
  <c r="AD117" i="1"/>
  <c r="AE117" i="1"/>
  <c r="AC118" i="1"/>
  <c r="AD118" i="1"/>
  <c r="AE118" i="1"/>
  <c r="AC119" i="1"/>
  <c r="AD119" i="1"/>
  <c r="AE119" i="1"/>
  <c r="AC120" i="1"/>
  <c r="AD120" i="1"/>
  <c r="AE120" i="1"/>
  <c r="AC121" i="1"/>
  <c r="AD121" i="1"/>
  <c r="AE121" i="1"/>
  <c r="AC122" i="1"/>
  <c r="AD122" i="1"/>
  <c r="AE122" i="1"/>
  <c r="AC123" i="1"/>
  <c r="AD123" i="1"/>
  <c r="AE123" i="1"/>
  <c r="AC124" i="1"/>
  <c r="AD124" i="1"/>
  <c r="AE124" i="1"/>
  <c r="AC125" i="1"/>
  <c r="AD125" i="1"/>
  <c r="AE125" i="1"/>
  <c r="AC126" i="1"/>
  <c r="AD126" i="1"/>
  <c r="AE126" i="1"/>
  <c r="AC127" i="1"/>
  <c r="AD127" i="1"/>
  <c r="AE127" i="1"/>
  <c r="AC128" i="1"/>
  <c r="AD128" i="1"/>
  <c r="AE128" i="1"/>
  <c r="AC129" i="1"/>
  <c r="AD129" i="1"/>
  <c r="AE129" i="1"/>
  <c r="AC130" i="1"/>
  <c r="AD130" i="1"/>
  <c r="AE130" i="1"/>
  <c r="AC131" i="1"/>
  <c r="AD131" i="1"/>
  <c r="AE131" i="1"/>
  <c r="AC132" i="1"/>
  <c r="AD132" i="1"/>
  <c r="AE132" i="1"/>
  <c r="AC133" i="1"/>
  <c r="AD133" i="1"/>
  <c r="AE133" i="1"/>
  <c r="AC134" i="1"/>
  <c r="AD134" i="1"/>
  <c r="AE134" i="1"/>
  <c r="AC135" i="1"/>
  <c r="AD135" i="1"/>
  <c r="AE135" i="1"/>
  <c r="AC136" i="1"/>
  <c r="AD136" i="1"/>
  <c r="AE136" i="1"/>
  <c r="AC137" i="1"/>
  <c r="AD137" i="1"/>
  <c r="AE137" i="1"/>
  <c r="AC138" i="1"/>
  <c r="AD138" i="1"/>
  <c r="AE138" i="1"/>
  <c r="AC139" i="1"/>
  <c r="AD139" i="1"/>
  <c r="AE139" i="1"/>
  <c r="AC140" i="1"/>
  <c r="AD140" i="1"/>
  <c r="AE140" i="1"/>
  <c r="AC141" i="1"/>
  <c r="AD141" i="1"/>
  <c r="AE141" i="1"/>
  <c r="AC142" i="1"/>
  <c r="AD142" i="1"/>
  <c r="AE142" i="1"/>
  <c r="AC143" i="1"/>
  <c r="AD143" i="1"/>
  <c r="AE143" i="1"/>
  <c r="AC144" i="1"/>
  <c r="AD144" i="1"/>
  <c r="AE144" i="1"/>
  <c r="AC145" i="1"/>
  <c r="AD145" i="1"/>
  <c r="AE145" i="1"/>
  <c r="AC146" i="1"/>
  <c r="AD146" i="1"/>
  <c r="AE146" i="1"/>
  <c r="AC147" i="1"/>
  <c r="AD147" i="1"/>
  <c r="AE147" i="1"/>
  <c r="AC148" i="1"/>
  <c r="AD148" i="1"/>
  <c r="AE148" i="1"/>
  <c r="AC149" i="1"/>
  <c r="AD149" i="1"/>
  <c r="AE149" i="1"/>
  <c r="AC150" i="1"/>
  <c r="AD150" i="1"/>
  <c r="AE150" i="1"/>
  <c r="AC151" i="1"/>
  <c r="AD151" i="1"/>
  <c r="AE151" i="1"/>
  <c r="AC152" i="1"/>
  <c r="AD152" i="1"/>
  <c r="AE152" i="1"/>
  <c r="AC153" i="1"/>
  <c r="AD153" i="1"/>
  <c r="AE153" i="1"/>
  <c r="AC154" i="1"/>
  <c r="AD154" i="1"/>
  <c r="AE154" i="1"/>
  <c r="AC155" i="1"/>
  <c r="AD155" i="1"/>
  <c r="AE155" i="1"/>
  <c r="AC156" i="1"/>
  <c r="AD156" i="1"/>
  <c r="AE156" i="1"/>
  <c r="AC157" i="1"/>
  <c r="AD157" i="1"/>
  <c r="AE157" i="1"/>
  <c r="AC158" i="1"/>
  <c r="AD158" i="1"/>
  <c r="AE158" i="1"/>
  <c r="AC159" i="1"/>
  <c r="AD159" i="1"/>
  <c r="AE159" i="1"/>
  <c r="AC160" i="1"/>
  <c r="AD160" i="1"/>
  <c r="AE160" i="1"/>
  <c r="AC161" i="1"/>
  <c r="AD161" i="1"/>
  <c r="AE161" i="1"/>
  <c r="AC162" i="1"/>
  <c r="AD162" i="1"/>
  <c r="AE162" i="1"/>
  <c r="AC163" i="1"/>
  <c r="AD163" i="1"/>
  <c r="AE163" i="1"/>
  <c r="AC164" i="1"/>
  <c r="AD164" i="1"/>
  <c r="AE164" i="1"/>
  <c r="AC165" i="1"/>
  <c r="AD165" i="1"/>
  <c r="AE165" i="1"/>
  <c r="AC166" i="1"/>
  <c r="AD166" i="1"/>
  <c r="AE166" i="1"/>
  <c r="AC167" i="1"/>
  <c r="AD167" i="1"/>
  <c r="AE167" i="1"/>
  <c r="AC168" i="1"/>
  <c r="AD168" i="1"/>
  <c r="AE168" i="1"/>
  <c r="AC169" i="1"/>
  <c r="AD169" i="1"/>
  <c r="AE169" i="1"/>
  <c r="AC170" i="1"/>
  <c r="AD170" i="1"/>
  <c r="AE170" i="1"/>
  <c r="AC171" i="1"/>
  <c r="AD171" i="1"/>
  <c r="AE171" i="1"/>
  <c r="AC172" i="1"/>
  <c r="AD172" i="1"/>
  <c r="AE172" i="1"/>
  <c r="AC173" i="1"/>
  <c r="AD173" i="1"/>
  <c r="AE173" i="1"/>
  <c r="AC174" i="1"/>
  <c r="AD174" i="1"/>
  <c r="AE174" i="1"/>
  <c r="AC175" i="1"/>
  <c r="AD175" i="1"/>
  <c r="AE175" i="1"/>
  <c r="AC176" i="1"/>
  <c r="AD176" i="1"/>
  <c r="AE176" i="1"/>
  <c r="AC177" i="1"/>
  <c r="AD177" i="1"/>
  <c r="AE177" i="1"/>
  <c r="AC178" i="1"/>
  <c r="AD178" i="1"/>
  <c r="AE178" i="1"/>
  <c r="AC179" i="1"/>
  <c r="AD179" i="1"/>
  <c r="AE179" i="1"/>
  <c r="AC180" i="1"/>
  <c r="AD180" i="1"/>
  <c r="AE180" i="1"/>
  <c r="AC181" i="1"/>
  <c r="AD181" i="1"/>
  <c r="AE181" i="1"/>
  <c r="AC182" i="1"/>
  <c r="AD182" i="1"/>
  <c r="AE182" i="1"/>
  <c r="AC183" i="1"/>
  <c r="AD183" i="1"/>
  <c r="AE183" i="1"/>
  <c r="AC184" i="1"/>
  <c r="AD184" i="1"/>
  <c r="AE184" i="1"/>
  <c r="AC185" i="1"/>
  <c r="AD185" i="1"/>
  <c r="AE185" i="1"/>
  <c r="AC186" i="1"/>
  <c r="AD186" i="1"/>
  <c r="AE186" i="1"/>
  <c r="AC187" i="1"/>
  <c r="AD187" i="1"/>
  <c r="AE187" i="1"/>
  <c r="AC188" i="1"/>
  <c r="AD188" i="1"/>
  <c r="AE188" i="1"/>
  <c r="AC189" i="1"/>
  <c r="AD189" i="1"/>
  <c r="AE189" i="1"/>
  <c r="AC190" i="1"/>
  <c r="AD190" i="1"/>
  <c r="AE190" i="1"/>
  <c r="AC191" i="1"/>
  <c r="AD191" i="1"/>
  <c r="AE191" i="1"/>
  <c r="AC192" i="1"/>
  <c r="AD192" i="1"/>
  <c r="AE192" i="1"/>
  <c r="AC193" i="1"/>
  <c r="AD193" i="1"/>
  <c r="AE193" i="1"/>
  <c r="AC194" i="1"/>
  <c r="AD194" i="1"/>
  <c r="AE194" i="1"/>
  <c r="AC195" i="1"/>
  <c r="AD195" i="1"/>
  <c r="AE195" i="1"/>
  <c r="AC196" i="1"/>
  <c r="AD196" i="1"/>
  <c r="AE196" i="1"/>
  <c r="AC197" i="1"/>
  <c r="AD197" i="1"/>
  <c r="AE197" i="1"/>
  <c r="AC198" i="1"/>
  <c r="AD198" i="1"/>
  <c r="AE198" i="1"/>
  <c r="AC199" i="1"/>
  <c r="AD199" i="1"/>
  <c r="AE199" i="1"/>
  <c r="AC200" i="1"/>
  <c r="AD200" i="1"/>
  <c r="AE200" i="1"/>
  <c r="AC201" i="1"/>
  <c r="AD201" i="1"/>
  <c r="AE201" i="1"/>
  <c r="AC202" i="1"/>
  <c r="AD202" i="1"/>
  <c r="AE202" i="1"/>
  <c r="AC203" i="1"/>
  <c r="AD203" i="1"/>
  <c r="AE203" i="1"/>
  <c r="AC204" i="1"/>
  <c r="AD204" i="1"/>
  <c r="AE204" i="1"/>
  <c r="AC205" i="1"/>
  <c r="AD205" i="1"/>
  <c r="AE205" i="1"/>
  <c r="AC206" i="1"/>
  <c r="AD206" i="1"/>
  <c r="AE206" i="1"/>
  <c r="AC207" i="1"/>
  <c r="AD207" i="1"/>
  <c r="AE207" i="1"/>
  <c r="AC208" i="1"/>
  <c r="AD208" i="1"/>
  <c r="AE208" i="1"/>
  <c r="AC209" i="1"/>
  <c r="AD209" i="1"/>
  <c r="AE209" i="1"/>
  <c r="AC210" i="1"/>
  <c r="AD210" i="1"/>
  <c r="AE210" i="1"/>
  <c r="AC211" i="1"/>
  <c r="AD211" i="1"/>
  <c r="AE211" i="1"/>
  <c r="AC212" i="1"/>
  <c r="AD212" i="1"/>
  <c r="AE212" i="1"/>
  <c r="AC213" i="1"/>
  <c r="AD213" i="1"/>
  <c r="AE213" i="1"/>
  <c r="AC214" i="1"/>
  <c r="AD214" i="1"/>
  <c r="AE214" i="1"/>
  <c r="AC215" i="1"/>
  <c r="AD215" i="1"/>
  <c r="AE215" i="1"/>
  <c r="AC216" i="1"/>
  <c r="AD216" i="1"/>
  <c r="AE216" i="1"/>
  <c r="AC217" i="1"/>
  <c r="AD217" i="1"/>
  <c r="AE217" i="1"/>
  <c r="AC218" i="1"/>
  <c r="AD218" i="1"/>
  <c r="AE218" i="1"/>
  <c r="AC219" i="1"/>
  <c r="AD219" i="1"/>
  <c r="AE219" i="1"/>
  <c r="AC220" i="1"/>
  <c r="AD220" i="1"/>
  <c r="AE220" i="1"/>
  <c r="AC221" i="1"/>
  <c r="AD221" i="1"/>
  <c r="AE221" i="1"/>
  <c r="AC222" i="1"/>
  <c r="AD222" i="1"/>
  <c r="AE222" i="1"/>
  <c r="AC223" i="1"/>
  <c r="AD223" i="1"/>
  <c r="AE223" i="1"/>
  <c r="AC224" i="1"/>
  <c r="AD224" i="1"/>
  <c r="AE224" i="1"/>
  <c r="AC225" i="1"/>
  <c r="AD225" i="1"/>
  <c r="AE225" i="1"/>
  <c r="AC226" i="1"/>
  <c r="AD226" i="1"/>
  <c r="AE226" i="1"/>
  <c r="AC227" i="1"/>
  <c r="AD227" i="1"/>
  <c r="AE227" i="1"/>
  <c r="AC228" i="1"/>
  <c r="AD228" i="1"/>
  <c r="AE228" i="1"/>
  <c r="AC229" i="1"/>
  <c r="AD229" i="1"/>
  <c r="AE229" i="1"/>
  <c r="AC230" i="1"/>
  <c r="AD230" i="1"/>
  <c r="AE230" i="1"/>
  <c r="AC231" i="1"/>
  <c r="AD231" i="1"/>
  <c r="AE231" i="1"/>
  <c r="AC232" i="1"/>
  <c r="AD232" i="1"/>
  <c r="AE232" i="1"/>
  <c r="AC233" i="1"/>
  <c r="AD233" i="1"/>
  <c r="AE233" i="1"/>
  <c r="AC234" i="1"/>
  <c r="AD234" i="1"/>
  <c r="AE234" i="1"/>
  <c r="AC235" i="1"/>
  <c r="AD235" i="1"/>
  <c r="AE235" i="1"/>
  <c r="AC236" i="1"/>
  <c r="AD236" i="1"/>
  <c r="AE236" i="1"/>
  <c r="AC237" i="1"/>
  <c r="AD237" i="1"/>
  <c r="AE237" i="1"/>
  <c r="AC238" i="1"/>
  <c r="AD238" i="1"/>
  <c r="AE238" i="1"/>
  <c r="AC239" i="1"/>
  <c r="AD239" i="1"/>
  <c r="AE239" i="1"/>
  <c r="AC240" i="1"/>
  <c r="AD240" i="1"/>
  <c r="AE240" i="1"/>
  <c r="AC241" i="1"/>
  <c r="AD241" i="1"/>
  <c r="AE241" i="1"/>
  <c r="AC242" i="1"/>
  <c r="AD242" i="1"/>
  <c r="AE242" i="1"/>
  <c r="AC243" i="1"/>
  <c r="AD243" i="1"/>
  <c r="AE243" i="1"/>
  <c r="AC244" i="1"/>
  <c r="AD244" i="1"/>
  <c r="AE244" i="1"/>
  <c r="AC245" i="1"/>
  <c r="AD245" i="1"/>
  <c r="AE245" i="1"/>
  <c r="AC246" i="1"/>
  <c r="AD246" i="1"/>
  <c r="AE246" i="1"/>
  <c r="AC247" i="1"/>
  <c r="AD247" i="1"/>
  <c r="AE247" i="1"/>
  <c r="AC248" i="1"/>
  <c r="AD248" i="1"/>
  <c r="AE248" i="1"/>
  <c r="AC249" i="1"/>
  <c r="AD249" i="1"/>
  <c r="AE249" i="1"/>
  <c r="AC250" i="1"/>
  <c r="AD250" i="1"/>
  <c r="AE250" i="1"/>
  <c r="AC251" i="1"/>
  <c r="AD251" i="1"/>
  <c r="AE251" i="1"/>
  <c r="AC252" i="1"/>
  <c r="AD252" i="1"/>
  <c r="AE252" i="1"/>
  <c r="AC253" i="1"/>
  <c r="AD253" i="1"/>
  <c r="AE253" i="1"/>
  <c r="AC254" i="1"/>
  <c r="AD254" i="1"/>
  <c r="AE254" i="1"/>
  <c r="AC255" i="1"/>
  <c r="AD255" i="1"/>
  <c r="AE255" i="1"/>
  <c r="AC256" i="1"/>
  <c r="AD256" i="1"/>
  <c r="AE256" i="1"/>
  <c r="AC257" i="1"/>
  <c r="AD257" i="1"/>
  <c r="AE257" i="1"/>
  <c r="AC258" i="1"/>
  <c r="AD258" i="1"/>
  <c r="AE258" i="1"/>
  <c r="AC259" i="1"/>
  <c r="AD259" i="1"/>
  <c r="AE259" i="1"/>
  <c r="AC260" i="1"/>
  <c r="AD260" i="1"/>
  <c r="AE260" i="1"/>
  <c r="AC261" i="1"/>
  <c r="AD261" i="1"/>
  <c r="AE261" i="1"/>
  <c r="AC262" i="1"/>
  <c r="AD262" i="1"/>
  <c r="AE262" i="1"/>
  <c r="AC263" i="1"/>
  <c r="AD263" i="1"/>
  <c r="AE263" i="1"/>
  <c r="AC264" i="1"/>
  <c r="AD264" i="1"/>
  <c r="AE264" i="1"/>
  <c r="AC265" i="1"/>
  <c r="AD265" i="1"/>
  <c r="AE265" i="1"/>
  <c r="AC266" i="1"/>
  <c r="AD266" i="1"/>
  <c r="AE266" i="1"/>
  <c r="AC267" i="1"/>
  <c r="AD267" i="1"/>
  <c r="AE267" i="1"/>
  <c r="AC268" i="1"/>
  <c r="AD268" i="1"/>
  <c r="AE268" i="1"/>
  <c r="AC269" i="1"/>
  <c r="AD269" i="1"/>
  <c r="AE269" i="1"/>
  <c r="AC270" i="1"/>
  <c r="AD270" i="1"/>
  <c r="AE270" i="1"/>
  <c r="AC271" i="1"/>
  <c r="AD271" i="1"/>
  <c r="AE271" i="1"/>
  <c r="AC272" i="1"/>
  <c r="AD272" i="1"/>
  <c r="AE272" i="1"/>
  <c r="AC273" i="1"/>
  <c r="AD273" i="1"/>
  <c r="AE273" i="1"/>
  <c r="AC274" i="1"/>
  <c r="AD274" i="1"/>
  <c r="AE274" i="1"/>
  <c r="AC275" i="1"/>
  <c r="AD275" i="1"/>
  <c r="AE275" i="1"/>
  <c r="AC276" i="1"/>
  <c r="AD276" i="1"/>
  <c r="AE276" i="1"/>
  <c r="AC277" i="1"/>
  <c r="AD277" i="1"/>
  <c r="AE277" i="1"/>
  <c r="AC278" i="1"/>
  <c r="AD278" i="1"/>
  <c r="AE278" i="1"/>
  <c r="AC279" i="1"/>
  <c r="AD279" i="1"/>
  <c r="AE279" i="1"/>
  <c r="AC280" i="1"/>
  <c r="AD280" i="1"/>
  <c r="AE280" i="1"/>
  <c r="AC281" i="1"/>
  <c r="AD281" i="1"/>
  <c r="AE281" i="1"/>
  <c r="AC282" i="1"/>
  <c r="AD282" i="1"/>
  <c r="AE282" i="1"/>
  <c r="AC283" i="1"/>
  <c r="AD283" i="1"/>
  <c r="AE283" i="1"/>
  <c r="AC284" i="1"/>
  <c r="AD284" i="1"/>
  <c r="AE284" i="1"/>
  <c r="AC285" i="1"/>
  <c r="AD285" i="1"/>
  <c r="AE285" i="1"/>
  <c r="AC286" i="1"/>
  <c r="AD286" i="1"/>
  <c r="AE286" i="1"/>
  <c r="AC287" i="1"/>
  <c r="AD287" i="1"/>
  <c r="AE287" i="1"/>
  <c r="AC288" i="1"/>
  <c r="AD288" i="1"/>
  <c r="AE288" i="1"/>
  <c r="AC289" i="1"/>
  <c r="AD289" i="1"/>
  <c r="AE289" i="1"/>
  <c r="AC290" i="1"/>
  <c r="AD290" i="1"/>
  <c r="AE290" i="1"/>
  <c r="AC291" i="1"/>
  <c r="AD291" i="1"/>
  <c r="AE291" i="1"/>
  <c r="AC292" i="1"/>
  <c r="AD292" i="1"/>
  <c r="AE292" i="1"/>
  <c r="AC293" i="1"/>
  <c r="AD293" i="1"/>
  <c r="AE293" i="1"/>
  <c r="AC294" i="1"/>
  <c r="AD294" i="1"/>
  <c r="AE294" i="1"/>
  <c r="AC295" i="1"/>
  <c r="AD295" i="1"/>
  <c r="AE295" i="1"/>
  <c r="AC296" i="1"/>
  <c r="AD296" i="1"/>
  <c r="AE296" i="1"/>
  <c r="AC297" i="1"/>
  <c r="AD297" i="1"/>
  <c r="AE297" i="1"/>
  <c r="AC298" i="1"/>
  <c r="AD298" i="1"/>
  <c r="AE298" i="1"/>
  <c r="AC299" i="1"/>
  <c r="AD299" i="1"/>
  <c r="AE299" i="1"/>
  <c r="AC300" i="1"/>
  <c r="AD300" i="1"/>
  <c r="AE300" i="1"/>
  <c r="AC301" i="1"/>
  <c r="AD301" i="1"/>
  <c r="AE301" i="1"/>
  <c r="AC302" i="1"/>
  <c r="AD302" i="1"/>
  <c r="AE302" i="1"/>
  <c r="AC303" i="1"/>
  <c r="AD303" i="1"/>
  <c r="AE303" i="1"/>
  <c r="AC304" i="1"/>
  <c r="AD304" i="1"/>
  <c r="AE304" i="1"/>
  <c r="AC305" i="1"/>
  <c r="AD305" i="1"/>
  <c r="AE305" i="1"/>
  <c r="AC306" i="1"/>
  <c r="AD306" i="1"/>
  <c r="AE306" i="1"/>
  <c r="AC307" i="1"/>
  <c r="AD307" i="1"/>
  <c r="AE307" i="1"/>
  <c r="AC308" i="1"/>
  <c r="AD308" i="1"/>
  <c r="AE308" i="1"/>
  <c r="AC309" i="1"/>
  <c r="AD309" i="1"/>
  <c r="AE309" i="1"/>
  <c r="AC310" i="1"/>
  <c r="AD310" i="1"/>
  <c r="AE310" i="1"/>
  <c r="AC311" i="1"/>
  <c r="AD311" i="1"/>
  <c r="AE311" i="1"/>
  <c r="AC312" i="1"/>
  <c r="AD312" i="1"/>
  <c r="AE312" i="1"/>
  <c r="AC313" i="1"/>
  <c r="AD313" i="1"/>
  <c r="AE313" i="1"/>
  <c r="AC314" i="1"/>
  <c r="AD314" i="1"/>
  <c r="AE314" i="1"/>
  <c r="AC315" i="1"/>
  <c r="AD315" i="1"/>
  <c r="AE315" i="1"/>
  <c r="AC316" i="1"/>
  <c r="AD316" i="1"/>
  <c r="AE316" i="1"/>
  <c r="AC317" i="1"/>
  <c r="AD317" i="1"/>
  <c r="AE317" i="1"/>
  <c r="AC318" i="1"/>
  <c r="AD318" i="1"/>
  <c r="AE318" i="1"/>
  <c r="AC319" i="1"/>
  <c r="AD319" i="1"/>
  <c r="AE319" i="1"/>
  <c r="AC320" i="1"/>
  <c r="AD320" i="1"/>
  <c r="AE320" i="1"/>
  <c r="AC321" i="1"/>
  <c r="AD321" i="1"/>
  <c r="AE321" i="1"/>
  <c r="AC322" i="1"/>
  <c r="AD322" i="1"/>
  <c r="AE322" i="1"/>
  <c r="AC323" i="1"/>
  <c r="AD323" i="1"/>
  <c r="AE323" i="1"/>
  <c r="AC324" i="1"/>
  <c r="AD324" i="1"/>
  <c r="AE324" i="1"/>
  <c r="AC325" i="1"/>
  <c r="AD325" i="1"/>
  <c r="AE325" i="1"/>
  <c r="AC326" i="1"/>
  <c r="AD326" i="1"/>
  <c r="AE326" i="1"/>
  <c r="AC327" i="1"/>
  <c r="AD327" i="1"/>
  <c r="AE327" i="1"/>
  <c r="AC328" i="1"/>
  <c r="AD328" i="1"/>
  <c r="AE328" i="1"/>
  <c r="AC329" i="1"/>
  <c r="AD329" i="1"/>
  <c r="AE329" i="1"/>
  <c r="AC330" i="1"/>
  <c r="AD330" i="1"/>
  <c r="AE330" i="1"/>
  <c r="AC331" i="1"/>
  <c r="AD331" i="1"/>
  <c r="AE331" i="1"/>
  <c r="AC332" i="1"/>
  <c r="AD332" i="1"/>
  <c r="AE332" i="1"/>
  <c r="AC333" i="1"/>
  <c r="AD333" i="1"/>
  <c r="AE333" i="1"/>
  <c r="AC334" i="1"/>
  <c r="AD334" i="1"/>
  <c r="AE334" i="1"/>
  <c r="AC335" i="1"/>
  <c r="AD335" i="1"/>
  <c r="AE335" i="1"/>
  <c r="AC336" i="1"/>
  <c r="AD336" i="1"/>
  <c r="AE336" i="1"/>
  <c r="AC337" i="1"/>
  <c r="AD337" i="1"/>
  <c r="AE337" i="1"/>
  <c r="AC338" i="1"/>
  <c r="AD338" i="1"/>
  <c r="AE338" i="1"/>
  <c r="AC339" i="1"/>
  <c r="AD339" i="1"/>
  <c r="AE339" i="1"/>
  <c r="AC340" i="1"/>
  <c r="AD340" i="1"/>
  <c r="AE340" i="1"/>
  <c r="AC341" i="1"/>
  <c r="AD341" i="1"/>
  <c r="AE341" i="1"/>
  <c r="AC342" i="1"/>
  <c r="AD342" i="1"/>
  <c r="AE342" i="1"/>
  <c r="AC343" i="1"/>
  <c r="AD343" i="1"/>
  <c r="AE343" i="1"/>
  <c r="AC344" i="1"/>
  <c r="AD344" i="1"/>
  <c r="AE344" i="1"/>
  <c r="AC345" i="1"/>
  <c r="AD345" i="1"/>
  <c r="AE345" i="1"/>
  <c r="AC346" i="1"/>
  <c r="AD346" i="1"/>
  <c r="AE346" i="1"/>
  <c r="AC347" i="1"/>
  <c r="AD347" i="1"/>
  <c r="AE347" i="1"/>
  <c r="AC348" i="1"/>
  <c r="AD348" i="1"/>
  <c r="AE348" i="1"/>
  <c r="AC349" i="1"/>
  <c r="AD349" i="1"/>
  <c r="AE349" i="1"/>
  <c r="AC350" i="1"/>
  <c r="AD350" i="1"/>
  <c r="AE350" i="1"/>
  <c r="AC351" i="1"/>
  <c r="AD351" i="1"/>
  <c r="AE351" i="1"/>
  <c r="AC352" i="1"/>
  <c r="AD352" i="1"/>
  <c r="AE352" i="1"/>
  <c r="AC353" i="1"/>
  <c r="AD353" i="1"/>
  <c r="AE353" i="1"/>
  <c r="AC354" i="1"/>
  <c r="AD354" i="1"/>
  <c r="AE354" i="1"/>
  <c r="AC355" i="1"/>
  <c r="AD355" i="1"/>
  <c r="AE355" i="1"/>
  <c r="AC356" i="1"/>
  <c r="AD356" i="1"/>
  <c r="AE356" i="1"/>
  <c r="AC357" i="1"/>
  <c r="AD357" i="1"/>
  <c r="AE357" i="1"/>
  <c r="AC358" i="1"/>
  <c r="AD358" i="1"/>
  <c r="AE358" i="1"/>
  <c r="AC359" i="1"/>
  <c r="AD359" i="1"/>
  <c r="AE359" i="1"/>
  <c r="AC360" i="1"/>
  <c r="AD360" i="1"/>
  <c r="AE360" i="1"/>
  <c r="AC361" i="1"/>
  <c r="AD361" i="1"/>
  <c r="AE361" i="1"/>
  <c r="AC362" i="1"/>
  <c r="AD362" i="1"/>
  <c r="AE362" i="1"/>
  <c r="AC363" i="1"/>
  <c r="AD363" i="1"/>
  <c r="AE363" i="1"/>
  <c r="AC364" i="1"/>
  <c r="AD364" i="1"/>
  <c r="AE364" i="1"/>
  <c r="AC365" i="1"/>
  <c r="AD365" i="1"/>
  <c r="AE365" i="1"/>
  <c r="AC366" i="1"/>
  <c r="AD366" i="1"/>
  <c r="AE366" i="1"/>
  <c r="AC367" i="1"/>
  <c r="AD367" i="1"/>
  <c r="AE367" i="1"/>
  <c r="AC368" i="1"/>
  <c r="AD368" i="1"/>
  <c r="AE368" i="1"/>
  <c r="AC369" i="1"/>
  <c r="AD369" i="1"/>
  <c r="AE369" i="1"/>
  <c r="AC370" i="1"/>
  <c r="AD370" i="1"/>
  <c r="AE370" i="1"/>
  <c r="AC371" i="1"/>
  <c r="AD371" i="1"/>
  <c r="AE371" i="1"/>
  <c r="AC372" i="1"/>
  <c r="AD372" i="1"/>
  <c r="AE372" i="1"/>
  <c r="AC373" i="1"/>
  <c r="AD373" i="1"/>
  <c r="AE373" i="1"/>
  <c r="AC374" i="1"/>
  <c r="AD374" i="1"/>
  <c r="AE374" i="1"/>
  <c r="AC375" i="1"/>
  <c r="AD375" i="1"/>
  <c r="AE375" i="1"/>
  <c r="AC376" i="1"/>
  <c r="AD376" i="1"/>
  <c r="AE376" i="1"/>
  <c r="AC377" i="1"/>
  <c r="AD377" i="1"/>
  <c r="AE377" i="1"/>
  <c r="AC378" i="1"/>
  <c r="AD378" i="1"/>
  <c r="AE378" i="1"/>
  <c r="AC379" i="1"/>
  <c r="AD379" i="1"/>
  <c r="AE379" i="1"/>
  <c r="AC380" i="1"/>
  <c r="AD380" i="1"/>
  <c r="AE380" i="1"/>
  <c r="AC381" i="1"/>
  <c r="AD381" i="1"/>
  <c r="AE381" i="1"/>
  <c r="AC382" i="1"/>
  <c r="AD382" i="1"/>
  <c r="AE382" i="1"/>
  <c r="AC383" i="1"/>
  <c r="AD383" i="1"/>
  <c r="AE383" i="1"/>
  <c r="AC384" i="1"/>
  <c r="AD384" i="1"/>
  <c r="AE384" i="1"/>
  <c r="AC385" i="1"/>
  <c r="AD385" i="1"/>
  <c r="AE385" i="1"/>
  <c r="AC386" i="1"/>
  <c r="AD386" i="1"/>
  <c r="AE386" i="1"/>
  <c r="AC387" i="1"/>
  <c r="AD387" i="1"/>
  <c r="AE387" i="1"/>
  <c r="AC388" i="1"/>
  <c r="AD388" i="1"/>
  <c r="AE388" i="1"/>
  <c r="AC389" i="1"/>
  <c r="AD389" i="1"/>
  <c r="AE389" i="1"/>
  <c r="AC390" i="1"/>
  <c r="AD390" i="1"/>
  <c r="AE390" i="1"/>
  <c r="AC391" i="1"/>
  <c r="AD391" i="1"/>
  <c r="AE391" i="1"/>
  <c r="AC392" i="1"/>
  <c r="AD392" i="1"/>
  <c r="AE392" i="1"/>
  <c r="AC393" i="1"/>
  <c r="AD393" i="1"/>
  <c r="AE393" i="1"/>
  <c r="AC394" i="1"/>
  <c r="AD394" i="1"/>
  <c r="AE394" i="1"/>
  <c r="AC395" i="1"/>
  <c r="AD395" i="1"/>
  <c r="AE395" i="1"/>
  <c r="AC396" i="1"/>
  <c r="AD396" i="1"/>
  <c r="AE396" i="1"/>
  <c r="AC397" i="1"/>
  <c r="AD397" i="1"/>
  <c r="AE397" i="1"/>
  <c r="AC398" i="1"/>
  <c r="AD398" i="1"/>
  <c r="AE398" i="1"/>
  <c r="AC399" i="1"/>
  <c r="AD399" i="1"/>
  <c r="AE399" i="1"/>
  <c r="AC400" i="1"/>
  <c r="AD400" i="1"/>
  <c r="AE400" i="1"/>
  <c r="AC401" i="1"/>
  <c r="AD401" i="1"/>
  <c r="AE401" i="1"/>
  <c r="AC402" i="1"/>
  <c r="AD402" i="1"/>
  <c r="AE402" i="1"/>
  <c r="AC403" i="1"/>
  <c r="AD403" i="1"/>
  <c r="AE403" i="1"/>
  <c r="AC404" i="1"/>
  <c r="AD404" i="1"/>
  <c r="AE404" i="1"/>
  <c r="AC405" i="1"/>
  <c r="AD405" i="1"/>
  <c r="AE405" i="1"/>
  <c r="AC406" i="1"/>
  <c r="AD406" i="1"/>
  <c r="AE406" i="1"/>
  <c r="AC407" i="1"/>
  <c r="AD407" i="1"/>
  <c r="AE407" i="1"/>
  <c r="AC408" i="1"/>
  <c r="AD408" i="1"/>
  <c r="AE408" i="1"/>
  <c r="AC409" i="1"/>
  <c r="AD409" i="1"/>
  <c r="AE409" i="1"/>
  <c r="AC410" i="1"/>
  <c r="AD410" i="1"/>
  <c r="AE410" i="1"/>
  <c r="AC411" i="1"/>
  <c r="AD411" i="1"/>
  <c r="AE411" i="1"/>
  <c r="AC412" i="1"/>
  <c r="AD412" i="1"/>
  <c r="AE412" i="1"/>
  <c r="AC413" i="1"/>
  <c r="AD413" i="1"/>
  <c r="AE413" i="1"/>
  <c r="AC414" i="1"/>
  <c r="AD414" i="1"/>
  <c r="AE414" i="1"/>
  <c r="AC415" i="1"/>
  <c r="AD415" i="1"/>
  <c r="AE415" i="1"/>
  <c r="AC416" i="1"/>
  <c r="AD416" i="1"/>
  <c r="AE416" i="1"/>
  <c r="AC417" i="1"/>
  <c r="AD417" i="1"/>
  <c r="AE417" i="1"/>
  <c r="AC418" i="1"/>
  <c r="AD418" i="1"/>
  <c r="AE418" i="1"/>
  <c r="AC419" i="1"/>
  <c r="AD419" i="1"/>
  <c r="AE419" i="1"/>
  <c r="AC420" i="1"/>
  <c r="AD420" i="1"/>
  <c r="AE420" i="1"/>
  <c r="AC421" i="1"/>
  <c r="AD421" i="1"/>
  <c r="AE421" i="1"/>
  <c r="AC422" i="1"/>
  <c r="AD422" i="1"/>
  <c r="AE422" i="1"/>
  <c r="AC423" i="1"/>
  <c r="AD423" i="1"/>
  <c r="AE423" i="1"/>
  <c r="AC424" i="1"/>
  <c r="AD424" i="1"/>
  <c r="AE424" i="1"/>
  <c r="AC425" i="1"/>
  <c r="AD425" i="1"/>
  <c r="AE425" i="1"/>
  <c r="AC426" i="1"/>
  <c r="AD426" i="1"/>
  <c r="AE426" i="1"/>
  <c r="AC427" i="1"/>
  <c r="AD427" i="1"/>
  <c r="AE427" i="1"/>
  <c r="AC428" i="1"/>
  <c r="AD428" i="1"/>
  <c r="AE428" i="1"/>
  <c r="AC429" i="1"/>
  <c r="AD429" i="1"/>
  <c r="AE429" i="1"/>
  <c r="AC430" i="1"/>
  <c r="AD430" i="1"/>
  <c r="AE430" i="1"/>
  <c r="AC431" i="1"/>
  <c r="AD431" i="1"/>
  <c r="AE431" i="1"/>
  <c r="AC432" i="1"/>
  <c r="AD432" i="1"/>
  <c r="AE432" i="1"/>
  <c r="AC433" i="1"/>
  <c r="AD433" i="1"/>
  <c r="AE433" i="1"/>
  <c r="AC434" i="1"/>
  <c r="AD434" i="1"/>
  <c r="AE434" i="1"/>
  <c r="AC435" i="1"/>
  <c r="AD435" i="1"/>
  <c r="AE435" i="1"/>
  <c r="AC436" i="1"/>
  <c r="AD436" i="1"/>
  <c r="AE436" i="1"/>
  <c r="AC437" i="1"/>
  <c r="AD437" i="1"/>
  <c r="AE437" i="1"/>
  <c r="AC438" i="1"/>
  <c r="AD438" i="1"/>
  <c r="AE438" i="1"/>
  <c r="AC439" i="1"/>
  <c r="AD439" i="1"/>
  <c r="AE439" i="1"/>
  <c r="AC440" i="1"/>
  <c r="AD440" i="1"/>
  <c r="AE440" i="1"/>
  <c r="AC441" i="1"/>
  <c r="AD441" i="1"/>
  <c r="AE441" i="1"/>
  <c r="AC442" i="1"/>
  <c r="AD442" i="1"/>
  <c r="AE442" i="1"/>
  <c r="AC443" i="1"/>
  <c r="AD443" i="1"/>
  <c r="AE443" i="1"/>
  <c r="AC444" i="1"/>
  <c r="AD444" i="1"/>
  <c r="AE444" i="1"/>
  <c r="AC445" i="1"/>
  <c r="AD445" i="1"/>
  <c r="AE445" i="1"/>
  <c r="AC446" i="1"/>
  <c r="AD446" i="1"/>
  <c r="AE446" i="1"/>
  <c r="AC447" i="1"/>
  <c r="AD447" i="1"/>
  <c r="AE447" i="1"/>
  <c r="AC448" i="1"/>
  <c r="AD448" i="1"/>
  <c r="AE448" i="1"/>
  <c r="AC449" i="1"/>
  <c r="AD449" i="1"/>
  <c r="AE449" i="1"/>
  <c r="AC450" i="1"/>
  <c r="AD450" i="1"/>
  <c r="AE450" i="1"/>
  <c r="AC451" i="1"/>
  <c r="AD451" i="1"/>
  <c r="AE451" i="1"/>
  <c r="AC452" i="1"/>
  <c r="AD452" i="1"/>
  <c r="AE452" i="1"/>
  <c r="AC453" i="1"/>
  <c r="AD453" i="1"/>
  <c r="AE453" i="1"/>
  <c r="AC454" i="1"/>
  <c r="AD454" i="1"/>
  <c r="AE454" i="1"/>
  <c r="AC455" i="1"/>
  <c r="AD455" i="1"/>
  <c r="AE455" i="1"/>
  <c r="AC456" i="1"/>
  <c r="AD456" i="1"/>
  <c r="AE456" i="1"/>
  <c r="AC457" i="1"/>
  <c r="AD457" i="1"/>
  <c r="AE457" i="1"/>
  <c r="AC458" i="1"/>
  <c r="AD458" i="1"/>
  <c r="AE458" i="1"/>
  <c r="AC459" i="1"/>
  <c r="AD459" i="1"/>
  <c r="AE459" i="1"/>
  <c r="AC460" i="1"/>
  <c r="AD460" i="1"/>
  <c r="AE460" i="1"/>
  <c r="AC461" i="1"/>
  <c r="AD461" i="1"/>
  <c r="AE461" i="1"/>
  <c r="AC462" i="1"/>
  <c r="AD462" i="1"/>
  <c r="AE462" i="1"/>
  <c r="AC463" i="1"/>
  <c r="AD463" i="1"/>
  <c r="AE463" i="1"/>
  <c r="AC464" i="1"/>
  <c r="AD464" i="1"/>
  <c r="AE464" i="1"/>
  <c r="AC465" i="1"/>
  <c r="AD465" i="1"/>
  <c r="AE465" i="1"/>
  <c r="AC466" i="1"/>
  <c r="AD466" i="1"/>
  <c r="AE466" i="1"/>
  <c r="AC467" i="1"/>
  <c r="AD467" i="1"/>
  <c r="AE467" i="1"/>
  <c r="AC468" i="1"/>
  <c r="AD468" i="1"/>
  <c r="AE468" i="1"/>
  <c r="AC469" i="1"/>
  <c r="AD469" i="1"/>
  <c r="AE469" i="1"/>
  <c r="AC470" i="1"/>
  <c r="AD470" i="1"/>
  <c r="AE470" i="1"/>
  <c r="AC471" i="1"/>
  <c r="AD471" i="1"/>
  <c r="AE471" i="1"/>
  <c r="AC472" i="1"/>
  <c r="AD472" i="1"/>
  <c r="AE472" i="1"/>
  <c r="AC473" i="1"/>
  <c r="AD473" i="1"/>
  <c r="AE473" i="1"/>
  <c r="AC474" i="1"/>
  <c r="AD474" i="1"/>
  <c r="AE474" i="1"/>
  <c r="AC475" i="1"/>
  <c r="AD475" i="1"/>
  <c r="AE475" i="1"/>
  <c r="AC476" i="1"/>
  <c r="AD476" i="1"/>
  <c r="AE476" i="1"/>
  <c r="AC477" i="1"/>
  <c r="AD477" i="1"/>
  <c r="AE477" i="1"/>
  <c r="AC478" i="1"/>
  <c r="AD478" i="1"/>
  <c r="AE478" i="1"/>
  <c r="AC479" i="1"/>
  <c r="AD479" i="1"/>
  <c r="AE479" i="1"/>
  <c r="AC480" i="1"/>
  <c r="AD480" i="1"/>
  <c r="AE480" i="1"/>
  <c r="AC481" i="1"/>
  <c r="AD481" i="1"/>
  <c r="AE481" i="1"/>
  <c r="AC482" i="1"/>
  <c r="AD482" i="1"/>
  <c r="AE482" i="1"/>
  <c r="AC483" i="1"/>
  <c r="AD483" i="1"/>
  <c r="AE483" i="1"/>
  <c r="AC484" i="1"/>
  <c r="AD484" i="1"/>
  <c r="AE484" i="1"/>
  <c r="AC485" i="1"/>
  <c r="AD485" i="1"/>
  <c r="AE485" i="1"/>
  <c r="AC486" i="1"/>
  <c r="AD486" i="1"/>
  <c r="AE486" i="1"/>
  <c r="AC487" i="1"/>
  <c r="AD487" i="1"/>
  <c r="AE487" i="1"/>
  <c r="AC488" i="1"/>
  <c r="AD488" i="1"/>
  <c r="AE488" i="1"/>
  <c r="AC489" i="1"/>
  <c r="AD489" i="1"/>
  <c r="AE489" i="1"/>
  <c r="AC490" i="1"/>
  <c r="AD490" i="1"/>
  <c r="AE490" i="1"/>
  <c r="AC491" i="1"/>
  <c r="AD491" i="1"/>
  <c r="AE491" i="1"/>
  <c r="AC492" i="1"/>
  <c r="AD492" i="1"/>
  <c r="AE492" i="1"/>
  <c r="AC493" i="1"/>
  <c r="AD493" i="1"/>
  <c r="AE493" i="1"/>
  <c r="AC494" i="1"/>
  <c r="AD494" i="1"/>
  <c r="AE494" i="1"/>
  <c r="AC495" i="1"/>
  <c r="AD495" i="1"/>
  <c r="AE495" i="1"/>
  <c r="AC496" i="1"/>
  <c r="AD496" i="1"/>
  <c r="AE496" i="1"/>
  <c r="AC497" i="1"/>
  <c r="AD497" i="1"/>
  <c r="AE497" i="1"/>
  <c r="AC498" i="1"/>
  <c r="AD498" i="1"/>
  <c r="AE498" i="1"/>
  <c r="AC499" i="1"/>
  <c r="AD499" i="1"/>
  <c r="AE499" i="1"/>
  <c r="AC500" i="1"/>
  <c r="AD500" i="1"/>
  <c r="AE500" i="1"/>
  <c r="AC501" i="1"/>
  <c r="AD501" i="1"/>
  <c r="AE501" i="1"/>
  <c r="AC502" i="1"/>
  <c r="AD502" i="1"/>
  <c r="AE502" i="1"/>
  <c r="AC503" i="1"/>
  <c r="AD503" i="1"/>
  <c r="AE503" i="1"/>
  <c r="AC504" i="1"/>
  <c r="AD504" i="1"/>
  <c r="AE504" i="1"/>
  <c r="AC505" i="1"/>
  <c r="AD505" i="1"/>
  <c r="AE505" i="1"/>
  <c r="AC506" i="1"/>
  <c r="AD506" i="1"/>
  <c r="AE506" i="1"/>
  <c r="AC507" i="1"/>
  <c r="AD507" i="1"/>
  <c r="AE507" i="1"/>
  <c r="AC508" i="1"/>
  <c r="AD508" i="1"/>
  <c r="AE508" i="1"/>
  <c r="AC509" i="1"/>
  <c r="AD509" i="1"/>
  <c r="AE509" i="1"/>
  <c r="AC510" i="1"/>
  <c r="AD510" i="1"/>
  <c r="AE510" i="1"/>
  <c r="AC511" i="1"/>
  <c r="AD511" i="1"/>
  <c r="AE511" i="1"/>
  <c r="AC512" i="1"/>
  <c r="AD512" i="1"/>
  <c r="AE512" i="1"/>
  <c r="AC513" i="1"/>
  <c r="AD513" i="1"/>
  <c r="AE513" i="1"/>
  <c r="AC514" i="1"/>
  <c r="AD514" i="1"/>
  <c r="AE514" i="1"/>
  <c r="AC515" i="1"/>
  <c r="AD515" i="1"/>
  <c r="AE515" i="1"/>
  <c r="AC516" i="1"/>
  <c r="AD516" i="1"/>
  <c r="AE516" i="1"/>
  <c r="AC517" i="1"/>
  <c r="AD517" i="1"/>
  <c r="AE517" i="1"/>
  <c r="AC518" i="1"/>
  <c r="AD518" i="1"/>
  <c r="AE518" i="1"/>
  <c r="AC519" i="1"/>
  <c r="AD519" i="1"/>
  <c r="AE519" i="1"/>
  <c r="AC520" i="1"/>
  <c r="AD520" i="1"/>
  <c r="AE520" i="1"/>
  <c r="AC521" i="1"/>
  <c r="AD521" i="1"/>
  <c r="AE521" i="1"/>
  <c r="AC522" i="1"/>
  <c r="AD522" i="1"/>
  <c r="AE522" i="1"/>
  <c r="AC523" i="1"/>
  <c r="AD523" i="1"/>
  <c r="AE523" i="1"/>
  <c r="AC524" i="1"/>
  <c r="AD524" i="1"/>
  <c r="AE524" i="1"/>
  <c r="AC525" i="1"/>
  <c r="AD525" i="1"/>
  <c r="AE525" i="1"/>
  <c r="AC526" i="1"/>
  <c r="AD526" i="1"/>
  <c r="AE526" i="1"/>
  <c r="AC527" i="1"/>
  <c r="AD527" i="1"/>
  <c r="AE527" i="1"/>
  <c r="AC528" i="1"/>
  <c r="AD528" i="1"/>
  <c r="AE528" i="1"/>
  <c r="AC529" i="1"/>
  <c r="AD529" i="1"/>
  <c r="AE529" i="1"/>
  <c r="AC530" i="1"/>
  <c r="AD530" i="1"/>
  <c r="AE530" i="1"/>
  <c r="AC531" i="1"/>
  <c r="AD531" i="1"/>
  <c r="AE531" i="1"/>
  <c r="AC532" i="1"/>
  <c r="AD532" i="1"/>
  <c r="AE532" i="1"/>
  <c r="AC533" i="1"/>
  <c r="AD533" i="1"/>
  <c r="AE533" i="1"/>
  <c r="AC534" i="1"/>
  <c r="AD534" i="1"/>
  <c r="AE534" i="1"/>
  <c r="AC535" i="1"/>
  <c r="AD535" i="1"/>
  <c r="AE535" i="1"/>
  <c r="AC536" i="1"/>
  <c r="AD536" i="1"/>
  <c r="AE536" i="1"/>
  <c r="AC537" i="1"/>
  <c r="AD537" i="1"/>
  <c r="AE537" i="1"/>
  <c r="AC538" i="1"/>
  <c r="AD538" i="1"/>
  <c r="AE538" i="1"/>
  <c r="AC539" i="1"/>
  <c r="AD539" i="1"/>
  <c r="AE539" i="1"/>
  <c r="AC540" i="1"/>
  <c r="AD540" i="1"/>
  <c r="AE540" i="1"/>
  <c r="AC541" i="1"/>
  <c r="AD541" i="1"/>
  <c r="AE541" i="1"/>
  <c r="AC542" i="1"/>
  <c r="AD542" i="1"/>
  <c r="AE542" i="1"/>
  <c r="AC543" i="1"/>
  <c r="AD543" i="1"/>
  <c r="AE543" i="1"/>
  <c r="AC544" i="1"/>
  <c r="AD544" i="1"/>
  <c r="AE544" i="1"/>
  <c r="AC545" i="1"/>
  <c r="AD545" i="1"/>
  <c r="AE545" i="1"/>
  <c r="AC546" i="1"/>
  <c r="AD546" i="1"/>
  <c r="AE546" i="1"/>
  <c r="AC547" i="1"/>
  <c r="AD547" i="1"/>
  <c r="AE547" i="1"/>
  <c r="AC548" i="1"/>
  <c r="AD548" i="1"/>
  <c r="AE548" i="1"/>
  <c r="AC549" i="1"/>
  <c r="AD549" i="1"/>
  <c r="AE549" i="1"/>
  <c r="AC550" i="1"/>
  <c r="AD550" i="1"/>
  <c r="AE550" i="1"/>
  <c r="AC551" i="1"/>
  <c r="AD551" i="1"/>
  <c r="AE551" i="1"/>
  <c r="AC552" i="1"/>
  <c r="AD552" i="1"/>
  <c r="AE552" i="1"/>
  <c r="AC553" i="1"/>
  <c r="AD553" i="1"/>
  <c r="AE553" i="1"/>
  <c r="AC554" i="1"/>
  <c r="AD554" i="1"/>
  <c r="AE554" i="1"/>
  <c r="AC555" i="1"/>
  <c r="AD555" i="1"/>
  <c r="AE555" i="1"/>
  <c r="AC556" i="1"/>
  <c r="AD556" i="1"/>
  <c r="AE556" i="1"/>
  <c r="AC557" i="1"/>
  <c r="AD557" i="1"/>
  <c r="AE557" i="1"/>
  <c r="AC558" i="1"/>
  <c r="AD558" i="1"/>
  <c r="AE558" i="1"/>
  <c r="AC559" i="1"/>
  <c r="AD559" i="1"/>
  <c r="AE559" i="1"/>
  <c r="AC560" i="1"/>
  <c r="AD560" i="1"/>
  <c r="AE560" i="1"/>
  <c r="AC561" i="1"/>
  <c r="AD561" i="1"/>
  <c r="AE561" i="1"/>
  <c r="AC562" i="1"/>
  <c r="AD562" i="1"/>
  <c r="AE562" i="1"/>
  <c r="AC563" i="1"/>
  <c r="AD563" i="1"/>
  <c r="AE563" i="1"/>
  <c r="AC564" i="1"/>
  <c r="AD564" i="1"/>
  <c r="AE564" i="1"/>
  <c r="AC565" i="1"/>
  <c r="AD565" i="1"/>
  <c r="AE565" i="1"/>
  <c r="AC566" i="1"/>
  <c r="AD566" i="1"/>
  <c r="AE566" i="1"/>
  <c r="AC567" i="1"/>
  <c r="AD567" i="1"/>
  <c r="AE567" i="1"/>
  <c r="AC568" i="1"/>
  <c r="AD568" i="1"/>
  <c r="AE568" i="1"/>
  <c r="AC569" i="1"/>
  <c r="AD569" i="1"/>
  <c r="AE569" i="1"/>
  <c r="AC570" i="1"/>
  <c r="AD570" i="1"/>
  <c r="AE570" i="1"/>
  <c r="AC571" i="1"/>
  <c r="AD571" i="1"/>
  <c r="AE571" i="1"/>
  <c r="AC572" i="1"/>
  <c r="AD572" i="1"/>
  <c r="AE572" i="1"/>
  <c r="AC573" i="1"/>
  <c r="AD573" i="1"/>
  <c r="AE573" i="1"/>
  <c r="AC574" i="1"/>
  <c r="AD574" i="1"/>
  <c r="AE574" i="1"/>
  <c r="AC575" i="1"/>
  <c r="AD575" i="1"/>
  <c r="AE575" i="1"/>
  <c r="AC576" i="1"/>
  <c r="AD576" i="1"/>
  <c r="AE576" i="1"/>
  <c r="AC577" i="1"/>
  <c r="AD577" i="1"/>
  <c r="AE577" i="1"/>
  <c r="AC578" i="1"/>
  <c r="AD578" i="1"/>
  <c r="AE578" i="1"/>
  <c r="AC579" i="1"/>
  <c r="AD579" i="1"/>
  <c r="AE579" i="1"/>
  <c r="AC580" i="1"/>
  <c r="AD580" i="1"/>
  <c r="AE580" i="1"/>
  <c r="AC581" i="1"/>
  <c r="AD581" i="1"/>
  <c r="AE581" i="1"/>
  <c r="AC582" i="1"/>
  <c r="AD582" i="1"/>
  <c r="AE582" i="1"/>
  <c r="AC583" i="1"/>
  <c r="AD583" i="1"/>
  <c r="AE583" i="1"/>
  <c r="AC584" i="1"/>
  <c r="AD584" i="1"/>
  <c r="AE584" i="1"/>
  <c r="AC585" i="1"/>
  <c r="AD585" i="1"/>
  <c r="AE585" i="1"/>
  <c r="AC586" i="1"/>
  <c r="AD586" i="1"/>
  <c r="AE586" i="1"/>
  <c r="AC587" i="1"/>
  <c r="AD587" i="1"/>
  <c r="AE587" i="1"/>
  <c r="AC588" i="1"/>
  <c r="AD588" i="1"/>
  <c r="AE588" i="1"/>
  <c r="AC589" i="1"/>
  <c r="AD589" i="1"/>
  <c r="AE589" i="1"/>
  <c r="AC590" i="1"/>
  <c r="AD590" i="1"/>
  <c r="AE590" i="1"/>
  <c r="AC591" i="1"/>
  <c r="AD591" i="1"/>
  <c r="AE591" i="1"/>
  <c r="AC592" i="1"/>
  <c r="AD592" i="1"/>
  <c r="AE592" i="1"/>
  <c r="AC593" i="1"/>
  <c r="AD593" i="1"/>
  <c r="AE593" i="1"/>
  <c r="AC594" i="1"/>
  <c r="AD594" i="1"/>
  <c r="AE594" i="1"/>
  <c r="AC595" i="1"/>
  <c r="AD595" i="1"/>
  <c r="AE595" i="1"/>
  <c r="AC596" i="1"/>
  <c r="AD596" i="1"/>
  <c r="AE596" i="1"/>
  <c r="AC597" i="1"/>
  <c r="AD597" i="1"/>
  <c r="AE597" i="1"/>
  <c r="AC598" i="1"/>
  <c r="AD598" i="1"/>
  <c r="AE598" i="1"/>
  <c r="AC599" i="1"/>
  <c r="AD599" i="1"/>
  <c r="AE599" i="1"/>
  <c r="AC600" i="1"/>
  <c r="AD600" i="1"/>
  <c r="AE600" i="1"/>
  <c r="AC601" i="1"/>
  <c r="AD601" i="1"/>
  <c r="AE601" i="1"/>
  <c r="AC602" i="1"/>
  <c r="AD602" i="1"/>
  <c r="AE602" i="1"/>
  <c r="AC603" i="1"/>
  <c r="AD603" i="1"/>
  <c r="AE603" i="1"/>
  <c r="AC604" i="1"/>
  <c r="AD604" i="1"/>
  <c r="AE604" i="1"/>
  <c r="AC605" i="1"/>
  <c r="AD605" i="1"/>
  <c r="AE605" i="1"/>
  <c r="AC606" i="1"/>
  <c r="AD606" i="1"/>
  <c r="AE606" i="1"/>
  <c r="AC607" i="1"/>
  <c r="AD607" i="1"/>
  <c r="AE607" i="1"/>
  <c r="AC608" i="1"/>
  <c r="AD608" i="1"/>
  <c r="AE608" i="1"/>
  <c r="AC609" i="1"/>
  <c r="AD609" i="1"/>
  <c r="AE609" i="1"/>
  <c r="AC610" i="1"/>
  <c r="AD610" i="1"/>
  <c r="AE610" i="1"/>
  <c r="AC611" i="1"/>
  <c r="AD611" i="1"/>
  <c r="AE611" i="1"/>
  <c r="AC612" i="1"/>
  <c r="AD612" i="1"/>
  <c r="AE612" i="1"/>
  <c r="AC613" i="1"/>
  <c r="AD613" i="1"/>
  <c r="AE613" i="1"/>
  <c r="AC614" i="1"/>
  <c r="AD614" i="1"/>
  <c r="AE614" i="1"/>
  <c r="AC615" i="1"/>
  <c r="AD615" i="1"/>
  <c r="AE615" i="1"/>
  <c r="AC616" i="1"/>
  <c r="AD616" i="1"/>
  <c r="AE616" i="1"/>
  <c r="AC617" i="1"/>
  <c r="AD617" i="1"/>
  <c r="AE617" i="1"/>
  <c r="AC618" i="1"/>
  <c r="AD618" i="1"/>
  <c r="AE618" i="1"/>
  <c r="AC619" i="1"/>
  <c r="AD619" i="1"/>
  <c r="AE619" i="1"/>
  <c r="AC620" i="1"/>
  <c r="AD620" i="1"/>
  <c r="AE620" i="1"/>
  <c r="AC621" i="1"/>
  <c r="AD621" i="1"/>
  <c r="AE621" i="1"/>
  <c r="AC622" i="1"/>
  <c r="AD622" i="1"/>
  <c r="AE622" i="1"/>
  <c r="AC623" i="1"/>
  <c r="AD623" i="1"/>
  <c r="AE623" i="1"/>
  <c r="AC624" i="1"/>
  <c r="AD624" i="1"/>
  <c r="AE624" i="1"/>
  <c r="AC625" i="1"/>
  <c r="AD625" i="1"/>
  <c r="AE625" i="1"/>
  <c r="AC626" i="1"/>
  <c r="AD626" i="1"/>
  <c r="AE626" i="1"/>
  <c r="AC627" i="1"/>
  <c r="AD627" i="1"/>
  <c r="AE627" i="1"/>
  <c r="AC628" i="1"/>
  <c r="AD628" i="1"/>
  <c r="AE628" i="1"/>
  <c r="AC629" i="1"/>
  <c r="AD629" i="1"/>
  <c r="AE629" i="1"/>
  <c r="AC630" i="1"/>
  <c r="AD630" i="1"/>
  <c r="AE630" i="1"/>
  <c r="AC631" i="1"/>
  <c r="AD631" i="1"/>
  <c r="AE631" i="1"/>
  <c r="AC632" i="1"/>
  <c r="AD632" i="1"/>
  <c r="AE632" i="1"/>
  <c r="AC633" i="1"/>
  <c r="AD633" i="1"/>
  <c r="AE633" i="1"/>
  <c r="AC634" i="1"/>
  <c r="AD634" i="1"/>
  <c r="AE634" i="1"/>
  <c r="AC635" i="1"/>
  <c r="AD635" i="1"/>
  <c r="AE635" i="1"/>
  <c r="AC636" i="1"/>
  <c r="AD636" i="1"/>
  <c r="AE636" i="1"/>
  <c r="AC637" i="1"/>
  <c r="AD637" i="1"/>
  <c r="AE637" i="1"/>
  <c r="AC638" i="1"/>
  <c r="AD638" i="1"/>
  <c r="AE638" i="1"/>
  <c r="AC639" i="1"/>
  <c r="AD639" i="1"/>
  <c r="AE639" i="1"/>
  <c r="AC640" i="1"/>
  <c r="AD640" i="1"/>
  <c r="AE640" i="1"/>
  <c r="AC641" i="1"/>
  <c r="AD641" i="1"/>
  <c r="AE641" i="1"/>
  <c r="AC642" i="1"/>
  <c r="AD642" i="1"/>
  <c r="AE642" i="1"/>
  <c r="AC643" i="1"/>
  <c r="AD643" i="1"/>
  <c r="AE643" i="1"/>
  <c r="AC644" i="1"/>
  <c r="AD644" i="1"/>
  <c r="AE644" i="1"/>
  <c r="AC645" i="1"/>
  <c r="AD645" i="1"/>
  <c r="AE645" i="1"/>
  <c r="AC646" i="1"/>
  <c r="AD646" i="1"/>
  <c r="AE646" i="1"/>
  <c r="AC647" i="1"/>
  <c r="AD647" i="1"/>
  <c r="AE647" i="1"/>
  <c r="AC648" i="1"/>
  <c r="AD648" i="1"/>
  <c r="AE648" i="1"/>
  <c r="AC649" i="1"/>
  <c r="AD649" i="1"/>
  <c r="AE649" i="1"/>
  <c r="AC650" i="1"/>
  <c r="AD650" i="1"/>
  <c r="AE650" i="1"/>
  <c r="AC651" i="1"/>
  <c r="AD651" i="1"/>
  <c r="AE651" i="1"/>
  <c r="AC652" i="1"/>
  <c r="AD652" i="1"/>
  <c r="AE652" i="1"/>
  <c r="AC653" i="1"/>
  <c r="AD653" i="1"/>
  <c r="AE653" i="1"/>
  <c r="AC654" i="1"/>
  <c r="AD654" i="1"/>
  <c r="AE654" i="1"/>
  <c r="AC655" i="1"/>
  <c r="AD655" i="1"/>
  <c r="AE655" i="1"/>
  <c r="AC656" i="1"/>
  <c r="AD656" i="1"/>
  <c r="AE656" i="1"/>
  <c r="AC657" i="1"/>
  <c r="AD657" i="1"/>
  <c r="AE657" i="1"/>
  <c r="AC658" i="1"/>
  <c r="AD658" i="1"/>
  <c r="AE658" i="1"/>
  <c r="AC659" i="1"/>
  <c r="AD659" i="1"/>
  <c r="AE659" i="1"/>
  <c r="AC660" i="1"/>
  <c r="AD660" i="1"/>
  <c r="AE660" i="1"/>
  <c r="AC661" i="1"/>
  <c r="AD661" i="1"/>
  <c r="AE661" i="1"/>
  <c r="AC662" i="1"/>
  <c r="AD662" i="1"/>
  <c r="AE662" i="1"/>
  <c r="AC663" i="1"/>
  <c r="AD663" i="1"/>
  <c r="AE663" i="1"/>
  <c r="AC664" i="1"/>
  <c r="AD664" i="1"/>
  <c r="AE664" i="1"/>
  <c r="AC665" i="1"/>
  <c r="AD665" i="1"/>
  <c r="AE665" i="1"/>
  <c r="AC666" i="1"/>
  <c r="AD666" i="1"/>
  <c r="AE666" i="1"/>
  <c r="AC667" i="1"/>
  <c r="AD667" i="1"/>
  <c r="AE667" i="1"/>
  <c r="AC668" i="1"/>
  <c r="AD668" i="1"/>
  <c r="AE668" i="1"/>
  <c r="AC669" i="1"/>
  <c r="AD669" i="1"/>
  <c r="AE669" i="1"/>
  <c r="AC670" i="1"/>
  <c r="AD670" i="1"/>
  <c r="AE670" i="1"/>
  <c r="AC671" i="1"/>
  <c r="AD671" i="1"/>
  <c r="AE671" i="1"/>
  <c r="AC672" i="1"/>
  <c r="AD672" i="1"/>
  <c r="AE672" i="1"/>
  <c r="AC673" i="1"/>
  <c r="AD673" i="1"/>
  <c r="AE673" i="1"/>
  <c r="AC674" i="1"/>
  <c r="AD674" i="1"/>
  <c r="AE674" i="1"/>
  <c r="AC675" i="1"/>
  <c r="AD675" i="1"/>
  <c r="AE675" i="1"/>
  <c r="AC676" i="1"/>
  <c r="AD676" i="1"/>
  <c r="AE676" i="1"/>
  <c r="AC677" i="1"/>
  <c r="AD677" i="1"/>
  <c r="AE677" i="1"/>
  <c r="AC678" i="1"/>
  <c r="AD678" i="1"/>
  <c r="AE678" i="1"/>
  <c r="AC679" i="1"/>
  <c r="AD679" i="1"/>
  <c r="AE679" i="1"/>
  <c r="AC680" i="1"/>
  <c r="AD680" i="1"/>
  <c r="AE680" i="1"/>
  <c r="AC681" i="1"/>
  <c r="AD681" i="1"/>
  <c r="AE681" i="1"/>
  <c r="AC682" i="1"/>
  <c r="AD682" i="1"/>
  <c r="AE682" i="1"/>
  <c r="AC683" i="1"/>
  <c r="AD683" i="1"/>
  <c r="AE683" i="1"/>
  <c r="AC684" i="1"/>
  <c r="AD684" i="1"/>
  <c r="AE684" i="1"/>
  <c r="AC685" i="1"/>
  <c r="AD685" i="1"/>
  <c r="AE685" i="1"/>
  <c r="AC686" i="1"/>
  <c r="AD686" i="1"/>
  <c r="AE686" i="1"/>
  <c r="AC687" i="1"/>
  <c r="AD687" i="1"/>
  <c r="AE687" i="1"/>
  <c r="AC688" i="1"/>
  <c r="AD688" i="1"/>
  <c r="AE688" i="1"/>
  <c r="AC689" i="1"/>
  <c r="AD689" i="1"/>
  <c r="AE689" i="1"/>
  <c r="AC690" i="1"/>
  <c r="AD690" i="1"/>
  <c r="AE690" i="1"/>
  <c r="AC691" i="1"/>
  <c r="AD691" i="1"/>
  <c r="AE691" i="1"/>
  <c r="AC692" i="1"/>
  <c r="AD692" i="1"/>
  <c r="AE692" i="1"/>
  <c r="AC693" i="1"/>
  <c r="AD693" i="1"/>
  <c r="AE693" i="1"/>
  <c r="AC694" i="1"/>
  <c r="AD694" i="1"/>
  <c r="AE694" i="1"/>
  <c r="AC695" i="1"/>
  <c r="AD695" i="1"/>
  <c r="AE695" i="1"/>
  <c r="AC696" i="1"/>
  <c r="AD696" i="1"/>
  <c r="AE696" i="1"/>
  <c r="AC697" i="1"/>
  <c r="AD697" i="1"/>
  <c r="AE697" i="1"/>
  <c r="AC698" i="1"/>
  <c r="AD698" i="1"/>
  <c r="AE698" i="1"/>
  <c r="AC699" i="1"/>
  <c r="AD699" i="1"/>
  <c r="AE699" i="1"/>
  <c r="AC700" i="1"/>
  <c r="AD700" i="1"/>
  <c r="AE700" i="1"/>
  <c r="AC701" i="1"/>
  <c r="AD701" i="1"/>
  <c r="AE701" i="1"/>
  <c r="AC702" i="1"/>
  <c r="AD702" i="1"/>
  <c r="AE702" i="1"/>
  <c r="AC703" i="1"/>
  <c r="AD703" i="1"/>
  <c r="AE703" i="1"/>
  <c r="AC704" i="1"/>
  <c r="AD704" i="1"/>
  <c r="AE704" i="1"/>
  <c r="AC705" i="1"/>
  <c r="AD705" i="1"/>
  <c r="AE705" i="1"/>
  <c r="AC706" i="1"/>
  <c r="AD706" i="1"/>
  <c r="AE706" i="1"/>
  <c r="AC707" i="1"/>
  <c r="AD707" i="1"/>
  <c r="AE707" i="1"/>
  <c r="AC708" i="1"/>
  <c r="AD708" i="1"/>
  <c r="AE708" i="1"/>
  <c r="AC709" i="1"/>
  <c r="AD709" i="1"/>
  <c r="AE709" i="1"/>
  <c r="AC710" i="1"/>
  <c r="AD710" i="1"/>
  <c r="AE710" i="1"/>
  <c r="AC711" i="1"/>
  <c r="AD711" i="1"/>
  <c r="AE711" i="1"/>
  <c r="AC712" i="1"/>
  <c r="AD712" i="1"/>
  <c r="AE712" i="1"/>
  <c r="AC713" i="1"/>
  <c r="AD713" i="1"/>
  <c r="AE713" i="1"/>
  <c r="AC714" i="1"/>
  <c r="AD714" i="1"/>
  <c r="AE714" i="1"/>
  <c r="AC715" i="1"/>
  <c r="AD715" i="1"/>
  <c r="AE715" i="1"/>
  <c r="AC716" i="1"/>
  <c r="AD716" i="1"/>
  <c r="AE716" i="1"/>
  <c r="AC717" i="1"/>
  <c r="AD717" i="1"/>
  <c r="AE717" i="1"/>
  <c r="AC718" i="1"/>
  <c r="AD718" i="1"/>
  <c r="AE718" i="1"/>
  <c r="AC719" i="1"/>
  <c r="AD719" i="1"/>
  <c r="AE719" i="1"/>
  <c r="AC720" i="1"/>
  <c r="AD720" i="1"/>
  <c r="AE720" i="1"/>
  <c r="AC721" i="1"/>
  <c r="AD721" i="1"/>
  <c r="AE721" i="1"/>
  <c r="AC722" i="1"/>
  <c r="AD722" i="1"/>
  <c r="AE722" i="1"/>
  <c r="AC723" i="1"/>
  <c r="AD723" i="1"/>
  <c r="AE723" i="1"/>
  <c r="AC724" i="1"/>
  <c r="AD724" i="1"/>
  <c r="AE724" i="1"/>
  <c r="AC725" i="1"/>
  <c r="AD725" i="1"/>
  <c r="AE725" i="1"/>
  <c r="AC726" i="1"/>
  <c r="AD726" i="1"/>
  <c r="AE726" i="1"/>
  <c r="AC727" i="1"/>
  <c r="AD727" i="1"/>
  <c r="AE727" i="1"/>
  <c r="AC728" i="1"/>
  <c r="AD728" i="1"/>
  <c r="AE728" i="1"/>
  <c r="AC729" i="1"/>
  <c r="AD729" i="1"/>
  <c r="AE729" i="1"/>
  <c r="AC730" i="1"/>
  <c r="AD730" i="1"/>
  <c r="AE730" i="1"/>
  <c r="AC731" i="1"/>
  <c r="AD731" i="1"/>
  <c r="AE731" i="1"/>
  <c r="AC732" i="1"/>
  <c r="AD732" i="1"/>
  <c r="AE732" i="1"/>
  <c r="AC733" i="1"/>
  <c r="AD733" i="1"/>
  <c r="AE733" i="1"/>
  <c r="AC734" i="1"/>
  <c r="AD734" i="1"/>
  <c r="AE734" i="1"/>
  <c r="AC735" i="1"/>
  <c r="AD735" i="1"/>
  <c r="AE735" i="1"/>
  <c r="AC736" i="1"/>
  <c r="AD736" i="1"/>
  <c r="AE736" i="1"/>
  <c r="AC737" i="1"/>
  <c r="AD737" i="1"/>
  <c r="AE737" i="1"/>
  <c r="AC738" i="1"/>
  <c r="AD738" i="1"/>
  <c r="AE738" i="1"/>
  <c r="AC739" i="1"/>
  <c r="AD739" i="1"/>
  <c r="AE739" i="1"/>
  <c r="AC740" i="1"/>
  <c r="AD740" i="1"/>
  <c r="AE740" i="1"/>
  <c r="AC741" i="1"/>
  <c r="AD741" i="1"/>
  <c r="AE741" i="1"/>
  <c r="AC742" i="1"/>
  <c r="AD742" i="1"/>
  <c r="AE742" i="1"/>
  <c r="AC743" i="1"/>
  <c r="AD743" i="1"/>
  <c r="AE743" i="1"/>
  <c r="AC744" i="1"/>
  <c r="AD744" i="1"/>
  <c r="AE744" i="1"/>
  <c r="AC745" i="1"/>
  <c r="AD745" i="1"/>
  <c r="AE745" i="1"/>
  <c r="AC746" i="1"/>
  <c r="AD746" i="1"/>
  <c r="AE746" i="1"/>
  <c r="AC747" i="1"/>
  <c r="AD747" i="1"/>
  <c r="AE747" i="1"/>
  <c r="AC748" i="1"/>
  <c r="AD748" i="1"/>
  <c r="AE748" i="1"/>
  <c r="AC749" i="1"/>
  <c r="AD749" i="1"/>
  <c r="AE749" i="1"/>
  <c r="AC750" i="1"/>
  <c r="AD750" i="1"/>
  <c r="AE750" i="1"/>
  <c r="AC751" i="1"/>
  <c r="AD751" i="1"/>
  <c r="AE751" i="1"/>
  <c r="AC752" i="1"/>
  <c r="AD752" i="1"/>
  <c r="AE752" i="1"/>
  <c r="AC753" i="1"/>
  <c r="AD753" i="1"/>
  <c r="AE753" i="1"/>
  <c r="AC754" i="1"/>
  <c r="AD754" i="1"/>
  <c r="AE754" i="1"/>
  <c r="AC755" i="1"/>
  <c r="AD755" i="1"/>
  <c r="AE755" i="1"/>
  <c r="AC756" i="1"/>
  <c r="AD756" i="1"/>
  <c r="AE756" i="1"/>
  <c r="AC757" i="1"/>
  <c r="AD757" i="1"/>
  <c r="AE757" i="1"/>
  <c r="AC758" i="1"/>
  <c r="AD758" i="1"/>
  <c r="AE758" i="1"/>
  <c r="AC759" i="1"/>
  <c r="AD759" i="1"/>
  <c r="AE759" i="1"/>
  <c r="AC760" i="1"/>
  <c r="AD760" i="1"/>
  <c r="AE760" i="1"/>
  <c r="AC761" i="1"/>
  <c r="AD761" i="1"/>
  <c r="AE761" i="1"/>
  <c r="AC762" i="1"/>
  <c r="AD762" i="1"/>
  <c r="AE762" i="1"/>
  <c r="AC763" i="1"/>
  <c r="AD763" i="1"/>
  <c r="AE763" i="1"/>
  <c r="AC764" i="1"/>
  <c r="AD764" i="1"/>
  <c r="AE764" i="1"/>
  <c r="AC765" i="1"/>
  <c r="AD765" i="1"/>
  <c r="AE765" i="1"/>
  <c r="AC766" i="1"/>
  <c r="AD766" i="1"/>
  <c r="AE766" i="1"/>
  <c r="AC767" i="1"/>
  <c r="AD767" i="1"/>
  <c r="AE767" i="1"/>
  <c r="AC768" i="1"/>
  <c r="AD768" i="1"/>
  <c r="AE768" i="1"/>
  <c r="AC769" i="1"/>
  <c r="AD769" i="1"/>
  <c r="AE769" i="1"/>
  <c r="AC770" i="1"/>
  <c r="AD770" i="1"/>
  <c r="AE770" i="1"/>
  <c r="AC771" i="1"/>
  <c r="AD771" i="1"/>
  <c r="AE771" i="1"/>
  <c r="AC772" i="1"/>
  <c r="AD772" i="1"/>
  <c r="AE772" i="1"/>
  <c r="AC773" i="1"/>
  <c r="AD773" i="1"/>
  <c r="AE773" i="1"/>
  <c r="AC774" i="1"/>
  <c r="AD774" i="1"/>
  <c r="AE774" i="1"/>
  <c r="AC775" i="1"/>
  <c r="AD775" i="1"/>
  <c r="AE775" i="1"/>
  <c r="AC776" i="1"/>
  <c r="AD776" i="1"/>
  <c r="AE776" i="1"/>
  <c r="AC777" i="1"/>
  <c r="AD777" i="1"/>
  <c r="AE777" i="1"/>
  <c r="AC778" i="1"/>
  <c r="AD778" i="1"/>
  <c r="AE778" i="1"/>
  <c r="AC779" i="1"/>
  <c r="AD779" i="1"/>
  <c r="AE779" i="1"/>
  <c r="AC780" i="1"/>
  <c r="AD780" i="1"/>
  <c r="AE780" i="1"/>
  <c r="AC781" i="1"/>
  <c r="AD781" i="1"/>
  <c r="AE781" i="1"/>
  <c r="AC782" i="1"/>
  <c r="AD782" i="1"/>
  <c r="AE782" i="1"/>
  <c r="AC783" i="1"/>
  <c r="AD783" i="1"/>
  <c r="AE783" i="1"/>
  <c r="AC784" i="1"/>
  <c r="AD784" i="1"/>
  <c r="AE784" i="1"/>
  <c r="AC785" i="1"/>
  <c r="AD785" i="1"/>
  <c r="AE785" i="1"/>
  <c r="AC786" i="1"/>
  <c r="AD786" i="1"/>
  <c r="AE786" i="1"/>
  <c r="AC787" i="1"/>
  <c r="AD787" i="1"/>
  <c r="AE787" i="1"/>
  <c r="AC788" i="1"/>
  <c r="AD788" i="1"/>
  <c r="AE788" i="1"/>
  <c r="AC789" i="1"/>
  <c r="AD789" i="1"/>
  <c r="AE789" i="1"/>
  <c r="AC790" i="1"/>
  <c r="AD790" i="1"/>
  <c r="AE790" i="1"/>
  <c r="AC791" i="1"/>
  <c r="AD791" i="1"/>
  <c r="AE791" i="1"/>
  <c r="AC792" i="1"/>
  <c r="AD792" i="1"/>
  <c r="AE792" i="1"/>
  <c r="AC793" i="1"/>
  <c r="AD793" i="1"/>
  <c r="AE793" i="1"/>
  <c r="AC794" i="1"/>
  <c r="AD794" i="1"/>
  <c r="AE794" i="1"/>
  <c r="AC795" i="1"/>
  <c r="AD795" i="1"/>
  <c r="AE795" i="1"/>
  <c r="AC796" i="1"/>
  <c r="AD796" i="1"/>
  <c r="AE796" i="1"/>
  <c r="AC797" i="1"/>
  <c r="AD797" i="1"/>
  <c r="AE797" i="1"/>
  <c r="AC798" i="1"/>
  <c r="AD798" i="1"/>
  <c r="AE798" i="1"/>
  <c r="AC799" i="1"/>
  <c r="AD799" i="1"/>
  <c r="AE799" i="1"/>
  <c r="AC800" i="1"/>
  <c r="AD800" i="1"/>
  <c r="AE800" i="1"/>
  <c r="AC801" i="1"/>
  <c r="AD801" i="1"/>
  <c r="AE801" i="1"/>
  <c r="AC802" i="1"/>
  <c r="AD802" i="1"/>
  <c r="AE802" i="1"/>
  <c r="AC803" i="1"/>
  <c r="AD803" i="1"/>
  <c r="AE803" i="1"/>
  <c r="AC804" i="1"/>
  <c r="AD804" i="1"/>
  <c r="AE804" i="1"/>
  <c r="AC805" i="1"/>
  <c r="AD805" i="1"/>
  <c r="AE805" i="1"/>
  <c r="AC806" i="1"/>
  <c r="AD806" i="1"/>
  <c r="AE806" i="1"/>
  <c r="AC807" i="1"/>
  <c r="AD807" i="1"/>
  <c r="AE807" i="1"/>
  <c r="AC808" i="1"/>
  <c r="AD808" i="1"/>
  <c r="AE808" i="1"/>
  <c r="AC809" i="1"/>
  <c r="AD809" i="1"/>
  <c r="AE809" i="1"/>
  <c r="AC810" i="1"/>
  <c r="AD810" i="1"/>
  <c r="AE810" i="1"/>
  <c r="AC811" i="1"/>
  <c r="AD811" i="1"/>
  <c r="AE811" i="1"/>
  <c r="AC812" i="1"/>
  <c r="AD812" i="1"/>
  <c r="AE812" i="1"/>
  <c r="AC813" i="1"/>
  <c r="AD813" i="1"/>
  <c r="AE813" i="1"/>
  <c r="AC814" i="1"/>
  <c r="AD814" i="1"/>
  <c r="AE814" i="1"/>
  <c r="AC815" i="1"/>
  <c r="AD815" i="1"/>
  <c r="AE815" i="1"/>
  <c r="AC816" i="1"/>
  <c r="AD816" i="1"/>
  <c r="AE816" i="1"/>
  <c r="AC817" i="1"/>
  <c r="AD817" i="1"/>
  <c r="AE817" i="1"/>
  <c r="AC818" i="1"/>
  <c r="AD818" i="1"/>
  <c r="AE818" i="1"/>
  <c r="AC819" i="1"/>
  <c r="AD819" i="1"/>
  <c r="AE819" i="1"/>
  <c r="AC820" i="1"/>
  <c r="AD820" i="1"/>
  <c r="AE820" i="1"/>
  <c r="AC821" i="1"/>
  <c r="AD821" i="1"/>
  <c r="AE821" i="1"/>
  <c r="AC822" i="1"/>
  <c r="AD822" i="1"/>
  <c r="AE822" i="1"/>
  <c r="AC823" i="1"/>
  <c r="AD823" i="1"/>
  <c r="AE823" i="1"/>
  <c r="AC824" i="1"/>
  <c r="AD824" i="1"/>
  <c r="AE824" i="1"/>
  <c r="AC825" i="1"/>
  <c r="AD825" i="1"/>
  <c r="AE825" i="1"/>
  <c r="AC826" i="1"/>
  <c r="AD826" i="1"/>
  <c r="AE826" i="1"/>
  <c r="AC827" i="1"/>
  <c r="AD827" i="1"/>
  <c r="AE827" i="1"/>
  <c r="AC828" i="1"/>
  <c r="AD828" i="1"/>
  <c r="AE828" i="1"/>
  <c r="AC829" i="1"/>
  <c r="AD829" i="1"/>
  <c r="AE829" i="1"/>
  <c r="AC830" i="1"/>
  <c r="AD830" i="1"/>
  <c r="AE830" i="1"/>
  <c r="AC831" i="1"/>
  <c r="AD831" i="1"/>
  <c r="AE831" i="1"/>
  <c r="AC832" i="1"/>
  <c r="AD832" i="1"/>
  <c r="AE832" i="1"/>
  <c r="AC833" i="1"/>
  <c r="AD833" i="1"/>
  <c r="AE833" i="1"/>
  <c r="AC834" i="1"/>
  <c r="AD834" i="1"/>
  <c r="AE834" i="1"/>
  <c r="AC835" i="1"/>
  <c r="AD835" i="1"/>
  <c r="AE835" i="1"/>
  <c r="AC836" i="1"/>
  <c r="AD836" i="1"/>
  <c r="AE836" i="1"/>
  <c r="AC837" i="1"/>
  <c r="AD837" i="1"/>
  <c r="AE837" i="1"/>
  <c r="AC838" i="1"/>
  <c r="AD838" i="1"/>
  <c r="AE838" i="1"/>
  <c r="AC839" i="1"/>
  <c r="AD839" i="1"/>
  <c r="AE839" i="1"/>
  <c r="AC840" i="1"/>
  <c r="AD840" i="1"/>
  <c r="AE840" i="1"/>
  <c r="AC841" i="1"/>
  <c r="AD841" i="1"/>
  <c r="AE841" i="1"/>
  <c r="AC842" i="1"/>
  <c r="AD842" i="1"/>
  <c r="AE842" i="1"/>
  <c r="AC843" i="1"/>
  <c r="AD843" i="1"/>
  <c r="AE843" i="1"/>
  <c r="AC844" i="1"/>
  <c r="AD844" i="1"/>
  <c r="AE844" i="1"/>
  <c r="AC845" i="1"/>
  <c r="AD845" i="1"/>
  <c r="AE845" i="1"/>
  <c r="AC846" i="1"/>
  <c r="AD846" i="1"/>
  <c r="AE846" i="1"/>
  <c r="AC847" i="1"/>
  <c r="AD847" i="1"/>
  <c r="AE847" i="1"/>
  <c r="AC848" i="1"/>
  <c r="AD848" i="1"/>
  <c r="AE848" i="1"/>
  <c r="AC849" i="1"/>
  <c r="AD849" i="1"/>
  <c r="AE849" i="1"/>
  <c r="AC850" i="1"/>
  <c r="AD850" i="1"/>
  <c r="AE850" i="1"/>
  <c r="AC851" i="1"/>
  <c r="AD851" i="1"/>
  <c r="AE851" i="1"/>
  <c r="AC852" i="1"/>
  <c r="AD852" i="1"/>
  <c r="AE852" i="1"/>
  <c r="AC853" i="1"/>
  <c r="AD853" i="1"/>
  <c r="AE853" i="1"/>
  <c r="AC854" i="1"/>
  <c r="AD854" i="1"/>
  <c r="AE854" i="1"/>
  <c r="AC855" i="1"/>
  <c r="AD855" i="1"/>
  <c r="AE855" i="1"/>
  <c r="AC856" i="1"/>
  <c r="AD856" i="1"/>
  <c r="AE856" i="1"/>
  <c r="AC857" i="1"/>
  <c r="AD857" i="1"/>
  <c r="AE857" i="1"/>
  <c r="AC858" i="1"/>
  <c r="AD858" i="1"/>
  <c r="AE858" i="1"/>
  <c r="AC859" i="1"/>
  <c r="AD859" i="1"/>
  <c r="AE859" i="1"/>
  <c r="AC860" i="1"/>
  <c r="AD860" i="1"/>
  <c r="AE860" i="1"/>
  <c r="AC861" i="1"/>
  <c r="AD861" i="1"/>
  <c r="AE861" i="1"/>
  <c r="AC862" i="1"/>
  <c r="AD862" i="1"/>
  <c r="AE862" i="1"/>
  <c r="AC863" i="1"/>
  <c r="AD863" i="1"/>
  <c r="AE863" i="1"/>
  <c r="AC864" i="1"/>
  <c r="AD864" i="1"/>
  <c r="AE864" i="1"/>
  <c r="AC865" i="1"/>
  <c r="AD865" i="1"/>
  <c r="AE865" i="1"/>
  <c r="AC866" i="1"/>
  <c r="AD866" i="1"/>
  <c r="AE866" i="1"/>
  <c r="AC867" i="1"/>
  <c r="AD867" i="1"/>
  <c r="AE867" i="1"/>
  <c r="AC868" i="1"/>
  <c r="AD868" i="1"/>
  <c r="AE868" i="1"/>
  <c r="AC869" i="1"/>
  <c r="AD869" i="1"/>
  <c r="AE869" i="1"/>
  <c r="AC870" i="1"/>
  <c r="AD870" i="1"/>
  <c r="AE870" i="1"/>
  <c r="AC871" i="1"/>
  <c r="AD871" i="1"/>
  <c r="AE871" i="1"/>
  <c r="AC872" i="1"/>
  <c r="AD872" i="1"/>
  <c r="AE872" i="1"/>
  <c r="AC873" i="1"/>
  <c r="AD873" i="1"/>
  <c r="AE873" i="1"/>
  <c r="AC874" i="1"/>
  <c r="AD874" i="1"/>
  <c r="AE874" i="1"/>
  <c r="AC875" i="1"/>
  <c r="AD875" i="1"/>
  <c r="AE875" i="1"/>
  <c r="AC876" i="1"/>
  <c r="AD876" i="1"/>
  <c r="AE876" i="1"/>
  <c r="AC877" i="1"/>
  <c r="AD877" i="1"/>
  <c r="AE877" i="1"/>
  <c r="AC878" i="1"/>
  <c r="AD878" i="1"/>
  <c r="AE878" i="1"/>
  <c r="AC879" i="1"/>
  <c r="AD879" i="1"/>
  <c r="AE879" i="1"/>
  <c r="AC880" i="1"/>
  <c r="AD880" i="1"/>
  <c r="AE880" i="1"/>
  <c r="AC881" i="1"/>
  <c r="AD881" i="1"/>
  <c r="AE881" i="1"/>
  <c r="AC882" i="1"/>
  <c r="AD882" i="1"/>
  <c r="AE882" i="1"/>
  <c r="AC883" i="1"/>
  <c r="AD883" i="1"/>
  <c r="AE883" i="1"/>
  <c r="AC884" i="1"/>
  <c r="AD884" i="1"/>
  <c r="AE884" i="1"/>
  <c r="AC885" i="1"/>
  <c r="AD885" i="1"/>
  <c r="AE885" i="1"/>
  <c r="AC886" i="1"/>
  <c r="AD886" i="1"/>
  <c r="AE886" i="1"/>
  <c r="AC887" i="1"/>
  <c r="AD887" i="1"/>
  <c r="AE887" i="1"/>
  <c r="AC888" i="1"/>
  <c r="AD888" i="1"/>
  <c r="AE888" i="1"/>
  <c r="AC889" i="1"/>
  <c r="AD889" i="1"/>
  <c r="AE889" i="1"/>
  <c r="AC890" i="1"/>
  <c r="AD890" i="1"/>
  <c r="AE890" i="1"/>
  <c r="AC891" i="1"/>
  <c r="AD891" i="1"/>
  <c r="AE891" i="1"/>
  <c r="AC892" i="1"/>
  <c r="AD892" i="1"/>
  <c r="AE892" i="1"/>
  <c r="AC893" i="1"/>
  <c r="AD893" i="1"/>
  <c r="AE893" i="1"/>
  <c r="AC894" i="1"/>
  <c r="AD894" i="1"/>
  <c r="AE894" i="1"/>
  <c r="AC895" i="1"/>
  <c r="AD895" i="1"/>
  <c r="AE895" i="1"/>
  <c r="AC896" i="1"/>
  <c r="AD896" i="1"/>
  <c r="AE896" i="1"/>
  <c r="AC897" i="1"/>
  <c r="AD897" i="1"/>
  <c r="AE897" i="1"/>
  <c r="AC898" i="1"/>
  <c r="AD898" i="1"/>
  <c r="AE898" i="1"/>
  <c r="AC899" i="1"/>
  <c r="AD899" i="1"/>
  <c r="AE899" i="1"/>
  <c r="AC900" i="1"/>
  <c r="AD900" i="1"/>
  <c r="AE900" i="1"/>
  <c r="AC901" i="1"/>
  <c r="AD901" i="1"/>
  <c r="AE901" i="1"/>
  <c r="AC902" i="1"/>
  <c r="AD902" i="1"/>
  <c r="AE902" i="1"/>
  <c r="AC903" i="1"/>
  <c r="AD903" i="1"/>
  <c r="AE903" i="1"/>
  <c r="AC904" i="1"/>
  <c r="AD904" i="1"/>
  <c r="AE904" i="1"/>
  <c r="AC905" i="1"/>
  <c r="AD905" i="1"/>
  <c r="AE905" i="1"/>
  <c r="AC906" i="1"/>
  <c r="AD906" i="1"/>
  <c r="AE906" i="1"/>
  <c r="AC907" i="1"/>
  <c r="AD907" i="1"/>
  <c r="AE907" i="1"/>
  <c r="AC908" i="1"/>
  <c r="AD908" i="1"/>
  <c r="AE908" i="1"/>
  <c r="AC909" i="1"/>
  <c r="AD909" i="1"/>
  <c r="AE909" i="1"/>
  <c r="AC910" i="1"/>
  <c r="AD910" i="1"/>
  <c r="AE910" i="1"/>
  <c r="AC911" i="1"/>
  <c r="AD911" i="1"/>
  <c r="AE911" i="1"/>
  <c r="AC912" i="1"/>
  <c r="AD912" i="1"/>
  <c r="AE912" i="1"/>
  <c r="AC913" i="1"/>
  <c r="AD913" i="1"/>
  <c r="AE913" i="1"/>
  <c r="AC914" i="1"/>
  <c r="AD914" i="1"/>
  <c r="AE914" i="1"/>
  <c r="AC915" i="1"/>
  <c r="AD915" i="1"/>
  <c r="AE915" i="1"/>
  <c r="AC916" i="1"/>
  <c r="AD916" i="1"/>
  <c r="AE916" i="1"/>
  <c r="AC917" i="1"/>
  <c r="AD917" i="1"/>
  <c r="AE917" i="1"/>
  <c r="AC918" i="1"/>
  <c r="AD918" i="1"/>
  <c r="AE918" i="1"/>
  <c r="AC919" i="1"/>
  <c r="AD919" i="1"/>
  <c r="AE919" i="1"/>
  <c r="AC920" i="1"/>
  <c r="AD920" i="1"/>
  <c r="AE920" i="1"/>
  <c r="AC921" i="1"/>
  <c r="AD921" i="1"/>
  <c r="AE921" i="1"/>
  <c r="AC922" i="1"/>
  <c r="AD922" i="1"/>
  <c r="AE922" i="1"/>
  <c r="AC923" i="1"/>
  <c r="AD923" i="1"/>
  <c r="AE923" i="1"/>
  <c r="AC924" i="1"/>
  <c r="AD924" i="1"/>
  <c r="AE924" i="1"/>
  <c r="AC925" i="1"/>
  <c r="AD925" i="1"/>
  <c r="AE925" i="1"/>
  <c r="AC926" i="1"/>
  <c r="AD926" i="1"/>
  <c r="AE926" i="1"/>
  <c r="AC927" i="1"/>
  <c r="AD927" i="1"/>
  <c r="AE927" i="1"/>
  <c r="AC928" i="1"/>
  <c r="AD928" i="1"/>
  <c r="AE928" i="1"/>
  <c r="AC929" i="1"/>
  <c r="AD929" i="1"/>
  <c r="AE929" i="1"/>
  <c r="AC930" i="1"/>
  <c r="AD930" i="1"/>
  <c r="AE930" i="1"/>
  <c r="AC931" i="1"/>
  <c r="AD931" i="1"/>
  <c r="AE931" i="1"/>
  <c r="AC932" i="1"/>
  <c r="AD932" i="1"/>
  <c r="AE932" i="1"/>
  <c r="AC933" i="1"/>
  <c r="AD933" i="1"/>
  <c r="AE933" i="1"/>
  <c r="AC934" i="1"/>
  <c r="AD934" i="1"/>
  <c r="AE934" i="1"/>
  <c r="AC935" i="1"/>
  <c r="AD935" i="1"/>
  <c r="AE935" i="1"/>
  <c r="AC936" i="1"/>
  <c r="AD936" i="1"/>
  <c r="AE936" i="1"/>
  <c r="AC937" i="1"/>
  <c r="AD937" i="1"/>
  <c r="AE937" i="1"/>
  <c r="AC938" i="1"/>
  <c r="AD938" i="1"/>
  <c r="AE938" i="1"/>
  <c r="AC939" i="1"/>
  <c r="AD939" i="1"/>
  <c r="AE939" i="1"/>
  <c r="AC940" i="1"/>
  <c r="AD940" i="1"/>
  <c r="AE940" i="1"/>
  <c r="AC941" i="1"/>
  <c r="AD941" i="1"/>
  <c r="AE941" i="1"/>
  <c r="AC942" i="1"/>
  <c r="AD942" i="1"/>
  <c r="AE942" i="1"/>
  <c r="AC943" i="1"/>
  <c r="AD943" i="1"/>
  <c r="AE943" i="1"/>
  <c r="AC944" i="1"/>
  <c r="AD944" i="1"/>
  <c r="AE944" i="1"/>
  <c r="AC945" i="1"/>
  <c r="AD945" i="1"/>
  <c r="AE945" i="1"/>
  <c r="AC946" i="1"/>
  <c r="AD946" i="1"/>
  <c r="AE946" i="1"/>
  <c r="AC947" i="1"/>
  <c r="AD947" i="1"/>
  <c r="AE947" i="1"/>
  <c r="AC948" i="1"/>
  <c r="AD948" i="1"/>
  <c r="AE948" i="1"/>
  <c r="AC949" i="1"/>
  <c r="AD949" i="1"/>
  <c r="AE949" i="1"/>
  <c r="AC950" i="1"/>
  <c r="AD950" i="1"/>
  <c r="AE950" i="1"/>
  <c r="AC951" i="1"/>
  <c r="AD951" i="1"/>
  <c r="AE951" i="1"/>
  <c r="AC952" i="1"/>
  <c r="AD952" i="1"/>
  <c r="AE952" i="1"/>
  <c r="AC953" i="1"/>
  <c r="AD953" i="1"/>
  <c r="AE953" i="1"/>
  <c r="AC954" i="1"/>
  <c r="AD954" i="1"/>
  <c r="AE954" i="1"/>
  <c r="AC955" i="1"/>
  <c r="AD955" i="1"/>
  <c r="AE955" i="1"/>
  <c r="AC956" i="1"/>
  <c r="AD956" i="1"/>
  <c r="AE956" i="1"/>
  <c r="AC957" i="1"/>
  <c r="AD957" i="1"/>
  <c r="AE957" i="1"/>
  <c r="AC958" i="1"/>
  <c r="AD958" i="1"/>
  <c r="AE958" i="1"/>
  <c r="AC959" i="1"/>
  <c r="AD959" i="1"/>
  <c r="AE959" i="1"/>
  <c r="AC960" i="1"/>
  <c r="AD960" i="1"/>
  <c r="AE960" i="1"/>
  <c r="AC961" i="1"/>
  <c r="AD961" i="1"/>
  <c r="AE961" i="1"/>
  <c r="AC962" i="1"/>
  <c r="AD962" i="1"/>
  <c r="AE962" i="1"/>
  <c r="AC963" i="1"/>
  <c r="AD963" i="1"/>
  <c r="AE963" i="1"/>
  <c r="AC964" i="1"/>
  <c r="AD964" i="1"/>
  <c r="AE964" i="1"/>
  <c r="AC965" i="1"/>
  <c r="AD965" i="1"/>
  <c r="AE965" i="1"/>
  <c r="AC966" i="1"/>
  <c r="AD966" i="1"/>
  <c r="AE966" i="1"/>
  <c r="AC967" i="1"/>
  <c r="AD967" i="1"/>
  <c r="AE967" i="1"/>
  <c r="AC968" i="1"/>
  <c r="AD968" i="1"/>
  <c r="AE968" i="1"/>
  <c r="AC969" i="1"/>
  <c r="AD969" i="1"/>
  <c r="AE969" i="1"/>
  <c r="AC970" i="1"/>
  <c r="AD970" i="1"/>
  <c r="AE970" i="1"/>
  <c r="AC971" i="1"/>
  <c r="AD971" i="1"/>
  <c r="AE971" i="1"/>
  <c r="AC972" i="1"/>
  <c r="AD972" i="1"/>
  <c r="AE972" i="1"/>
  <c r="AC973" i="1"/>
  <c r="AD973" i="1"/>
  <c r="AE973" i="1"/>
  <c r="AC974" i="1"/>
  <c r="AD974" i="1"/>
  <c r="AE974" i="1"/>
  <c r="AC975" i="1"/>
  <c r="AD975" i="1"/>
  <c r="AE975" i="1"/>
  <c r="AC976" i="1"/>
  <c r="AD976" i="1"/>
  <c r="AE976" i="1"/>
  <c r="AC977" i="1"/>
  <c r="AD977" i="1"/>
  <c r="AE977" i="1"/>
  <c r="AC978" i="1"/>
  <c r="AD978" i="1"/>
  <c r="AE978" i="1"/>
  <c r="AC979" i="1"/>
  <c r="AD979" i="1"/>
  <c r="AE979" i="1"/>
  <c r="AC980" i="1"/>
  <c r="AD980" i="1"/>
  <c r="AE980" i="1"/>
  <c r="AC981" i="1"/>
  <c r="AD981" i="1"/>
  <c r="AE981" i="1"/>
  <c r="AC982" i="1"/>
  <c r="AD982" i="1"/>
  <c r="AE982" i="1"/>
  <c r="AC983" i="1"/>
  <c r="AD983" i="1"/>
  <c r="AE983" i="1"/>
  <c r="AC984" i="1"/>
  <c r="AD984" i="1"/>
  <c r="AE984" i="1"/>
  <c r="AC985" i="1"/>
  <c r="AD985" i="1"/>
  <c r="AE985" i="1"/>
  <c r="AC986" i="1"/>
  <c r="AD986" i="1"/>
  <c r="AE986" i="1"/>
  <c r="AC987" i="1"/>
  <c r="AD987" i="1"/>
  <c r="AE987" i="1"/>
  <c r="AC988" i="1"/>
  <c r="AD988" i="1"/>
  <c r="AE988" i="1"/>
  <c r="AC989" i="1"/>
  <c r="AD989" i="1"/>
  <c r="AE989" i="1"/>
  <c r="AC990" i="1"/>
  <c r="AD990" i="1"/>
  <c r="AE990" i="1"/>
  <c r="AC991" i="1"/>
  <c r="AD991" i="1"/>
  <c r="AE991" i="1"/>
  <c r="AC992" i="1"/>
  <c r="AD992" i="1"/>
  <c r="AE992" i="1"/>
  <c r="AC993" i="1"/>
  <c r="AD993" i="1"/>
  <c r="AE993" i="1"/>
  <c r="AC994" i="1"/>
  <c r="AD994" i="1"/>
  <c r="AE994" i="1"/>
  <c r="AC995" i="1"/>
  <c r="AD995" i="1"/>
  <c r="AE995" i="1"/>
  <c r="AC996" i="1"/>
  <c r="AD996" i="1"/>
  <c r="AE996" i="1"/>
  <c r="AC997" i="1"/>
  <c r="AD997" i="1"/>
  <c r="AE997" i="1"/>
  <c r="AC998" i="1"/>
  <c r="AD998" i="1"/>
  <c r="AE998" i="1"/>
  <c r="AC999" i="1"/>
  <c r="AD999" i="1"/>
  <c r="AE999" i="1"/>
  <c r="AC1000" i="1"/>
  <c r="AD1000" i="1"/>
  <c r="AE1000" i="1"/>
  <c r="AD37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F47" i="1"/>
  <c r="L47" i="1"/>
  <c r="S47" i="1"/>
  <c r="T47" i="1"/>
  <c r="U47" i="1"/>
  <c r="F48" i="1"/>
  <c r="L48" i="1"/>
  <c r="S48" i="1"/>
  <c r="T48" i="1"/>
  <c r="U48" i="1"/>
  <c r="F49" i="1"/>
  <c r="L49" i="1"/>
  <c r="S49" i="1"/>
  <c r="T49" i="1"/>
  <c r="U49" i="1"/>
  <c r="F50" i="1"/>
  <c r="L50" i="1"/>
  <c r="S50" i="1"/>
  <c r="T50" i="1"/>
  <c r="U50" i="1"/>
  <c r="F51" i="1"/>
  <c r="L51" i="1"/>
  <c r="S51" i="1"/>
  <c r="T51" i="1"/>
  <c r="U51" i="1"/>
  <c r="F52" i="1"/>
  <c r="L52" i="1"/>
  <c r="S52" i="1"/>
  <c r="T52" i="1"/>
  <c r="U52" i="1"/>
  <c r="F53" i="1"/>
  <c r="L53" i="1"/>
  <c r="S53" i="1"/>
  <c r="T53" i="1"/>
  <c r="U53" i="1"/>
  <c r="F54" i="1"/>
  <c r="L54" i="1"/>
  <c r="S54" i="1"/>
  <c r="T54" i="1"/>
  <c r="U54" i="1"/>
  <c r="F55" i="1"/>
  <c r="L55" i="1"/>
  <c r="S55" i="1"/>
  <c r="T55" i="1"/>
  <c r="U55" i="1"/>
  <c r="F56" i="1"/>
  <c r="L56" i="1"/>
  <c r="S56" i="1"/>
  <c r="T56" i="1"/>
  <c r="U56" i="1"/>
  <c r="F57" i="1"/>
  <c r="L57" i="1"/>
  <c r="S57" i="1"/>
  <c r="T57" i="1"/>
  <c r="U57" i="1"/>
  <c r="F58" i="1"/>
  <c r="L58" i="1"/>
  <c r="S58" i="1"/>
  <c r="T58" i="1"/>
  <c r="U58" i="1"/>
  <c r="F59" i="1"/>
  <c r="L59" i="1"/>
  <c r="S59" i="1"/>
  <c r="T59" i="1"/>
  <c r="U59" i="1"/>
  <c r="F60" i="1"/>
  <c r="L60" i="1"/>
  <c r="S60" i="1"/>
  <c r="T60" i="1"/>
  <c r="U60" i="1"/>
  <c r="F61" i="1"/>
  <c r="L61" i="1"/>
  <c r="S61" i="1"/>
  <c r="T61" i="1"/>
  <c r="U61" i="1"/>
  <c r="F62" i="1"/>
  <c r="L62" i="1"/>
  <c r="S62" i="1"/>
  <c r="T62" i="1"/>
  <c r="U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H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H1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36" i="1"/>
  <c r="B2" i="1"/>
  <c r="V5" i="1"/>
  <c r="E1" i="1"/>
  <c r="D50" i="1"/>
  <c r="G50" i="1"/>
  <c r="K50" i="1"/>
  <c r="AA50" i="1"/>
  <c r="D51" i="1"/>
  <c r="G51" i="1"/>
  <c r="K51" i="1"/>
  <c r="AA51" i="1"/>
  <c r="D52" i="1"/>
  <c r="G52" i="1"/>
  <c r="K52" i="1"/>
  <c r="AA52" i="1"/>
  <c r="D53" i="1"/>
  <c r="G53" i="1"/>
  <c r="K53" i="1"/>
  <c r="AA53" i="1"/>
  <c r="D54" i="1"/>
  <c r="G54" i="1"/>
  <c r="K54" i="1"/>
  <c r="AA54" i="1"/>
  <c r="D55" i="1"/>
  <c r="G55" i="1"/>
  <c r="K55" i="1"/>
  <c r="AA55" i="1"/>
  <c r="D56" i="1"/>
  <c r="G56" i="1"/>
  <c r="K56" i="1"/>
  <c r="AA56" i="1"/>
  <c r="D57" i="1"/>
  <c r="G57" i="1"/>
  <c r="K57" i="1"/>
  <c r="AA57" i="1"/>
  <c r="D58" i="1"/>
  <c r="G58" i="1"/>
  <c r="K58" i="1"/>
  <c r="AA58" i="1"/>
  <c r="D59" i="1"/>
  <c r="G59" i="1"/>
  <c r="K59" i="1"/>
  <c r="AA59" i="1"/>
  <c r="D60" i="1"/>
  <c r="G60" i="1"/>
  <c r="K60" i="1"/>
  <c r="AA60" i="1"/>
  <c r="D61" i="1"/>
  <c r="G61" i="1"/>
  <c r="K61" i="1"/>
  <c r="AA61" i="1"/>
  <c r="D62" i="1"/>
  <c r="G62" i="1"/>
  <c r="K62" i="1"/>
  <c r="Q62" i="1"/>
  <c r="Z62" i="1"/>
  <c r="AA62" i="1"/>
  <c r="D63" i="1"/>
  <c r="G63" i="1"/>
  <c r="I63" i="1"/>
  <c r="K63" i="1"/>
  <c r="Q63" i="1"/>
  <c r="S63" i="1"/>
  <c r="T63" i="1"/>
  <c r="U63" i="1"/>
  <c r="Z63" i="1"/>
  <c r="AA63" i="1"/>
  <c r="D64" i="1"/>
  <c r="G64" i="1"/>
  <c r="I64" i="1"/>
  <c r="K64" i="1"/>
  <c r="Q64" i="1"/>
  <c r="S64" i="1"/>
  <c r="T64" i="1"/>
  <c r="U64" i="1"/>
  <c r="Z64" i="1"/>
  <c r="AA64" i="1"/>
  <c r="D65" i="1"/>
  <c r="G65" i="1"/>
  <c r="I65" i="1"/>
  <c r="K65" i="1"/>
  <c r="Q65" i="1"/>
  <c r="S65" i="1"/>
  <c r="T65" i="1"/>
  <c r="U65" i="1"/>
  <c r="Z65" i="1"/>
  <c r="AA65" i="1"/>
  <c r="D66" i="1"/>
  <c r="G66" i="1"/>
  <c r="I66" i="1"/>
  <c r="K66" i="1"/>
  <c r="Q66" i="1"/>
  <c r="S66" i="1"/>
  <c r="T66" i="1"/>
  <c r="U66" i="1"/>
  <c r="Z66" i="1"/>
  <c r="AA66" i="1"/>
  <c r="D67" i="1"/>
  <c r="G67" i="1"/>
  <c r="I67" i="1"/>
  <c r="K67" i="1"/>
  <c r="Q67" i="1"/>
  <c r="S67" i="1"/>
  <c r="T67" i="1"/>
  <c r="U67" i="1"/>
  <c r="Z67" i="1"/>
  <c r="AA67" i="1"/>
  <c r="D68" i="1"/>
  <c r="G68" i="1"/>
  <c r="I68" i="1"/>
  <c r="K68" i="1"/>
  <c r="Q68" i="1"/>
  <c r="S68" i="1"/>
  <c r="T68" i="1"/>
  <c r="U68" i="1"/>
  <c r="Z68" i="1"/>
  <c r="AA68" i="1"/>
  <c r="D69" i="1"/>
  <c r="G69" i="1"/>
  <c r="I69" i="1"/>
  <c r="K69" i="1"/>
  <c r="Q69" i="1"/>
  <c r="S69" i="1"/>
  <c r="T69" i="1"/>
  <c r="U69" i="1"/>
  <c r="Z69" i="1"/>
  <c r="AA69" i="1"/>
  <c r="D70" i="1"/>
  <c r="G70" i="1"/>
  <c r="I70" i="1"/>
  <c r="K70" i="1"/>
  <c r="Q70" i="1"/>
  <c r="S70" i="1"/>
  <c r="T70" i="1"/>
  <c r="U70" i="1"/>
  <c r="Z70" i="1"/>
  <c r="AA70" i="1"/>
  <c r="D71" i="1"/>
  <c r="G71" i="1"/>
  <c r="I71" i="1"/>
  <c r="K71" i="1"/>
  <c r="Q71" i="1"/>
  <c r="S71" i="1"/>
  <c r="T71" i="1"/>
  <c r="U71" i="1"/>
  <c r="Z71" i="1"/>
  <c r="AA71" i="1"/>
  <c r="D72" i="1"/>
  <c r="G72" i="1"/>
  <c r="I72" i="1"/>
  <c r="K72" i="1"/>
  <c r="Q72" i="1"/>
  <c r="S72" i="1"/>
  <c r="T72" i="1"/>
  <c r="U72" i="1"/>
  <c r="Z72" i="1"/>
  <c r="AA72" i="1"/>
  <c r="D73" i="1"/>
  <c r="G73" i="1"/>
  <c r="I73" i="1"/>
  <c r="K73" i="1"/>
  <c r="Q73" i="1"/>
  <c r="S73" i="1"/>
  <c r="T73" i="1"/>
  <c r="U73" i="1"/>
  <c r="Z73" i="1"/>
  <c r="AA73" i="1"/>
  <c r="D74" i="1"/>
  <c r="G74" i="1"/>
  <c r="I74" i="1"/>
  <c r="K74" i="1"/>
  <c r="Q74" i="1"/>
  <c r="S74" i="1"/>
  <c r="T74" i="1"/>
  <c r="U74" i="1"/>
  <c r="Z74" i="1"/>
  <c r="AA74" i="1"/>
  <c r="D75" i="1"/>
  <c r="G75" i="1"/>
  <c r="I75" i="1"/>
  <c r="K75" i="1"/>
  <c r="Q75" i="1"/>
  <c r="S75" i="1"/>
  <c r="T75" i="1"/>
  <c r="U75" i="1"/>
  <c r="Z75" i="1"/>
  <c r="AA75" i="1"/>
  <c r="D76" i="1"/>
  <c r="G76" i="1"/>
  <c r="I76" i="1"/>
  <c r="K76" i="1"/>
  <c r="Q76" i="1"/>
  <c r="S76" i="1"/>
  <c r="T76" i="1"/>
  <c r="U76" i="1"/>
  <c r="Z76" i="1"/>
  <c r="AA76" i="1"/>
  <c r="D77" i="1"/>
  <c r="G77" i="1"/>
  <c r="I77" i="1"/>
  <c r="K77" i="1"/>
  <c r="Q77" i="1"/>
  <c r="S77" i="1"/>
  <c r="T77" i="1"/>
  <c r="U77" i="1"/>
  <c r="Z77" i="1"/>
  <c r="AA77" i="1"/>
  <c r="D78" i="1"/>
  <c r="G78" i="1"/>
  <c r="I78" i="1"/>
  <c r="K78" i="1"/>
  <c r="Q78" i="1"/>
  <c r="S78" i="1"/>
  <c r="T78" i="1"/>
  <c r="U78" i="1"/>
  <c r="Z78" i="1"/>
  <c r="AA78" i="1"/>
  <c r="D79" i="1"/>
  <c r="G79" i="1"/>
  <c r="I79" i="1"/>
  <c r="K79" i="1"/>
  <c r="Q79" i="1"/>
  <c r="S79" i="1"/>
  <c r="T79" i="1"/>
  <c r="U79" i="1"/>
  <c r="Z79" i="1"/>
  <c r="AA79" i="1"/>
  <c r="D80" i="1"/>
  <c r="G80" i="1"/>
  <c r="I80" i="1"/>
  <c r="K80" i="1"/>
  <c r="Q80" i="1"/>
  <c r="S80" i="1"/>
  <c r="T80" i="1"/>
  <c r="U80" i="1"/>
  <c r="Z80" i="1"/>
  <c r="AA80" i="1"/>
  <c r="D81" i="1"/>
  <c r="G81" i="1"/>
  <c r="I81" i="1"/>
  <c r="K81" i="1"/>
  <c r="Q81" i="1"/>
  <c r="S81" i="1"/>
  <c r="T81" i="1"/>
  <c r="U81" i="1"/>
  <c r="Z81" i="1"/>
  <c r="AA81" i="1"/>
  <c r="D82" i="1"/>
  <c r="G82" i="1"/>
  <c r="I82" i="1"/>
  <c r="K82" i="1"/>
  <c r="Q82" i="1"/>
  <c r="S82" i="1"/>
  <c r="T82" i="1"/>
  <c r="U82" i="1"/>
  <c r="Z82" i="1"/>
  <c r="AA82" i="1"/>
  <c r="D83" i="1"/>
  <c r="G83" i="1"/>
  <c r="I83" i="1"/>
  <c r="K83" i="1"/>
  <c r="Q83" i="1"/>
  <c r="S83" i="1"/>
  <c r="T83" i="1"/>
  <c r="U83" i="1"/>
  <c r="Z83" i="1"/>
  <c r="AA83" i="1"/>
  <c r="D84" i="1"/>
  <c r="G84" i="1"/>
  <c r="I84" i="1"/>
  <c r="K84" i="1"/>
  <c r="Q84" i="1"/>
  <c r="S84" i="1"/>
  <c r="T84" i="1"/>
  <c r="U84" i="1"/>
  <c r="Z84" i="1"/>
  <c r="AA84" i="1"/>
  <c r="D85" i="1"/>
  <c r="G85" i="1"/>
  <c r="I85" i="1"/>
  <c r="K85" i="1"/>
  <c r="Q85" i="1"/>
  <c r="S85" i="1"/>
  <c r="T85" i="1"/>
  <c r="U85" i="1"/>
  <c r="Z85" i="1"/>
  <c r="AA85" i="1"/>
  <c r="D86" i="1"/>
  <c r="G86" i="1"/>
  <c r="I86" i="1"/>
  <c r="K86" i="1"/>
  <c r="Q86" i="1"/>
  <c r="S86" i="1"/>
  <c r="T86" i="1"/>
  <c r="U86" i="1"/>
  <c r="Z86" i="1"/>
  <c r="AA86" i="1"/>
  <c r="D87" i="1"/>
  <c r="G87" i="1"/>
  <c r="I87" i="1"/>
  <c r="K87" i="1"/>
  <c r="Q87" i="1"/>
  <c r="S87" i="1"/>
  <c r="T87" i="1"/>
  <c r="U87" i="1"/>
  <c r="Z87" i="1"/>
  <c r="AA87" i="1"/>
  <c r="D88" i="1"/>
  <c r="G88" i="1"/>
  <c r="I88" i="1"/>
  <c r="K88" i="1"/>
  <c r="Q88" i="1"/>
  <c r="S88" i="1"/>
  <c r="T88" i="1"/>
  <c r="U88" i="1"/>
  <c r="Z88" i="1"/>
  <c r="AA88" i="1"/>
  <c r="D89" i="1"/>
  <c r="G89" i="1"/>
  <c r="I89" i="1"/>
  <c r="K89" i="1"/>
  <c r="Q89" i="1"/>
  <c r="S89" i="1"/>
  <c r="T89" i="1"/>
  <c r="U89" i="1"/>
  <c r="Z89" i="1"/>
  <c r="AA89" i="1"/>
  <c r="D90" i="1"/>
  <c r="G90" i="1"/>
  <c r="I90" i="1"/>
  <c r="K90" i="1"/>
  <c r="Q90" i="1"/>
  <c r="S90" i="1"/>
  <c r="T90" i="1"/>
  <c r="U90" i="1"/>
  <c r="Z90" i="1"/>
  <c r="AA90" i="1"/>
  <c r="D91" i="1"/>
  <c r="G91" i="1"/>
  <c r="I91" i="1"/>
  <c r="K91" i="1"/>
  <c r="Q91" i="1"/>
  <c r="S91" i="1"/>
  <c r="T91" i="1"/>
  <c r="U91" i="1"/>
  <c r="Z91" i="1"/>
  <c r="AA91" i="1"/>
  <c r="D92" i="1"/>
  <c r="G92" i="1"/>
  <c r="I92" i="1"/>
  <c r="K92" i="1"/>
  <c r="Q92" i="1"/>
  <c r="S92" i="1"/>
  <c r="T92" i="1"/>
  <c r="U92" i="1"/>
  <c r="Z92" i="1"/>
  <c r="AA92" i="1"/>
  <c r="D93" i="1"/>
  <c r="G93" i="1"/>
  <c r="I93" i="1"/>
  <c r="K93" i="1"/>
  <c r="Q93" i="1"/>
  <c r="S93" i="1"/>
  <c r="T93" i="1"/>
  <c r="U93" i="1"/>
  <c r="Z93" i="1"/>
  <c r="AA93" i="1"/>
  <c r="D94" i="1"/>
  <c r="G94" i="1"/>
  <c r="I94" i="1"/>
  <c r="K94" i="1"/>
  <c r="Q94" i="1"/>
  <c r="S94" i="1"/>
  <c r="T94" i="1"/>
  <c r="U94" i="1"/>
  <c r="Z94" i="1"/>
  <c r="AA94" i="1"/>
  <c r="D95" i="1"/>
  <c r="G95" i="1"/>
  <c r="I95" i="1"/>
  <c r="K95" i="1"/>
  <c r="Q95" i="1"/>
  <c r="S95" i="1"/>
  <c r="T95" i="1"/>
  <c r="U95" i="1"/>
  <c r="Z95" i="1"/>
  <c r="AA95" i="1"/>
  <c r="D96" i="1"/>
  <c r="G96" i="1"/>
  <c r="I96" i="1"/>
  <c r="K96" i="1"/>
  <c r="Q96" i="1"/>
  <c r="S96" i="1"/>
  <c r="T96" i="1"/>
  <c r="U96" i="1"/>
  <c r="Z96" i="1"/>
  <c r="AA96" i="1"/>
  <c r="D97" i="1"/>
  <c r="G97" i="1"/>
  <c r="I97" i="1"/>
  <c r="K97" i="1"/>
  <c r="Q97" i="1"/>
  <c r="S97" i="1"/>
  <c r="T97" i="1"/>
  <c r="U97" i="1"/>
  <c r="Z97" i="1"/>
  <c r="AA97" i="1"/>
  <c r="D98" i="1"/>
  <c r="G98" i="1"/>
  <c r="I98" i="1"/>
  <c r="K98" i="1"/>
  <c r="Q98" i="1"/>
  <c r="S98" i="1"/>
  <c r="T98" i="1"/>
  <c r="U98" i="1"/>
  <c r="Z98" i="1"/>
  <c r="AA98" i="1"/>
  <c r="D99" i="1"/>
  <c r="G99" i="1"/>
  <c r="I99" i="1"/>
  <c r="K99" i="1"/>
  <c r="Q99" i="1"/>
  <c r="S99" i="1"/>
  <c r="T99" i="1"/>
  <c r="U99" i="1"/>
  <c r="Z99" i="1"/>
  <c r="AA99" i="1"/>
  <c r="D100" i="1"/>
  <c r="G100" i="1"/>
  <c r="I100" i="1"/>
  <c r="K100" i="1"/>
  <c r="Q100" i="1"/>
  <c r="S100" i="1"/>
  <c r="T100" i="1"/>
  <c r="U100" i="1"/>
  <c r="Z100" i="1"/>
  <c r="AA100" i="1"/>
  <c r="D101" i="1"/>
  <c r="G101" i="1"/>
  <c r="I101" i="1"/>
  <c r="K101" i="1"/>
  <c r="Q101" i="1"/>
  <c r="S101" i="1"/>
  <c r="T101" i="1"/>
  <c r="U101" i="1"/>
  <c r="Z101" i="1"/>
  <c r="AA101" i="1"/>
  <c r="D102" i="1"/>
  <c r="G102" i="1"/>
  <c r="I102" i="1"/>
  <c r="K102" i="1"/>
  <c r="Q102" i="1"/>
  <c r="S102" i="1"/>
  <c r="T102" i="1"/>
  <c r="U102" i="1"/>
  <c r="Z102" i="1"/>
  <c r="AA102" i="1"/>
  <c r="D103" i="1"/>
  <c r="G103" i="1"/>
  <c r="I103" i="1"/>
  <c r="K103" i="1"/>
  <c r="Q103" i="1"/>
  <c r="S103" i="1"/>
  <c r="T103" i="1"/>
  <c r="U103" i="1"/>
  <c r="Z103" i="1"/>
  <c r="AA103" i="1"/>
  <c r="D104" i="1"/>
  <c r="G104" i="1"/>
  <c r="I104" i="1"/>
  <c r="K104" i="1"/>
  <c r="Q104" i="1"/>
  <c r="S104" i="1"/>
  <c r="T104" i="1"/>
  <c r="U104" i="1"/>
  <c r="Z104" i="1"/>
  <c r="AA104" i="1"/>
  <c r="D105" i="1"/>
  <c r="G105" i="1"/>
  <c r="I105" i="1"/>
  <c r="K105" i="1"/>
  <c r="Q105" i="1"/>
  <c r="S105" i="1"/>
  <c r="T105" i="1"/>
  <c r="U105" i="1"/>
  <c r="Z105" i="1"/>
  <c r="AA105" i="1"/>
  <c r="D106" i="1"/>
  <c r="G106" i="1"/>
  <c r="I106" i="1"/>
  <c r="K106" i="1"/>
  <c r="Q106" i="1"/>
  <c r="S106" i="1"/>
  <c r="T106" i="1"/>
  <c r="U106" i="1"/>
  <c r="Z106" i="1"/>
  <c r="AA106" i="1"/>
  <c r="D107" i="1"/>
  <c r="G107" i="1"/>
  <c r="I107" i="1"/>
  <c r="K107" i="1"/>
  <c r="Q107" i="1"/>
  <c r="S107" i="1"/>
  <c r="T107" i="1"/>
  <c r="U107" i="1"/>
  <c r="Z107" i="1"/>
  <c r="AA107" i="1"/>
  <c r="D108" i="1"/>
  <c r="G108" i="1"/>
  <c r="I108" i="1"/>
  <c r="K108" i="1"/>
  <c r="Q108" i="1"/>
  <c r="S108" i="1"/>
  <c r="T108" i="1"/>
  <c r="U108" i="1"/>
  <c r="Z108" i="1"/>
  <c r="AA108" i="1"/>
  <c r="D109" i="1"/>
  <c r="G109" i="1"/>
  <c r="I109" i="1"/>
  <c r="K109" i="1"/>
  <c r="Q109" i="1"/>
  <c r="S109" i="1"/>
  <c r="T109" i="1"/>
  <c r="U109" i="1"/>
  <c r="Z109" i="1"/>
  <c r="AA109" i="1"/>
  <c r="D110" i="1"/>
  <c r="G110" i="1"/>
  <c r="I110" i="1"/>
  <c r="K110" i="1"/>
  <c r="Q110" i="1"/>
  <c r="S110" i="1"/>
  <c r="T110" i="1"/>
  <c r="U110" i="1"/>
  <c r="Z110" i="1"/>
  <c r="AA110" i="1"/>
  <c r="D111" i="1"/>
  <c r="G111" i="1"/>
  <c r="I111" i="1"/>
  <c r="K111" i="1"/>
  <c r="Q111" i="1"/>
  <c r="S111" i="1"/>
  <c r="T111" i="1"/>
  <c r="U111" i="1"/>
  <c r="Z111" i="1"/>
  <c r="AA111" i="1"/>
  <c r="D112" i="1"/>
  <c r="G112" i="1"/>
  <c r="I112" i="1"/>
  <c r="K112" i="1"/>
  <c r="Q112" i="1"/>
  <c r="S112" i="1"/>
  <c r="T112" i="1"/>
  <c r="U112" i="1"/>
  <c r="Z112" i="1"/>
  <c r="AA112" i="1"/>
  <c r="D113" i="1"/>
  <c r="G113" i="1"/>
  <c r="I113" i="1"/>
  <c r="K113" i="1"/>
  <c r="Q113" i="1"/>
  <c r="S113" i="1"/>
  <c r="T113" i="1"/>
  <c r="U113" i="1"/>
  <c r="Z113" i="1"/>
  <c r="AA113" i="1"/>
  <c r="D114" i="1"/>
  <c r="G114" i="1"/>
  <c r="I114" i="1"/>
  <c r="K114" i="1"/>
  <c r="Q114" i="1"/>
  <c r="S114" i="1"/>
  <c r="T114" i="1"/>
  <c r="U114" i="1"/>
  <c r="Z114" i="1"/>
  <c r="AA114" i="1"/>
  <c r="D115" i="1"/>
  <c r="G115" i="1"/>
  <c r="I115" i="1"/>
  <c r="K115" i="1"/>
  <c r="Q115" i="1"/>
  <c r="S115" i="1"/>
  <c r="T115" i="1"/>
  <c r="U115" i="1"/>
  <c r="Z115" i="1"/>
  <c r="AA115" i="1"/>
  <c r="D116" i="1"/>
  <c r="G116" i="1"/>
  <c r="I116" i="1"/>
  <c r="K116" i="1"/>
  <c r="Q116" i="1"/>
  <c r="S116" i="1"/>
  <c r="T116" i="1"/>
  <c r="U116" i="1"/>
  <c r="Z116" i="1"/>
  <c r="AA116" i="1"/>
  <c r="D117" i="1"/>
  <c r="G117" i="1"/>
  <c r="I117" i="1"/>
  <c r="K117" i="1"/>
  <c r="Q117" i="1"/>
  <c r="S117" i="1"/>
  <c r="T117" i="1"/>
  <c r="U117" i="1"/>
  <c r="Z117" i="1"/>
  <c r="AA117" i="1"/>
  <c r="D118" i="1"/>
  <c r="G118" i="1"/>
  <c r="I118" i="1"/>
  <c r="K118" i="1"/>
  <c r="Q118" i="1"/>
  <c r="S118" i="1"/>
  <c r="T118" i="1"/>
  <c r="U118" i="1"/>
  <c r="Z118" i="1"/>
  <c r="AA118" i="1"/>
  <c r="D119" i="1"/>
  <c r="G119" i="1"/>
  <c r="I119" i="1"/>
  <c r="K119" i="1"/>
  <c r="Q119" i="1"/>
  <c r="S119" i="1"/>
  <c r="T119" i="1"/>
  <c r="U119" i="1"/>
  <c r="Z119" i="1"/>
  <c r="AA119" i="1"/>
  <c r="D120" i="1"/>
  <c r="G120" i="1"/>
  <c r="I120" i="1"/>
  <c r="K120" i="1"/>
  <c r="Q120" i="1"/>
  <c r="S120" i="1"/>
  <c r="T120" i="1"/>
  <c r="U120" i="1"/>
  <c r="Z120" i="1"/>
  <c r="AA120" i="1"/>
  <c r="D121" i="1"/>
  <c r="G121" i="1"/>
  <c r="I121" i="1"/>
  <c r="K121" i="1"/>
  <c r="Q121" i="1"/>
  <c r="S121" i="1"/>
  <c r="T121" i="1"/>
  <c r="U121" i="1"/>
  <c r="Z121" i="1"/>
  <c r="AA121" i="1"/>
  <c r="D122" i="1"/>
  <c r="G122" i="1"/>
  <c r="I122" i="1"/>
  <c r="K122" i="1"/>
  <c r="Q122" i="1"/>
  <c r="S122" i="1"/>
  <c r="T122" i="1"/>
  <c r="U122" i="1"/>
  <c r="Z122" i="1"/>
  <c r="AA122" i="1"/>
  <c r="D123" i="1"/>
  <c r="G123" i="1"/>
  <c r="I123" i="1"/>
  <c r="K123" i="1"/>
  <c r="Q123" i="1"/>
  <c r="S123" i="1"/>
  <c r="T123" i="1"/>
  <c r="U123" i="1"/>
  <c r="Z123" i="1"/>
  <c r="AA123" i="1"/>
  <c r="D124" i="1"/>
  <c r="G124" i="1"/>
  <c r="I124" i="1"/>
  <c r="K124" i="1"/>
  <c r="Q124" i="1"/>
  <c r="S124" i="1"/>
  <c r="T124" i="1"/>
  <c r="U124" i="1"/>
  <c r="Z124" i="1"/>
  <c r="AA124" i="1"/>
  <c r="D125" i="1"/>
  <c r="G125" i="1"/>
  <c r="I125" i="1"/>
  <c r="K125" i="1"/>
  <c r="Q125" i="1"/>
  <c r="S125" i="1"/>
  <c r="T125" i="1"/>
  <c r="U125" i="1"/>
  <c r="Z125" i="1"/>
  <c r="AA125" i="1"/>
  <c r="D126" i="1"/>
  <c r="G126" i="1"/>
  <c r="I126" i="1"/>
  <c r="K126" i="1"/>
  <c r="Q126" i="1"/>
  <c r="S126" i="1"/>
  <c r="T126" i="1"/>
  <c r="U126" i="1"/>
  <c r="Z126" i="1"/>
  <c r="AA126" i="1"/>
  <c r="D127" i="1"/>
  <c r="G127" i="1"/>
  <c r="I127" i="1"/>
  <c r="K127" i="1"/>
  <c r="Q127" i="1"/>
  <c r="S127" i="1"/>
  <c r="T127" i="1"/>
  <c r="U127" i="1"/>
  <c r="Z127" i="1"/>
  <c r="AA127" i="1"/>
  <c r="D128" i="1"/>
  <c r="G128" i="1"/>
  <c r="I128" i="1"/>
  <c r="K128" i="1"/>
  <c r="Q128" i="1"/>
  <c r="S128" i="1"/>
  <c r="T128" i="1"/>
  <c r="U128" i="1"/>
  <c r="Z128" i="1"/>
  <c r="AA128" i="1"/>
  <c r="D129" i="1"/>
  <c r="G129" i="1"/>
  <c r="I129" i="1"/>
  <c r="K129" i="1"/>
  <c r="Q129" i="1"/>
  <c r="S129" i="1"/>
  <c r="T129" i="1"/>
  <c r="U129" i="1"/>
  <c r="Z129" i="1"/>
  <c r="AA129" i="1"/>
  <c r="D130" i="1"/>
  <c r="G130" i="1"/>
  <c r="I130" i="1"/>
  <c r="K130" i="1"/>
  <c r="Q130" i="1"/>
  <c r="S130" i="1"/>
  <c r="T130" i="1"/>
  <c r="U130" i="1"/>
  <c r="Z130" i="1"/>
  <c r="AA130" i="1"/>
  <c r="D131" i="1"/>
  <c r="G131" i="1"/>
  <c r="I131" i="1"/>
  <c r="K131" i="1"/>
  <c r="Q131" i="1"/>
  <c r="S131" i="1"/>
  <c r="T131" i="1"/>
  <c r="U131" i="1"/>
  <c r="Z131" i="1"/>
  <c r="AA131" i="1"/>
  <c r="D132" i="1"/>
  <c r="G132" i="1"/>
  <c r="I132" i="1"/>
  <c r="K132" i="1"/>
  <c r="Q132" i="1"/>
  <c r="S132" i="1"/>
  <c r="T132" i="1"/>
  <c r="U132" i="1"/>
  <c r="Z132" i="1"/>
  <c r="AA132" i="1"/>
  <c r="D133" i="1"/>
  <c r="G133" i="1"/>
  <c r="I133" i="1"/>
  <c r="K133" i="1"/>
  <c r="Q133" i="1"/>
  <c r="S133" i="1"/>
  <c r="T133" i="1"/>
  <c r="U133" i="1"/>
  <c r="Z133" i="1"/>
  <c r="AA133" i="1"/>
  <c r="D134" i="1"/>
  <c r="G134" i="1"/>
  <c r="I134" i="1"/>
  <c r="K134" i="1"/>
  <c r="Q134" i="1"/>
  <c r="S134" i="1"/>
  <c r="T134" i="1"/>
  <c r="U134" i="1"/>
  <c r="Z134" i="1"/>
  <c r="AA134" i="1"/>
  <c r="D135" i="1"/>
  <c r="G135" i="1"/>
  <c r="I135" i="1"/>
  <c r="K135" i="1"/>
  <c r="Q135" i="1"/>
  <c r="S135" i="1"/>
  <c r="T135" i="1"/>
  <c r="U135" i="1"/>
  <c r="Z135" i="1"/>
  <c r="AA135" i="1"/>
  <c r="D136" i="1"/>
  <c r="G136" i="1"/>
  <c r="I136" i="1"/>
  <c r="K136" i="1"/>
  <c r="Q136" i="1"/>
  <c r="S136" i="1"/>
  <c r="T136" i="1"/>
  <c r="U136" i="1"/>
  <c r="Z136" i="1"/>
  <c r="AA136" i="1"/>
  <c r="D137" i="1"/>
  <c r="G137" i="1"/>
  <c r="I137" i="1"/>
  <c r="K137" i="1"/>
  <c r="Q137" i="1"/>
  <c r="S137" i="1"/>
  <c r="T137" i="1"/>
  <c r="U137" i="1"/>
  <c r="Z137" i="1"/>
  <c r="AA137" i="1"/>
  <c r="D138" i="1"/>
  <c r="G138" i="1"/>
  <c r="I138" i="1"/>
  <c r="K138" i="1"/>
  <c r="Q138" i="1"/>
  <c r="S138" i="1"/>
  <c r="T138" i="1"/>
  <c r="U138" i="1"/>
  <c r="Z138" i="1"/>
  <c r="AA138" i="1"/>
  <c r="D139" i="1"/>
  <c r="G139" i="1"/>
  <c r="I139" i="1"/>
  <c r="K139" i="1"/>
  <c r="Q139" i="1"/>
  <c r="S139" i="1"/>
  <c r="T139" i="1"/>
  <c r="U139" i="1"/>
  <c r="Z139" i="1"/>
  <c r="AA139" i="1"/>
  <c r="D140" i="1"/>
  <c r="G140" i="1"/>
  <c r="I140" i="1"/>
  <c r="K140" i="1"/>
  <c r="Q140" i="1"/>
  <c r="S140" i="1"/>
  <c r="T140" i="1"/>
  <c r="U140" i="1"/>
  <c r="Z140" i="1"/>
  <c r="AA140" i="1"/>
  <c r="D141" i="1"/>
  <c r="G141" i="1"/>
  <c r="I141" i="1"/>
  <c r="K141" i="1"/>
  <c r="Q141" i="1"/>
  <c r="S141" i="1"/>
  <c r="T141" i="1"/>
  <c r="U141" i="1"/>
  <c r="Z141" i="1"/>
  <c r="AA141" i="1"/>
  <c r="D142" i="1"/>
  <c r="G142" i="1"/>
  <c r="I142" i="1"/>
  <c r="K142" i="1"/>
  <c r="Q142" i="1"/>
  <c r="S142" i="1"/>
  <c r="T142" i="1"/>
  <c r="U142" i="1"/>
  <c r="Z142" i="1"/>
  <c r="AA142" i="1"/>
  <c r="D143" i="1"/>
  <c r="G143" i="1"/>
  <c r="I143" i="1"/>
  <c r="K143" i="1"/>
  <c r="Q143" i="1"/>
  <c r="S143" i="1"/>
  <c r="T143" i="1"/>
  <c r="U143" i="1"/>
  <c r="Z143" i="1"/>
  <c r="AA143" i="1"/>
  <c r="D144" i="1"/>
  <c r="G144" i="1"/>
  <c r="I144" i="1"/>
  <c r="K144" i="1"/>
  <c r="Q144" i="1"/>
  <c r="S144" i="1"/>
  <c r="T144" i="1"/>
  <c r="U144" i="1"/>
  <c r="Z144" i="1"/>
  <c r="AA144" i="1"/>
  <c r="D145" i="1"/>
  <c r="G145" i="1"/>
  <c r="I145" i="1"/>
  <c r="K145" i="1"/>
  <c r="Q145" i="1"/>
  <c r="S145" i="1"/>
  <c r="T145" i="1"/>
  <c r="U145" i="1"/>
  <c r="Z145" i="1"/>
  <c r="AA145" i="1"/>
  <c r="D146" i="1"/>
  <c r="G146" i="1"/>
  <c r="I146" i="1"/>
  <c r="K146" i="1"/>
  <c r="Q146" i="1"/>
  <c r="S146" i="1"/>
  <c r="T146" i="1"/>
  <c r="U146" i="1"/>
  <c r="Z146" i="1"/>
  <c r="AA146" i="1"/>
  <c r="D147" i="1"/>
  <c r="G147" i="1"/>
  <c r="I147" i="1"/>
  <c r="K147" i="1"/>
  <c r="Q147" i="1"/>
  <c r="S147" i="1"/>
  <c r="T147" i="1"/>
  <c r="U147" i="1"/>
  <c r="Z147" i="1"/>
  <c r="AA147" i="1"/>
  <c r="D148" i="1"/>
  <c r="G148" i="1"/>
  <c r="I148" i="1"/>
  <c r="K148" i="1"/>
  <c r="Q148" i="1"/>
  <c r="S148" i="1"/>
  <c r="T148" i="1"/>
  <c r="U148" i="1"/>
  <c r="Z148" i="1"/>
  <c r="AA148" i="1"/>
  <c r="D149" i="1"/>
  <c r="G149" i="1"/>
  <c r="I149" i="1"/>
  <c r="K149" i="1"/>
  <c r="Q149" i="1"/>
  <c r="S149" i="1"/>
  <c r="T149" i="1"/>
  <c r="U149" i="1"/>
  <c r="Z149" i="1"/>
  <c r="AA149" i="1"/>
  <c r="D150" i="1"/>
  <c r="G150" i="1"/>
  <c r="I150" i="1"/>
  <c r="K150" i="1"/>
  <c r="Q150" i="1"/>
  <c r="S150" i="1"/>
  <c r="T150" i="1"/>
  <c r="U150" i="1"/>
  <c r="Z150" i="1"/>
  <c r="AA150" i="1"/>
  <c r="D151" i="1"/>
  <c r="G151" i="1"/>
  <c r="I151" i="1"/>
  <c r="K151" i="1"/>
  <c r="Q151" i="1"/>
  <c r="S151" i="1"/>
  <c r="T151" i="1"/>
  <c r="U151" i="1"/>
  <c r="Z151" i="1"/>
  <c r="AA151" i="1"/>
  <c r="D152" i="1"/>
  <c r="G152" i="1"/>
  <c r="I152" i="1"/>
  <c r="K152" i="1"/>
  <c r="Q152" i="1"/>
  <c r="S152" i="1"/>
  <c r="T152" i="1"/>
  <c r="U152" i="1"/>
  <c r="Z152" i="1"/>
  <c r="AA152" i="1"/>
  <c r="D153" i="1"/>
  <c r="G153" i="1"/>
  <c r="I153" i="1"/>
  <c r="K153" i="1"/>
  <c r="Q153" i="1"/>
  <c r="S153" i="1"/>
  <c r="T153" i="1"/>
  <c r="U153" i="1"/>
  <c r="Z153" i="1"/>
  <c r="AA153" i="1"/>
  <c r="D154" i="1"/>
  <c r="G154" i="1"/>
  <c r="I154" i="1"/>
  <c r="K154" i="1"/>
  <c r="Q154" i="1"/>
  <c r="S154" i="1"/>
  <c r="T154" i="1"/>
  <c r="U154" i="1"/>
  <c r="Z154" i="1"/>
  <c r="AA154" i="1"/>
  <c r="D155" i="1"/>
  <c r="G155" i="1"/>
  <c r="I155" i="1"/>
  <c r="K155" i="1"/>
  <c r="Q155" i="1"/>
  <c r="S155" i="1"/>
  <c r="T155" i="1"/>
  <c r="U155" i="1"/>
  <c r="Z155" i="1"/>
  <c r="AA155" i="1"/>
  <c r="D156" i="1"/>
  <c r="G156" i="1"/>
  <c r="I156" i="1"/>
  <c r="K156" i="1"/>
  <c r="Q156" i="1"/>
  <c r="S156" i="1"/>
  <c r="T156" i="1"/>
  <c r="U156" i="1"/>
  <c r="Z156" i="1"/>
  <c r="AA156" i="1"/>
  <c r="D157" i="1"/>
  <c r="G157" i="1"/>
  <c r="I157" i="1"/>
  <c r="K157" i="1"/>
  <c r="Q157" i="1"/>
  <c r="S157" i="1"/>
  <c r="T157" i="1"/>
  <c r="U157" i="1"/>
  <c r="Z157" i="1"/>
  <c r="AA157" i="1"/>
  <c r="D158" i="1"/>
  <c r="G158" i="1"/>
  <c r="I158" i="1"/>
  <c r="K158" i="1"/>
  <c r="Q158" i="1"/>
  <c r="S158" i="1"/>
  <c r="T158" i="1"/>
  <c r="U158" i="1"/>
  <c r="Z158" i="1"/>
  <c r="AA158" i="1"/>
  <c r="D159" i="1"/>
  <c r="G159" i="1"/>
  <c r="I159" i="1"/>
  <c r="K159" i="1"/>
  <c r="Q159" i="1"/>
  <c r="S159" i="1"/>
  <c r="T159" i="1"/>
  <c r="U159" i="1"/>
  <c r="Z159" i="1"/>
  <c r="AA159" i="1"/>
  <c r="D160" i="1"/>
  <c r="G160" i="1"/>
  <c r="I160" i="1"/>
  <c r="K160" i="1"/>
  <c r="Q160" i="1"/>
  <c r="S160" i="1"/>
  <c r="T160" i="1"/>
  <c r="U160" i="1"/>
  <c r="Z160" i="1"/>
  <c r="AA160" i="1"/>
  <c r="D161" i="1"/>
  <c r="G161" i="1"/>
  <c r="I161" i="1"/>
  <c r="K161" i="1"/>
  <c r="Q161" i="1"/>
  <c r="S161" i="1"/>
  <c r="T161" i="1"/>
  <c r="U161" i="1"/>
  <c r="Z161" i="1"/>
  <c r="AA161" i="1"/>
  <c r="D162" i="1"/>
  <c r="G162" i="1"/>
  <c r="I162" i="1"/>
  <c r="K162" i="1"/>
  <c r="Q162" i="1"/>
  <c r="S162" i="1"/>
  <c r="T162" i="1"/>
  <c r="U162" i="1"/>
  <c r="Z162" i="1"/>
  <c r="AA162" i="1"/>
  <c r="D163" i="1"/>
  <c r="G163" i="1"/>
  <c r="I163" i="1"/>
  <c r="K163" i="1"/>
  <c r="Q163" i="1"/>
  <c r="S163" i="1"/>
  <c r="T163" i="1"/>
  <c r="U163" i="1"/>
  <c r="Z163" i="1"/>
  <c r="AA163" i="1"/>
  <c r="D164" i="1"/>
  <c r="G164" i="1"/>
  <c r="I164" i="1"/>
  <c r="K164" i="1"/>
  <c r="Q164" i="1"/>
  <c r="S164" i="1"/>
  <c r="T164" i="1"/>
  <c r="U164" i="1"/>
  <c r="Z164" i="1"/>
  <c r="AA164" i="1"/>
  <c r="D165" i="1"/>
  <c r="G165" i="1"/>
  <c r="I165" i="1"/>
  <c r="K165" i="1"/>
  <c r="Q165" i="1"/>
  <c r="S165" i="1"/>
  <c r="T165" i="1"/>
  <c r="U165" i="1"/>
  <c r="Z165" i="1"/>
  <c r="AA165" i="1"/>
  <c r="D166" i="1"/>
  <c r="G166" i="1"/>
  <c r="I166" i="1"/>
  <c r="K166" i="1"/>
  <c r="Q166" i="1"/>
  <c r="S166" i="1"/>
  <c r="T166" i="1"/>
  <c r="U166" i="1"/>
  <c r="Z166" i="1"/>
  <c r="AA166" i="1"/>
  <c r="D167" i="1"/>
  <c r="G167" i="1"/>
  <c r="I167" i="1"/>
  <c r="K167" i="1"/>
  <c r="Q167" i="1"/>
  <c r="S167" i="1"/>
  <c r="T167" i="1"/>
  <c r="U167" i="1"/>
  <c r="Z167" i="1"/>
  <c r="AA167" i="1"/>
  <c r="D168" i="1"/>
  <c r="G168" i="1"/>
  <c r="I168" i="1"/>
  <c r="K168" i="1"/>
  <c r="Q168" i="1"/>
  <c r="S168" i="1"/>
  <c r="T168" i="1"/>
  <c r="U168" i="1"/>
  <c r="Z168" i="1"/>
  <c r="AA168" i="1"/>
  <c r="D169" i="1"/>
  <c r="G169" i="1"/>
  <c r="I169" i="1"/>
  <c r="K169" i="1"/>
  <c r="Q169" i="1"/>
  <c r="S169" i="1"/>
  <c r="T169" i="1"/>
  <c r="U169" i="1"/>
  <c r="Z169" i="1"/>
  <c r="AA169" i="1"/>
  <c r="D170" i="1"/>
  <c r="G170" i="1"/>
  <c r="I170" i="1"/>
  <c r="K170" i="1"/>
  <c r="Q170" i="1"/>
  <c r="S170" i="1"/>
  <c r="T170" i="1"/>
  <c r="U170" i="1"/>
  <c r="Z170" i="1"/>
  <c r="AA170" i="1"/>
  <c r="D171" i="1"/>
  <c r="G171" i="1"/>
  <c r="I171" i="1"/>
  <c r="K171" i="1"/>
  <c r="Q171" i="1"/>
  <c r="S171" i="1"/>
  <c r="T171" i="1"/>
  <c r="U171" i="1"/>
  <c r="Z171" i="1"/>
  <c r="AA171" i="1"/>
  <c r="D172" i="1"/>
  <c r="G172" i="1"/>
  <c r="I172" i="1"/>
  <c r="K172" i="1"/>
  <c r="Q172" i="1"/>
  <c r="S172" i="1"/>
  <c r="T172" i="1"/>
  <c r="U172" i="1"/>
  <c r="Z172" i="1"/>
  <c r="AA172" i="1"/>
  <c r="D173" i="1"/>
  <c r="G173" i="1"/>
  <c r="I173" i="1"/>
  <c r="K173" i="1"/>
  <c r="Q173" i="1"/>
  <c r="S173" i="1"/>
  <c r="T173" i="1"/>
  <c r="U173" i="1"/>
  <c r="Z173" i="1"/>
  <c r="AA173" i="1"/>
  <c r="D174" i="1"/>
  <c r="G174" i="1"/>
  <c r="I174" i="1"/>
  <c r="K174" i="1"/>
  <c r="Q174" i="1"/>
  <c r="S174" i="1"/>
  <c r="T174" i="1"/>
  <c r="U174" i="1"/>
  <c r="Z174" i="1"/>
  <c r="AA174" i="1"/>
  <c r="D175" i="1"/>
  <c r="G175" i="1"/>
  <c r="I175" i="1"/>
  <c r="K175" i="1"/>
  <c r="Q175" i="1"/>
  <c r="S175" i="1"/>
  <c r="T175" i="1"/>
  <c r="U175" i="1"/>
  <c r="Z175" i="1"/>
  <c r="AA175" i="1"/>
  <c r="D176" i="1"/>
  <c r="G176" i="1"/>
  <c r="I176" i="1"/>
  <c r="K176" i="1"/>
  <c r="Q176" i="1"/>
  <c r="S176" i="1"/>
  <c r="T176" i="1"/>
  <c r="U176" i="1"/>
  <c r="Z176" i="1"/>
  <c r="AA176" i="1"/>
  <c r="D177" i="1"/>
  <c r="G177" i="1"/>
  <c r="I177" i="1"/>
  <c r="K177" i="1"/>
  <c r="Q177" i="1"/>
  <c r="S177" i="1"/>
  <c r="T177" i="1"/>
  <c r="U177" i="1"/>
  <c r="Z177" i="1"/>
  <c r="AA177" i="1"/>
  <c r="D178" i="1"/>
  <c r="G178" i="1"/>
  <c r="I178" i="1"/>
  <c r="K178" i="1"/>
  <c r="Q178" i="1"/>
  <c r="S178" i="1"/>
  <c r="T178" i="1"/>
  <c r="U178" i="1"/>
  <c r="Z178" i="1"/>
  <c r="AA178" i="1"/>
  <c r="D179" i="1"/>
  <c r="G179" i="1"/>
  <c r="I179" i="1"/>
  <c r="K179" i="1"/>
  <c r="Q179" i="1"/>
  <c r="S179" i="1"/>
  <c r="T179" i="1"/>
  <c r="U179" i="1"/>
  <c r="Z179" i="1"/>
  <c r="AA179" i="1"/>
  <c r="D180" i="1"/>
  <c r="G180" i="1"/>
  <c r="I180" i="1"/>
  <c r="K180" i="1"/>
  <c r="Q180" i="1"/>
  <c r="S180" i="1"/>
  <c r="T180" i="1"/>
  <c r="U180" i="1"/>
  <c r="Z180" i="1"/>
  <c r="AA180" i="1"/>
  <c r="D181" i="1"/>
  <c r="G181" i="1"/>
  <c r="I181" i="1"/>
  <c r="K181" i="1"/>
  <c r="Q181" i="1"/>
  <c r="S181" i="1"/>
  <c r="T181" i="1"/>
  <c r="U181" i="1"/>
  <c r="Z181" i="1"/>
  <c r="AA181" i="1"/>
  <c r="D182" i="1"/>
  <c r="G182" i="1"/>
  <c r="I182" i="1"/>
  <c r="K182" i="1"/>
  <c r="Q182" i="1"/>
  <c r="S182" i="1"/>
  <c r="T182" i="1"/>
  <c r="U182" i="1"/>
  <c r="Z182" i="1"/>
  <c r="AA182" i="1"/>
  <c r="D183" i="1"/>
  <c r="G183" i="1"/>
  <c r="I183" i="1"/>
  <c r="K183" i="1"/>
  <c r="Q183" i="1"/>
  <c r="S183" i="1"/>
  <c r="T183" i="1"/>
  <c r="U183" i="1"/>
  <c r="Z183" i="1"/>
  <c r="AA183" i="1"/>
  <c r="D184" i="1"/>
  <c r="G184" i="1"/>
  <c r="I184" i="1"/>
  <c r="K184" i="1"/>
  <c r="Q184" i="1"/>
  <c r="S184" i="1"/>
  <c r="T184" i="1"/>
  <c r="U184" i="1"/>
  <c r="Z184" i="1"/>
  <c r="AA184" i="1"/>
  <c r="D185" i="1"/>
  <c r="G185" i="1"/>
  <c r="I185" i="1"/>
  <c r="K185" i="1"/>
  <c r="Q185" i="1"/>
  <c r="S185" i="1"/>
  <c r="T185" i="1"/>
  <c r="U185" i="1"/>
  <c r="Z185" i="1"/>
  <c r="AA185" i="1"/>
  <c r="D186" i="1"/>
  <c r="G186" i="1"/>
  <c r="I186" i="1"/>
  <c r="K186" i="1"/>
  <c r="Q186" i="1"/>
  <c r="S186" i="1"/>
  <c r="T186" i="1"/>
  <c r="U186" i="1"/>
  <c r="Z186" i="1"/>
  <c r="AA186" i="1"/>
  <c r="D187" i="1"/>
  <c r="G187" i="1"/>
  <c r="I187" i="1"/>
  <c r="K187" i="1"/>
  <c r="Q187" i="1"/>
  <c r="S187" i="1"/>
  <c r="T187" i="1"/>
  <c r="U187" i="1"/>
  <c r="Z187" i="1"/>
  <c r="AA187" i="1"/>
  <c r="D188" i="1"/>
  <c r="G188" i="1"/>
  <c r="I188" i="1"/>
  <c r="K188" i="1"/>
  <c r="Q188" i="1"/>
  <c r="S188" i="1"/>
  <c r="T188" i="1"/>
  <c r="U188" i="1"/>
  <c r="Z188" i="1"/>
  <c r="AA188" i="1"/>
  <c r="D189" i="1"/>
  <c r="G189" i="1"/>
  <c r="I189" i="1"/>
  <c r="K189" i="1"/>
  <c r="Q189" i="1"/>
  <c r="S189" i="1"/>
  <c r="T189" i="1"/>
  <c r="U189" i="1"/>
  <c r="Z189" i="1"/>
  <c r="AA189" i="1"/>
  <c r="D190" i="1"/>
  <c r="G190" i="1"/>
  <c r="I190" i="1"/>
  <c r="K190" i="1"/>
  <c r="Q190" i="1"/>
  <c r="S190" i="1"/>
  <c r="T190" i="1"/>
  <c r="U190" i="1"/>
  <c r="Z190" i="1"/>
  <c r="AA190" i="1"/>
  <c r="D191" i="1"/>
  <c r="G191" i="1"/>
  <c r="I191" i="1"/>
  <c r="K191" i="1"/>
  <c r="Q191" i="1"/>
  <c r="S191" i="1"/>
  <c r="T191" i="1"/>
  <c r="U191" i="1"/>
  <c r="Z191" i="1"/>
  <c r="AA191" i="1"/>
  <c r="D192" i="1"/>
  <c r="G192" i="1"/>
  <c r="I192" i="1"/>
  <c r="K192" i="1"/>
  <c r="Q192" i="1"/>
  <c r="S192" i="1"/>
  <c r="T192" i="1"/>
  <c r="U192" i="1"/>
  <c r="Z192" i="1"/>
  <c r="AA192" i="1"/>
  <c r="D193" i="1"/>
  <c r="G193" i="1"/>
  <c r="I193" i="1"/>
  <c r="K193" i="1"/>
  <c r="Q193" i="1"/>
  <c r="S193" i="1"/>
  <c r="T193" i="1"/>
  <c r="U193" i="1"/>
  <c r="Z193" i="1"/>
  <c r="AA193" i="1"/>
  <c r="D194" i="1"/>
  <c r="G194" i="1"/>
  <c r="I194" i="1"/>
  <c r="K194" i="1"/>
  <c r="Q194" i="1"/>
  <c r="S194" i="1"/>
  <c r="T194" i="1"/>
  <c r="U194" i="1"/>
  <c r="Z194" i="1"/>
  <c r="AA194" i="1"/>
  <c r="D195" i="1"/>
  <c r="G195" i="1"/>
  <c r="I195" i="1"/>
  <c r="K195" i="1"/>
  <c r="Q195" i="1"/>
  <c r="S195" i="1"/>
  <c r="T195" i="1"/>
  <c r="U195" i="1"/>
  <c r="Z195" i="1"/>
  <c r="AA195" i="1"/>
  <c r="D196" i="1"/>
  <c r="G196" i="1"/>
  <c r="I196" i="1"/>
  <c r="K196" i="1"/>
  <c r="Q196" i="1"/>
  <c r="S196" i="1"/>
  <c r="T196" i="1"/>
  <c r="U196" i="1"/>
  <c r="Z196" i="1"/>
  <c r="AA196" i="1"/>
  <c r="D197" i="1"/>
  <c r="G197" i="1"/>
  <c r="I197" i="1"/>
  <c r="K197" i="1"/>
  <c r="Q197" i="1"/>
  <c r="S197" i="1"/>
  <c r="T197" i="1"/>
  <c r="U197" i="1"/>
  <c r="Z197" i="1"/>
  <c r="AA197" i="1"/>
  <c r="D198" i="1"/>
  <c r="G198" i="1"/>
  <c r="I198" i="1"/>
  <c r="K198" i="1"/>
  <c r="Q198" i="1"/>
  <c r="S198" i="1"/>
  <c r="T198" i="1"/>
  <c r="U198" i="1"/>
  <c r="Z198" i="1"/>
  <c r="AA198" i="1"/>
  <c r="D199" i="1"/>
  <c r="G199" i="1"/>
  <c r="I199" i="1"/>
  <c r="K199" i="1"/>
  <c r="Q199" i="1"/>
  <c r="S199" i="1"/>
  <c r="T199" i="1"/>
  <c r="U199" i="1"/>
  <c r="Z199" i="1"/>
  <c r="AA199" i="1"/>
  <c r="D200" i="1"/>
  <c r="G200" i="1"/>
  <c r="I200" i="1"/>
  <c r="K200" i="1"/>
  <c r="Q200" i="1"/>
  <c r="S200" i="1"/>
  <c r="T200" i="1"/>
  <c r="U200" i="1"/>
  <c r="Z200" i="1"/>
  <c r="AA200" i="1"/>
  <c r="D201" i="1"/>
  <c r="G201" i="1"/>
  <c r="I201" i="1"/>
  <c r="K201" i="1"/>
  <c r="Q201" i="1"/>
  <c r="S201" i="1"/>
  <c r="T201" i="1"/>
  <c r="U201" i="1"/>
  <c r="Z201" i="1"/>
  <c r="AA201" i="1"/>
  <c r="D202" i="1"/>
  <c r="G202" i="1"/>
  <c r="I202" i="1"/>
  <c r="K202" i="1"/>
  <c r="Q202" i="1"/>
  <c r="S202" i="1"/>
  <c r="T202" i="1"/>
  <c r="U202" i="1"/>
  <c r="Z202" i="1"/>
  <c r="AA202" i="1"/>
  <c r="D203" i="1"/>
  <c r="G203" i="1"/>
  <c r="I203" i="1"/>
  <c r="K203" i="1"/>
  <c r="Q203" i="1"/>
  <c r="S203" i="1"/>
  <c r="T203" i="1"/>
  <c r="U203" i="1"/>
  <c r="Z203" i="1"/>
  <c r="AA203" i="1"/>
  <c r="D204" i="1"/>
  <c r="G204" i="1"/>
  <c r="I204" i="1"/>
  <c r="K204" i="1"/>
  <c r="Q204" i="1"/>
  <c r="S204" i="1"/>
  <c r="T204" i="1"/>
  <c r="U204" i="1"/>
  <c r="Z204" i="1"/>
  <c r="AA204" i="1"/>
  <c r="D205" i="1"/>
  <c r="G205" i="1"/>
  <c r="I205" i="1"/>
  <c r="K205" i="1"/>
  <c r="Q205" i="1"/>
  <c r="S205" i="1"/>
  <c r="T205" i="1"/>
  <c r="U205" i="1"/>
  <c r="Z205" i="1"/>
  <c r="AA205" i="1"/>
  <c r="D206" i="1"/>
  <c r="G206" i="1"/>
  <c r="I206" i="1"/>
  <c r="K206" i="1"/>
  <c r="Q206" i="1"/>
  <c r="S206" i="1"/>
  <c r="T206" i="1"/>
  <c r="U206" i="1"/>
  <c r="Z206" i="1"/>
  <c r="AA206" i="1"/>
  <c r="D207" i="1"/>
  <c r="G207" i="1"/>
  <c r="I207" i="1"/>
  <c r="K207" i="1"/>
  <c r="Q207" i="1"/>
  <c r="S207" i="1"/>
  <c r="T207" i="1"/>
  <c r="U207" i="1"/>
  <c r="Z207" i="1"/>
  <c r="AA207" i="1"/>
  <c r="D208" i="1"/>
  <c r="G208" i="1"/>
  <c r="I208" i="1"/>
  <c r="K208" i="1"/>
  <c r="Q208" i="1"/>
  <c r="S208" i="1"/>
  <c r="T208" i="1"/>
  <c r="U208" i="1"/>
  <c r="Z208" i="1"/>
  <c r="AA208" i="1"/>
  <c r="D209" i="1"/>
  <c r="G209" i="1"/>
  <c r="I209" i="1"/>
  <c r="K209" i="1"/>
  <c r="Q209" i="1"/>
  <c r="S209" i="1"/>
  <c r="T209" i="1"/>
  <c r="U209" i="1"/>
  <c r="Z209" i="1"/>
  <c r="AA209" i="1"/>
  <c r="D210" i="1"/>
  <c r="G210" i="1"/>
  <c r="I210" i="1"/>
  <c r="K210" i="1"/>
  <c r="Q210" i="1"/>
  <c r="S210" i="1"/>
  <c r="T210" i="1"/>
  <c r="U210" i="1"/>
  <c r="Z210" i="1"/>
  <c r="AA210" i="1"/>
  <c r="D211" i="1"/>
  <c r="G211" i="1"/>
  <c r="I211" i="1"/>
  <c r="K211" i="1"/>
  <c r="Q211" i="1"/>
  <c r="S211" i="1"/>
  <c r="T211" i="1"/>
  <c r="U211" i="1"/>
  <c r="Z211" i="1"/>
  <c r="AA211" i="1"/>
  <c r="D212" i="1"/>
  <c r="G212" i="1"/>
  <c r="I212" i="1"/>
  <c r="K212" i="1"/>
  <c r="Q212" i="1"/>
  <c r="S212" i="1"/>
  <c r="T212" i="1"/>
  <c r="U212" i="1"/>
  <c r="Z212" i="1"/>
  <c r="AA212" i="1"/>
  <c r="D213" i="1"/>
  <c r="G213" i="1"/>
  <c r="I213" i="1"/>
  <c r="K213" i="1"/>
  <c r="Q213" i="1"/>
  <c r="S213" i="1"/>
  <c r="T213" i="1"/>
  <c r="U213" i="1"/>
  <c r="Z213" i="1"/>
  <c r="AA213" i="1"/>
  <c r="D214" i="1"/>
  <c r="G214" i="1"/>
  <c r="I214" i="1"/>
  <c r="K214" i="1"/>
  <c r="Q214" i="1"/>
  <c r="S214" i="1"/>
  <c r="T214" i="1"/>
  <c r="U214" i="1"/>
  <c r="Z214" i="1"/>
  <c r="AA214" i="1"/>
  <c r="D215" i="1"/>
  <c r="G215" i="1"/>
  <c r="I215" i="1"/>
  <c r="K215" i="1"/>
  <c r="Q215" i="1"/>
  <c r="S215" i="1"/>
  <c r="T215" i="1"/>
  <c r="U215" i="1"/>
  <c r="Z215" i="1"/>
  <c r="AA215" i="1"/>
  <c r="D216" i="1"/>
  <c r="G216" i="1"/>
  <c r="I216" i="1"/>
  <c r="K216" i="1"/>
  <c r="Q216" i="1"/>
  <c r="S216" i="1"/>
  <c r="T216" i="1"/>
  <c r="U216" i="1"/>
  <c r="Z216" i="1"/>
  <c r="AA216" i="1"/>
  <c r="D217" i="1"/>
  <c r="G217" i="1"/>
  <c r="I217" i="1"/>
  <c r="K217" i="1"/>
  <c r="Q217" i="1"/>
  <c r="S217" i="1"/>
  <c r="T217" i="1"/>
  <c r="U217" i="1"/>
  <c r="Z217" i="1"/>
  <c r="AA217" i="1"/>
  <c r="D218" i="1"/>
  <c r="G218" i="1"/>
  <c r="I218" i="1"/>
  <c r="K218" i="1"/>
  <c r="Q218" i="1"/>
  <c r="S218" i="1"/>
  <c r="T218" i="1"/>
  <c r="U218" i="1"/>
  <c r="Z218" i="1"/>
  <c r="AA218" i="1"/>
  <c r="D219" i="1"/>
  <c r="G219" i="1"/>
  <c r="I219" i="1"/>
  <c r="K219" i="1"/>
  <c r="Q219" i="1"/>
  <c r="S219" i="1"/>
  <c r="T219" i="1"/>
  <c r="U219" i="1"/>
  <c r="Z219" i="1"/>
  <c r="AA219" i="1"/>
  <c r="D220" i="1"/>
  <c r="G220" i="1"/>
  <c r="I220" i="1"/>
  <c r="K220" i="1"/>
  <c r="Q220" i="1"/>
  <c r="S220" i="1"/>
  <c r="T220" i="1"/>
  <c r="U220" i="1"/>
  <c r="Z220" i="1"/>
  <c r="AA220" i="1"/>
  <c r="D221" i="1"/>
  <c r="G221" i="1"/>
  <c r="I221" i="1"/>
  <c r="K221" i="1"/>
  <c r="Q221" i="1"/>
  <c r="S221" i="1"/>
  <c r="T221" i="1"/>
  <c r="U221" i="1"/>
  <c r="Z221" i="1"/>
  <c r="AA221" i="1"/>
  <c r="D222" i="1"/>
  <c r="G222" i="1"/>
  <c r="I222" i="1"/>
  <c r="K222" i="1"/>
  <c r="Q222" i="1"/>
  <c r="S222" i="1"/>
  <c r="T222" i="1"/>
  <c r="U222" i="1"/>
  <c r="Z222" i="1"/>
  <c r="AA222" i="1"/>
  <c r="D223" i="1"/>
  <c r="G223" i="1"/>
  <c r="I223" i="1"/>
  <c r="K223" i="1"/>
  <c r="Q223" i="1"/>
  <c r="S223" i="1"/>
  <c r="T223" i="1"/>
  <c r="U223" i="1"/>
  <c r="Z223" i="1"/>
  <c r="AA223" i="1"/>
  <c r="D224" i="1"/>
  <c r="G224" i="1"/>
  <c r="I224" i="1"/>
  <c r="K224" i="1"/>
  <c r="Q224" i="1"/>
  <c r="S224" i="1"/>
  <c r="T224" i="1"/>
  <c r="U224" i="1"/>
  <c r="Z224" i="1"/>
  <c r="AA224" i="1"/>
  <c r="D225" i="1"/>
  <c r="G225" i="1"/>
  <c r="I225" i="1"/>
  <c r="K225" i="1"/>
  <c r="Q225" i="1"/>
  <c r="S225" i="1"/>
  <c r="T225" i="1"/>
  <c r="U225" i="1"/>
  <c r="Z225" i="1"/>
  <c r="AA225" i="1"/>
  <c r="D226" i="1"/>
  <c r="G226" i="1"/>
  <c r="I226" i="1"/>
  <c r="K226" i="1"/>
  <c r="Q226" i="1"/>
  <c r="S226" i="1"/>
  <c r="T226" i="1"/>
  <c r="U226" i="1"/>
  <c r="Z226" i="1"/>
  <c r="AA226" i="1"/>
  <c r="D227" i="1"/>
  <c r="G227" i="1"/>
  <c r="I227" i="1"/>
  <c r="K227" i="1"/>
  <c r="Q227" i="1"/>
  <c r="S227" i="1"/>
  <c r="T227" i="1"/>
  <c r="U227" i="1"/>
  <c r="Z227" i="1"/>
  <c r="AA227" i="1"/>
  <c r="D228" i="1"/>
  <c r="G228" i="1"/>
  <c r="I228" i="1"/>
  <c r="K228" i="1"/>
  <c r="Q228" i="1"/>
  <c r="S228" i="1"/>
  <c r="T228" i="1"/>
  <c r="U228" i="1"/>
  <c r="Z228" i="1"/>
  <c r="AA228" i="1"/>
  <c r="D229" i="1"/>
  <c r="G229" i="1"/>
  <c r="I229" i="1"/>
  <c r="K229" i="1"/>
  <c r="Q229" i="1"/>
  <c r="S229" i="1"/>
  <c r="T229" i="1"/>
  <c r="U229" i="1"/>
  <c r="Z229" i="1"/>
  <c r="AA229" i="1"/>
  <c r="D230" i="1"/>
  <c r="G230" i="1"/>
  <c r="I230" i="1"/>
  <c r="K230" i="1"/>
  <c r="Q230" i="1"/>
  <c r="S230" i="1"/>
  <c r="T230" i="1"/>
  <c r="U230" i="1"/>
  <c r="Z230" i="1"/>
  <c r="AA230" i="1"/>
  <c r="D231" i="1"/>
  <c r="G231" i="1"/>
  <c r="I231" i="1"/>
  <c r="K231" i="1"/>
  <c r="Q231" i="1"/>
  <c r="S231" i="1"/>
  <c r="T231" i="1"/>
  <c r="U231" i="1"/>
  <c r="Z231" i="1"/>
  <c r="AA231" i="1"/>
  <c r="D232" i="1"/>
  <c r="G232" i="1"/>
  <c r="I232" i="1"/>
  <c r="K232" i="1"/>
  <c r="Q232" i="1"/>
  <c r="S232" i="1"/>
  <c r="T232" i="1"/>
  <c r="U232" i="1"/>
  <c r="Z232" i="1"/>
  <c r="AA232" i="1"/>
  <c r="D233" i="1"/>
  <c r="G233" i="1"/>
  <c r="I233" i="1"/>
  <c r="K233" i="1"/>
  <c r="Q233" i="1"/>
  <c r="S233" i="1"/>
  <c r="T233" i="1"/>
  <c r="U233" i="1"/>
  <c r="Z233" i="1"/>
  <c r="AA233" i="1"/>
  <c r="D234" i="1"/>
  <c r="G234" i="1"/>
  <c r="I234" i="1"/>
  <c r="K234" i="1"/>
  <c r="Q234" i="1"/>
  <c r="S234" i="1"/>
  <c r="T234" i="1"/>
  <c r="U234" i="1"/>
  <c r="Z234" i="1"/>
  <c r="AA234" i="1"/>
  <c r="D235" i="1"/>
  <c r="G235" i="1"/>
  <c r="I235" i="1"/>
  <c r="K235" i="1"/>
  <c r="Q235" i="1"/>
  <c r="S235" i="1"/>
  <c r="T235" i="1"/>
  <c r="U235" i="1"/>
  <c r="Z235" i="1"/>
  <c r="AA235" i="1"/>
  <c r="D236" i="1"/>
  <c r="G236" i="1"/>
  <c r="I236" i="1"/>
  <c r="K236" i="1"/>
  <c r="Q236" i="1"/>
  <c r="S236" i="1"/>
  <c r="T236" i="1"/>
  <c r="U236" i="1"/>
  <c r="Z236" i="1"/>
  <c r="AA236" i="1"/>
  <c r="D237" i="1"/>
  <c r="G237" i="1"/>
  <c r="I237" i="1"/>
  <c r="K237" i="1"/>
  <c r="Q237" i="1"/>
  <c r="S237" i="1"/>
  <c r="T237" i="1"/>
  <c r="U237" i="1"/>
  <c r="Z237" i="1"/>
  <c r="AA237" i="1"/>
  <c r="D238" i="1"/>
  <c r="G238" i="1"/>
  <c r="I238" i="1"/>
  <c r="K238" i="1"/>
  <c r="Q238" i="1"/>
  <c r="S238" i="1"/>
  <c r="T238" i="1"/>
  <c r="U238" i="1"/>
  <c r="Z238" i="1"/>
  <c r="AA238" i="1"/>
  <c r="D239" i="1"/>
  <c r="G239" i="1"/>
  <c r="I239" i="1"/>
  <c r="K239" i="1"/>
  <c r="Q239" i="1"/>
  <c r="S239" i="1"/>
  <c r="T239" i="1"/>
  <c r="U239" i="1"/>
  <c r="Z239" i="1"/>
  <c r="AA239" i="1"/>
  <c r="D240" i="1"/>
  <c r="G240" i="1"/>
  <c r="I240" i="1"/>
  <c r="K240" i="1"/>
  <c r="Q240" i="1"/>
  <c r="S240" i="1"/>
  <c r="T240" i="1"/>
  <c r="U240" i="1"/>
  <c r="Z240" i="1"/>
  <c r="AA240" i="1"/>
  <c r="D241" i="1"/>
  <c r="G241" i="1"/>
  <c r="I241" i="1"/>
  <c r="K241" i="1"/>
  <c r="Q241" i="1"/>
  <c r="S241" i="1"/>
  <c r="T241" i="1"/>
  <c r="U241" i="1"/>
  <c r="Z241" i="1"/>
  <c r="AA241" i="1"/>
  <c r="D242" i="1"/>
  <c r="G242" i="1"/>
  <c r="I242" i="1"/>
  <c r="K242" i="1"/>
  <c r="Q242" i="1"/>
  <c r="S242" i="1"/>
  <c r="T242" i="1"/>
  <c r="U242" i="1"/>
  <c r="Z242" i="1"/>
  <c r="AA242" i="1"/>
  <c r="D243" i="1"/>
  <c r="G243" i="1"/>
  <c r="I243" i="1"/>
  <c r="K243" i="1"/>
  <c r="Q243" i="1"/>
  <c r="S243" i="1"/>
  <c r="T243" i="1"/>
  <c r="U243" i="1"/>
  <c r="Z243" i="1"/>
  <c r="AA243" i="1"/>
  <c r="D244" i="1"/>
  <c r="G244" i="1"/>
  <c r="I244" i="1"/>
  <c r="K244" i="1"/>
  <c r="Q244" i="1"/>
  <c r="S244" i="1"/>
  <c r="T244" i="1"/>
  <c r="U244" i="1"/>
  <c r="Z244" i="1"/>
  <c r="AA244" i="1"/>
  <c r="D245" i="1"/>
  <c r="G245" i="1"/>
  <c r="I245" i="1"/>
  <c r="K245" i="1"/>
  <c r="Q245" i="1"/>
  <c r="S245" i="1"/>
  <c r="T245" i="1"/>
  <c r="U245" i="1"/>
  <c r="Z245" i="1"/>
  <c r="AA245" i="1"/>
  <c r="D246" i="1"/>
  <c r="G246" i="1"/>
  <c r="I246" i="1"/>
  <c r="K246" i="1"/>
  <c r="Q246" i="1"/>
  <c r="S246" i="1"/>
  <c r="T246" i="1"/>
  <c r="U246" i="1"/>
  <c r="Z246" i="1"/>
  <c r="AA246" i="1"/>
  <c r="D247" i="1"/>
  <c r="G247" i="1"/>
  <c r="I247" i="1"/>
  <c r="K247" i="1"/>
  <c r="Q247" i="1"/>
  <c r="S247" i="1"/>
  <c r="T247" i="1"/>
  <c r="U247" i="1"/>
  <c r="Z247" i="1"/>
  <c r="AA247" i="1"/>
  <c r="D248" i="1"/>
  <c r="G248" i="1"/>
  <c r="I248" i="1"/>
  <c r="K248" i="1"/>
  <c r="Q248" i="1"/>
  <c r="S248" i="1"/>
  <c r="T248" i="1"/>
  <c r="U248" i="1"/>
  <c r="Z248" i="1"/>
  <c r="AA248" i="1"/>
  <c r="D249" i="1"/>
  <c r="G249" i="1"/>
  <c r="I249" i="1"/>
  <c r="K249" i="1"/>
  <c r="Q249" i="1"/>
  <c r="S249" i="1"/>
  <c r="T249" i="1"/>
  <c r="U249" i="1"/>
  <c r="Z249" i="1"/>
  <c r="AA249" i="1"/>
  <c r="D250" i="1"/>
  <c r="G250" i="1"/>
  <c r="I250" i="1"/>
  <c r="K250" i="1"/>
  <c r="Q250" i="1"/>
  <c r="S250" i="1"/>
  <c r="T250" i="1"/>
  <c r="U250" i="1"/>
  <c r="Z250" i="1"/>
  <c r="AA250" i="1"/>
  <c r="D251" i="1"/>
  <c r="G251" i="1"/>
  <c r="I251" i="1"/>
  <c r="K251" i="1"/>
  <c r="Q251" i="1"/>
  <c r="S251" i="1"/>
  <c r="T251" i="1"/>
  <c r="U251" i="1"/>
  <c r="Z251" i="1"/>
  <c r="AA251" i="1"/>
  <c r="D252" i="1"/>
  <c r="G252" i="1"/>
  <c r="I252" i="1"/>
  <c r="K252" i="1"/>
  <c r="Q252" i="1"/>
  <c r="S252" i="1"/>
  <c r="T252" i="1"/>
  <c r="U252" i="1"/>
  <c r="Z252" i="1"/>
  <c r="AA252" i="1"/>
  <c r="D253" i="1"/>
  <c r="G253" i="1"/>
  <c r="I253" i="1"/>
  <c r="K253" i="1"/>
  <c r="Q253" i="1"/>
  <c r="S253" i="1"/>
  <c r="T253" i="1"/>
  <c r="U253" i="1"/>
  <c r="Z253" i="1"/>
  <c r="AA253" i="1"/>
  <c r="D254" i="1"/>
  <c r="G254" i="1"/>
  <c r="I254" i="1"/>
  <c r="K254" i="1"/>
  <c r="Q254" i="1"/>
  <c r="S254" i="1"/>
  <c r="T254" i="1"/>
  <c r="U254" i="1"/>
  <c r="Z254" i="1"/>
  <c r="AA254" i="1"/>
  <c r="D255" i="1"/>
  <c r="G255" i="1"/>
  <c r="I255" i="1"/>
  <c r="K255" i="1"/>
  <c r="Q255" i="1"/>
  <c r="S255" i="1"/>
  <c r="T255" i="1"/>
  <c r="U255" i="1"/>
  <c r="Z255" i="1"/>
  <c r="AA255" i="1"/>
  <c r="D256" i="1"/>
  <c r="G256" i="1"/>
  <c r="I256" i="1"/>
  <c r="K256" i="1"/>
  <c r="Q256" i="1"/>
  <c r="S256" i="1"/>
  <c r="T256" i="1"/>
  <c r="U256" i="1"/>
  <c r="Z256" i="1"/>
  <c r="AA256" i="1"/>
  <c r="D257" i="1"/>
  <c r="G257" i="1"/>
  <c r="I257" i="1"/>
  <c r="K257" i="1"/>
  <c r="Q257" i="1"/>
  <c r="S257" i="1"/>
  <c r="T257" i="1"/>
  <c r="U257" i="1"/>
  <c r="Z257" i="1"/>
  <c r="AA257" i="1"/>
  <c r="D258" i="1"/>
  <c r="G258" i="1"/>
  <c r="I258" i="1"/>
  <c r="K258" i="1"/>
  <c r="Q258" i="1"/>
  <c r="S258" i="1"/>
  <c r="T258" i="1"/>
  <c r="U258" i="1"/>
  <c r="Z258" i="1"/>
  <c r="AA258" i="1"/>
  <c r="D259" i="1"/>
  <c r="G259" i="1"/>
  <c r="I259" i="1"/>
  <c r="K259" i="1"/>
  <c r="Q259" i="1"/>
  <c r="S259" i="1"/>
  <c r="T259" i="1"/>
  <c r="U259" i="1"/>
  <c r="Z259" i="1"/>
  <c r="AA259" i="1"/>
  <c r="D260" i="1"/>
  <c r="G260" i="1"/>
  <c r="I260" i="1"/>
  <c r="K260" i="1"/>
  <c r="Q260" i="1"/>
  <c r="S260" i="1"/>
  <c r="T260" i="1"/>
  <c r="U260" i="1"/>
  <c r="Z260" i="1"/>
  <c r="AA260" i="1"/>
  <c r="D261" i="1"/>
  <c r="G261" i="1"/>
  <c r="I261" i="1"/>
  <c r="K261" i="1"/>
  <c r="Q261" i="1"/>
  <c r="S261" i="1"/>
  <c r="T261" i="1"/>
  <c r="U261" i="1"/>
  <c r="Z261" i="1"/>
  <c r="AA261" i="1"/>
  <c r="D262" i="1"/>
  <c r="G262" i="1"/>
  <c r="I262" i="1"/>
  <c r="K262" i="1"/>
  <c r="Q262" i="1"/>
  <c r="S262" i="1"/>
  <c r="T262" i="1"/>
  <c r="U262" i="1"/>
  <c r="Z262" i="1"/>
  <c r="AA262" i="1"/>
  <c r="D263" i="1"/>
  <c r="G263" i="1"/>
  <c r="I263" i="1"/>
  <c r="K263" i="1"/>
  <c r="Q263" i="1"/>
  <c r="S263" i="1"/>
  <c r="T263" i="1"/>
  <c r="U263" i="1"/>
  <c r="Z263" i="1"/>
  <c r="AA263" i="1"/>
  <c r="D264" i="1"/>
  <c r="G264" i="1"/>
  <c r="I264" i="1"/>
  <c r="K264" i="1"/>
  <c r="Q264" i="1"/>
  <c r="S264" i="1"/>
  <c r="T264" i="1"/>
  <c r="U264" i="1"/>
  <c r="Z264" i="1"/>
  <c r="AA264" i="1"/>
  <c r="D265" i="1"/>
  <c r="G265" i="1"/>
  <c r="I265" i="1"/>
  <c r="K265" i="1"/>
  <c r="Q265" i="1"/>
  <c r="S265" i="1"/>
  <c r="T265" i="1"/>
  <c r="U265" i="1"/>
  <c r="Z265" i="1"/>
  <c r="AA265" i="1"/>
  <c r="D266" i="1"/>
  <c r="G266" i="1"/>
  <c r="I266" i="1"/>
  <c r="K266" i="1"/>
  <c r="Q266" i="1"/>
  <c r="S266" i="1"/>
  <c r="T266" i="1"/>
  <c r="U266" i="1"/>
  <c r="Z266" i="1"/>
  <c r="AA266" i="1"/>
  <c r="D267" i="1"/>
  <c r="G267" i="1"/>
  <c r="I267" i="1"/>
  <c r="K267" i="1"/>
  <c r="Q267" i="1"/>
  <c r="S267" i="1"/>
  <c r="T267" i="1"/>
  <c r="U267" i="1"/>
  <c r="Z267" i="1"/>
  <c r="AA267" i="1"/>
  <c r="D268" i="1"/>
  <c r="G268" i="1"/>
  <c r="I268" i="1"/>
  <c r="K268" i="1"/>
  <c r="Q268" i="1"/>
  <c r="S268" i="1"/>
  <c r="T268" i="1"/>
  <c r="U268" i="1"/>
  <c r="Z268" i="1"/>
  <c r="AA268" i="1"/>
  <c r="D269" i="1"/>
  <c r="G269" i="1"/>
  <c r="I269" i="1"/>
  <c r="K269" i="1"/>
  <c r="Q269" i="1"/>
  <c r="S269" i="1"/>
  <c r="T269" i="1"/>
  <c r="U269" i="1"/>
  <c r="Z269" i="1"/>
  <c r="AA269" i="1"/>
  <c r="D270" i="1"/>
  <c r="G270" i="1"/>
  <c r="I270" i="1"/>
  <c r="K270" i="1"/>
  <c r="Q270" i="1"/>
  <c r="S270" i="1"/>
  <c r="T270" i="1"/>
  <c r="U270" i="1"/>
  <c r="Z270" i="1"/>
  <c r="AA270" i="1"/>
  <c r="D271" i="1"/>
  <c r="G271" i="1"/>
  <c r="I271" i="1"/>
  <c r="K271" i="1"/>
  <c r="Q271" i="1"/>
  <c r="S271" i="1"/>
  <c r="T271" i="1"/>
  <c r="U271" i="1"/>
  <c r="Z271" i="1"/>
  <c r="AA271" i="1"/>
  <c r="D272" i="1"/>
  <c r="G272" i="1"/>
  <c r="I272" i="1"/>
  <c r="K272" i="1"/>
  <c r="Q272" i="1"/>
  <c r="S272" i="1"/>
  <c r="T272" i="1"/>
  <c r="U272" i="1"/>
  <c r="Z272" i="1"/>
  <c r="AA272" i="1"/>
  <c r="D273" i="1"/>
  <c r="G273" i="1"/>
  <c r="I273" i="1"/>
  <c r="K273" i="1"/>
  <c r="Q273" i="1"/>
  <c r="S273" i="1"/>
  <c r="T273" i="1"/>
  <c r="U273" i="1"/>
  <c r="Z273" i="1"/>
  <c r="AA273" i="1"/>
  <c r="D274" i="1"/>
  <c r="G274" i="1"/>
  <c r="I274" i="1"/>
  <c r="K274" i="1"/>
  <c r="Q274" i="1"/>
  <c r="S274" i="1"/>
  <c r="T274" i="1"/>
  <c r="U274" i="1"/>
  <c r="Z274" i="1"/>
  <c r="AA274" i="1"/>
  <c r="D275" i="1"/>
  <c r="G275" i="1"/>
  <c r="I275" i="1"/>
  <c r="K275" i="1"/>
  <c r="Q275" i="1"/>
  <c r="S275" i="1"/>
  <c r="T275" i="1"/>
  <c r="U275" i="1"/>
  <c r="Z275" i="1"/>
  <c r="AA275" i="1"/>
  <c r="D276" i="1"/>
  <c r="G276" i="1"/>
  <c r="I276" i="1"/>
  <c r="K276" i="1"/>
  <c r="Q276" i="1"/>
  <c r="S276" i="1"/>
  <c r="T276" i="1"/>
  <c r="U276" i="1"/>
  <c r="Z276" i="1"/>
  <c r="AA276" i="1"/>
  <c r="D277" i="1"/>
  <c r="G277" i="1"/>
  <c r="I277" i="1"/>
  <c r="K277" i="1"/>
  <c r="Q277" i="1"/>
  <c r="S277" i="1"/>
  <c r="T277" i="1"/>
  <c r="U277" i="1"/>
  <c r="Z277" i="1"/>
  <c r="AA277" i="1"/>
  <c r="D278" i="1"/>
  <c r="G278" i="1"/>
  <c r="I278" i="1"/>
  <c r="K278" i="1"/>
  <c r="Q278" i="1"/>
  <c r="S278" i="1"/>
  <c r="T278" i="1"/>
  <c r="U278" i="1"/>
  <c r="Z278" i="1"/>
  <c r="AA278" i="1"/>
  <c r="D279" i="1"/>
  <c r="G279" i="1"/>
  <c r="I279" i="1"/>
  <c r="K279" i="1"/>
  <c r="Q279" i="1"/>
  <c r="S279" i="1"/>
  <c r="T279" i="1"/>
  <c r="U279" i="1"/>
  <c r="Z279" i="1"/>
  <c r="AA279" i="1"/>
  <c r="D280" i="1"/>
  <c r="G280" i="1"/>
  <c r="I280" i="1"/>
  <c r="K280" i="1"/>
  <c r="Q280" i="1"/>
  <c r="S280" i="1"/>
  <c r="T280" i="1"/>
  <c r="U280" i="1"/>
  <c r="Z280" i="1"/>
  <c r="AA280" i="1"/>
  <c r="D281" i="1"/>
  <c r="G281" i="1"/>
  <c r="I281" i="1"/>
  <c r="K281" i="1"/>
  <c r="Q281" i="1"/>
  <c r="S281" i="1"/>
  <c r="T281" i="1"/>
  <c r="U281" i="1"/>
  <c r="Z281" i="1"/>
  <c r="AA281" i="1"/>
  <c r="D282" i="1"/>
  <c r="G282" i="1"/>
  <c r="I282" i="1"/>
  <c r="K282" i="1"/>
  <c r="Q282" i="1"/>
  <c r="S282" i="1"/>
  <c r="T282" i="1"/>
  <c r="U282" i="1"/>
  <c r="Z282" i="1"/>
  <c r="AA282" i="1"/>
  <c r="D283" i="1"/>
  <c r="G283" i="1"/>
  <c r="I283" i="1"/>
  <c r="K283" i="1"/>
  <c r="Q283" i="1"/>
  <c r="S283" i="1"/>
  <c r="T283" i="1"/>
  <c r="U283" i="1"/>
  <c r="Z283" i="1"/>
  <c r="AA283" i="1"/>
  <c r="D284" i="1"/>
  <c r="G284" i="1"/>
  <c r="I284" i="1"/>
  <c r="K284" i="1"/>
  <c r="Q284" i="1"/>
  <c r="S284" i="1"/>
  <c r="T284" i="1"/>
  <c r="U284" i="1"/>
  <c r="Z284" i="1"/>
  <c r="AA284" i="1"/>
  <c r="D285" i="1"/>
  <c r="G285" i="1"/>
  <c r="I285" i="1"/>
  <c r="K285" i="1"/>
  <c r="Q285" i="1"/>
  <c r="S285" i="1"/>
  <c r="T285" i="1"/>
  <c r="U285" i="1"/>
  <c r="Z285" i="1"/>
  <c r="AA285" i="1"/>
  <c r="D286" i="1"/>
  <c r="G286" i="1"/>
  <c r="I286" i="1"/>
  <c r="K286" i="1"/>
  <c r="Q286" i="1"/>
  <c r="S286" i="1"/>
  <c r="T286" i="1"/>
  <c r="U286" i="1"/>
  <c r="Z286" i="1"/>
  <c r="AA286" i="1"/>
  <c r="D287" i="1"/>
  <c r="G287" i="1"/>
  <c r="I287" i="1"/>
  <c r="K287" i="1"/>
  <c r="Q287" i="1"/>
  <c r="S287" i="1"/>
  <c r="T287" i="1"/>
  <c r="U287" i="1"/>
  <c r="Z287" i="1"/>
  <c r="AA287" i="1"/>
  <c r="D288" i="1"/>
  <c r="G288" i="1"/>
  <c r="I288" i="1"/>
  <c r="K288" i="1"/>
  <c r="Q288" i="1"/>
  <c r="S288" i="1"/>
  <c r="T288" i="1"/>
  <c r="U288" i="1"/>
  <c r="Z288" i="1"/>
  <c r="AA288" i="1"/>
  <c r="D289" i="1"/>
  <c r="G289" i="1"/>
  <c r="I289" i="1"/>
  <c r="K289" i="1"/>
  <c r="Q289" i="1"/>
  <c r="S289" i="1"/>
  <c r="T289" i="1"/>
  <c r="U289" i="1"/>
  <c r="Z289" i="1"/>
  <c r="AA289" i="1"/>
  <c r="D290" i="1"/>
  <c r="G290" i="1"/>
  <c r="I290" i="1"/>
  <c r="K290" i="1"/>
  <c r="Q290" i="1"/>
  <c r="S290" i="1"/>
  <c r="T290" i="1"/>
  <c r="U290" i="1"/>
  <c r="Z290" i="1"/>
  <c r="AA290" i="1"/>
  <c r="D291" i="1"/>
  <c r="G291" i="1"/>
  <c r="I291" i="1"/>
  <c r="K291" i="1"/>
  <c r="Q291" i="1"/>
  <c r="S291" i="1"/>
  <c r="T291" i="1"/>
  <c r="U291" i="1"/>
  <c r="Z291" i="1"/>
  <c r="AA291" i="1"/>
  <c r="D292" i="1"/>
  <c r="G292" i="1"/>
  <c r="I292" i="1"/>
  <c r="K292" i="1"/>
  <c r="Q292" i="1"/>
  <c r="S292" i="1"/>
  <c r="T292" i="1"/>
  <c r="U292" i="1"/>
  <c r="Z292" i="1"/>
  <c r="AA292" i="1"/>
  <c r="D293" i="1"/>
  <c r="G293" i="1"/>
  <c r="I293" i="1"/>
  <c r="K293" i="1"/>
  <c r="Q293" i="1"/>
  <c r="S293" i="1"/>
  <c r="T293" i="1"/>
  <c r="U293" i="1"/>
  <c r="Z293" i="1"/>
  <c r="AA293" i="1"/>
  <c r="D294" i="1"/>
  <c r="G294" i="1"/>
  <c r="I294" i="1"/>
  <c r="K294" i="1"/>
  <c r="Q294" i="1"/>
  <c r="S294" i="1"/>
  <c r="T294" i="1"/>
  <c r="U294" i="1"/>
  <c r="Z294" i="1"/>
  <c r="AA294" i="1"/>
  <c r="D295" i="1"/>
  <c r="G295" i="1"/>
  <c r="I295" i="1"/>
  <c r="K295" i="1"/>
  <c r="Q295" i="1"/>
  <c r="S295" i="1"/>
  <c r="T295" i="1"/>
  <c r="U295" i="1"/>
  <c r="Z295" i="1"/>
  <c r="AA295" i="1"/>
  <c r="D296" i="1"/>
  <c r="G296" i="1"/>
  <c r="I296" i="1"/>
  <c r="K296" i="1"/>
  <c r="Q296" i="1"/>
  <c r="S296" i="1"/>
  <c r="T296" i="1"/>
  <c r="U296" i="1"/>
  <c r="Z296" i="1"/>
  <c r="AA296" i="1"/>
  <c r="D297" i="1"/>
  <c r="G297" i="1"/>
  <c r="I297" i="1"/>
  <c r="K297" i="1"/>
  <c r="Q297" i="1"/>
  <c r="S297" i="1"/>
  <c r="T297" i="1"/>
  <c r="U297" i="1"/>
  <c r="Z297" i="1"/>
  <c r="AA297" i="1"/>
  <c r="D298" i="1"/>
  <c r="G298" i="1"/>
  <c r="I298" i="1"/>
  <c r="K298" i="1"/>
  <c r="Q298" i="1"/>
  <c r="S298" i="1"/>
  <c r="T298" i="1"/>
  <c r="U298" i="1"/>
  <c r="Z298" i="1"/>
  <c r="AA298" i="1"/>
  <c r="D299" i="1"/>
  <c r="G299" i="1"/>
  <c r="I299" i="1"/>
  <c r="K299" i="1"/>
  <c r="Q299" i="1"/>
  <c r="S299" i="1"/>
  <c r="T299" i="1"/>
  <c r="U299" i="1"/>
  <c r="Z299" i="1"/>
  <c r="AA299" i="1"/>
  <c r="D300" i="1"/>
  <c r="G300" i="1"/>
  <c r="I300" i="1"/>
  <c r="K300" i="1"/>
  <c r="Q300" i="1"/>
  <c r="S300" i="1"/>
  <c r="T300" i="1"/>
  <c r="U300" i="1"/>
  <c r="Z300" i="1"/>
  <c r="AA300" i="1"/>
  <c r="D301" i="1"/>
  <c r="G301" i="1"/>
  <c r="I301" i="1"/>
  <c r="K301" i="1"/>
  <c r="Q301" i="1"/>
  <c r="S301" i="1"/>
  <c r="T301" i="1"/>
  <c r="U301" i="1"/>
  <c r="Z301" i="1"/>
  <c r="AA301" i="1"/>
  <c r="D302" i="1"/>
  <c r="G302" i="1"/>
  <c r="I302" i="1"/>
  <c r="K302" i="1"/>
  <c r="Q302" i="1"/>
  <c r="S302" i="1"/>
  <c r="T302" i="1"/>
  <c r="U302" i="1"/>
  <c r="Z302" i="1"/>
  <c r="AA302" i="1"/>
  <c r="D303" i="1"/>
  <c r="G303" i="1"/>
  <c r="I303" i="1"/>
  <c r="K303" i="1"/>
  <c r="Q303" i="1"/>
  <c r="S303" i="1"/>
  <c r="T303" i="1"/>
  <c r="U303" i="1"/>
  <c r="Z303" i="1"/>
  <c r="AA303" i="1"/>
  <c r="D304" i="1"/>
  <c r="G304" i="1"/>
  <c r="I304" i="1"/>
  <c r="K304" i="1"/>
  <c r="Q304" i="1"/>
  <c r="S304" i="1"/>
  <c r="T304" i="1"/>
  <c r="U304" i="1"/>
  <c r="Z304" i="1"/>
  <c r="AA304" i="1"/>
  <c r="D305" i="1"/>
  <c r="G305" i="1"/>
  <c r="I305" i="1"/>
  <c r="K305" i="1"/>
  <c r="Q305" i="1"/>
  <c r="S305" i="1"/>
  <c r="T305" i="1"/>
  <c r="U305" i="1"/>
  <c r="Z305" i="1"/>
  <c r="AA305" i="1"/>
  <c r="D306" i="1"/>
  <c r="G306" i="1"/>
  <c r="I306" i="1"/>
  <c r="K306" i="1"/>
  <c r="Q306" i="1"/>
  <c r="S306" i="1"/>
  <c r="T306" i="1"/>
  <c r="U306" i="1"/>
  <c r="Z306" i="1"/>
  <c r="AA306" i="1"/>
  <c r="D307" i="1"/>
  <c r="G307" i="1"/>
  <c r="I307" i="1"/>
  <c r="K307" i="1"/>
  <c r="Q307" i="1"/>
  <c r="S307" i="1"/>
  <c r="T307" i="1"/>
  <c r="U307" i="1"/>
  <c r="Z307" i="1"/>
  <c r="AA307" i="1"/>
  <c r="D308" i="1"/>
  <c r="G308" i="1"/>
  <c r="I308" i="1"/>
  <c r="K308" i="1"/>
  <c r="Q308" i="1"/>
  <c r="S308" i="1"/>
  <c r="T308" i="1"/>
  <c r="U308" i="1"/>
  <c r="Z308" i="1"/>
  <c r="AA308" i="1"/>
  <c r="D309" i="1"/>
  <c r="G309" i="1"/>
  <c r="I309" i="1"/>
  <c r="K309" i="1"/>
  <c r="Q309" i="1"/>
  <c r="S309" i="1"/>
  <c r="T309" i="1"/>
  <c r="U309" i="1"/>
  <c r="Z309" i="1"/>
  <c r="AA309" i="1"/>
  <c r="D310" i="1"/>
  <c r="G310" i="1"/>
  <c r="I310" i="1"/>
  <c r="K310" i="1"/>
  <c r="Q310" i="1"/>
  <c r="S310" i="1"/>
  <c r="T310" i="1"/>
  <c r="U310" i="1"/>
  <c r="Z310" i="1"/>
  <c r="AA310" i="1"/>
  <c r="D311" i="1"/>
  <c r="G311" i="1"/>
  <c r="I311" i="1"/>
  <c r="K311" i="1"/>
  <c r="Q311" i="1"/>
  <c r="S311" i="1"/>
  <c r="T311" i="1"/>
  <c r="U311" i="1"/>
  <c r="Z311" i="1"/>
  <c r="AA311" i="1"/>
  <c r="D312" i="1"/>
  <c r="G312" i="1"/>
  <c r="I312" i="1"/>
  <c r="K312" i="1"/>
  <c r="Q312" i="1"/>
  <c r="S312" i="1"/>
  <c r="T312" i="1"/>
  <c r="U312" i="1"/>
  <c r="Z312" i="1"/>
  <c r="AA312" i="1"/>
  <c r="D313" i="1"/>
  <c r="G313" i="1"/>
  <c r="I313" i="1"/>
  <c r="K313" i="1"/>
  <c r="Q313" i="1"/>
  <c r="S313" i="1"/>
  <c r="T313" i="1"/>
  <c r="U313" i="1"/>
  <c r="Z313" i="1"/>
  <c r="AA313" i="1"/>
  <c r="D314" i="1"/>
  <c r="G314" i="1"/>
  <c r="I314" i="1"/>
  <c r="K314" i="1"/>
  <c r="Q314" i="1"/>
  <c r="S314" i="1"/>
  <c r="T314" i="1"/>
  <c r="U314" i="1"/>
  <c r="Z314" i="1"/>
  <c r="AA314" i="1"/>
  <c r="D315" i="1"/>
  <c r="G315" i="1"/>
  <c r="I315" i="1"/>
  <c r="K315" i="1"/>
  <c r="Q315" i="1"/>
  <c r="S315" i="1"/>
  <c r="T315" i="1"/>
  <c r="U315" i="1"/>
  <c r="Z315" i="1"/>
  <c r="AA315" i="1"/>
  <c r="D316" i="1"/>
  <c r="G316" i="1"/>
  <c r="I316" i="1"/>
  <c r="K316" i="1"/>
  <c r="Q316" i="1"/>
  <c r="S316" i="1"/>
  <c r="T316" i="1"/>
  <c r="U316" i="1"/>
  <c r="Z316" i="1"/>
  <c r="AA316" i="1"/>
  <c r="D317" i="1"/>
  <c r="G317" i="1"/>
  <c r="I317" i="1"/>
  <c r="K317" i="1"/>
  <c r="Q317" i="1"/>
  <c r="S317" i="1"/>
  <c r="T317" i="1"/>
  <c r="U317" i="1"/>
  <c r="Z317" i="1"/>
  <c r="AA317" i="1"/>
  <c r="D318" i="1"/>
  <c r="G318" i="1"/>
  <c r="I318" i="1"/>
  <c r="K318" i="1"/>
  <c r="Q318" i="1"/>
  <c r="S318" i="1"/>
  <c r="T318" i="1"/>
  <c r="U318" i="1"/>
  <c r="Z318" i="1"/>
  <c r="AA318" i="1"/>
  <c r="D319" i="1"/>
  <c r="G319" i="1"/>
  <c r="I319" i="1"/>
  <c r="K319" i="1"/>
  <c r="Q319" i="1"/>
  <c r="S319" i="1"/>
  <c r="T319" i="1"/>
  <c r="U319" i="1"/>
  <c r="Z319" i="1"/>
  <c r="AA319" i="1"/>
  <c r="D320" i="1"/>
  <c r="G320" i="1"/>
  <c r="I320" i="1"/>
  <c r="K320" i="1"/>
  <c r="Q320" i="1"/>
  <c r="S320" i="1"/>
  <c r="T320" i="1"/>
  <c r="U320" i="1"/>
  <c r="Z320" i="1"/>
  <c r="AA320" i="1"/>
  <c r="D321" i="1"/>
  <c r="G321" i="1"/>
  <c r="I321" i="1"/>
  <c r="K321" i="1"/>
  <c r="Q321" i="1"/>
  <c r="S321" i="1"/>
  <c r="T321" i="1"/>
  <c r="U321" i="1"/>
  <c r="Z321" i="1"/>
  <c r="AA321" i="1"/>
  <c r="D322" i="1"/>
  <c r="G322" i="1"/>
  <c r="I322" i="1"/>
  <c r="K322" i="1"/>
  <c r="Q322" i="1"/>
  <c r="S322" i="1"/>
  <c r="T322" i="1"/>
  <c r="U322" i="1"/>
  <c r="Z322" i="1"/>
  <c r="AA322" i="1"/>
  <c r="D323" i="1"/>
  <c r="G323" i="1"/>
  <c r="I323" i="1"/>
  <c r="K323" i="1"/>
  <c r="Q323" i="1"/>
  <c r="S323" i="1"/>
  <c r="T323" i="1"/>
  <c r="U323" i="1"/>
  <c r="Z323" i="1"/>
  <c r="AA323" i="1"/>
  <c r="D324" i="1"/>
  <c r="G324" i="1"/>
  <c r="I324" i="1"/>
  <c r="K324" i="1"/>
  <c r="Q324" i="1"/>
  <c r="S324" i="1"/>
  <c r="T324" i="1"/>
  <c r="U324" i="1"/>
  <c r="Z324" i="1"/>
  <c r="AA324" i="1"/>
  <c r="D325" i="1"/>
  <c r="G325" i="1"/>
  <c r="I325" i="1"/>
  <c r="K325" i="1"/>
  <c r="Q325" i="1"/>
  <c r="S325" i="1"/>
  <c r="T325" i="1"/>
  <c r="U325" i="1"/>
  <c r="Z325" i="1"/>
  <c r="AA325" i="1"/>
  <c r="D326" i="1"/>
  <c r="G326" i="1"/>
  <c r="I326" i="1"/>
  <c r="K326" i="1"/>
  <c r="Q326" i="1"/>
  <c r="S326" i="1"/>
  <c r="T326" i="1"/>
  <c r="U326" i="1"/>
  <c r="Z326" i="1"/>
  <c r="AA326" i="1"/>
  <c r="D327" i="1"/>
  <c r="G327" i="1"/>
  <c r="I327" i="1"/>
  <c r="K327" i="1"/>
  <c r="Q327" i="1"/>
  <c r="S327" i="1"/>
  <c r="T327" i="1"/>
  <c r="U327" i="1"/>
  <c r="Z327" i="1"/>
  <c r="AA327" i="1"/>
  <c r="D328" i="1"/>
  <c r="G328" i="1"/>
  <c r="I328" i="1"/>
  <c r="K328" i="1"/>
  <c r="Q328" i="1"/>
  <c r="S328" i="1"/>
  <c r="T328" i="1"/>
  <c r="U328" i="1"/>
  <c r="Z328" i="1"/>
  <c r="AA328" i="1"/>
  <c r="D329" i="1"/>
  <c r="G329" i="1"/>
  <c r="I329" i="1"/>
  <c r="K329" i="1"/>
  <c r="Q329" i="1"/>
  <c r="S329" i="1"/>
  <c r="T329" i="1"/>
  <c r="U329" i="1"/>
  <c r="Z329" i="1"/>
  <c r="AA329" i="1"/>
  <c r="D330" i="1"/>
  <c r="G330" i="1"/>
  <c r="I330" i="1"/>
  <c r="K330" i="1"/>
  <c r="Q330" i="1"/>
  <c r="S330" i="1"/>
  <c r="T330" i="1"/>
  <c r="U330" i="1"/>
  <c r="Z330" i="1"/>
  <c r="AA330" i="1"/>
  <c r="D331" i="1"/>
  <c r="G331" i="1"/>
  <c r="I331" i="1"/>
  <c r="K331" i="1"/>
  <c r="Q331" i="1"/>
  <c r="S331" i="1"/>
  <c r="T331" i="1"/>
  <c r="U331" i="1"/>
  <c r="Z331" i="1"/>
  <c r="AA331" i="1"/>
  <c r="D332" i="1"/>
  <c r="G332" i="1"/>
  <c r="I332" i="1"/>
  <c r="K332" i="1"/>
  <c r="Q332" i="1"/>
  <c r="S332" i="1"/>
  <c r="T332" i="1"/>
  <c r="U332" i="1"/>
  <c r="Z332" i="1"/>
  <c r="AA332" i="1"/>
  <c r="D333" i="1"/>
  <c r="G333" i="1"/>
  <c r="I333" i="1"/>
  <c r="K333" i="1"/>
  <c r="Q333" i="1"/>
  <c r="S333" i="1"/>
  <c r="T333" i="1"/>
  <c r="U333" i="1"/>
  <c r="Z333" i="1"/>
  <c r="AA333" i="1"/>
  <c r="D334" i="1"/>
  <c r="G334" i="1"/>
  <c r="I334" i="1"/>
  <c r="K334" i="1"/>
  <c r="Q334" i="1"/>
  <c r="S334" i="1"/>
  <c r="T334" i="1"/>
  <c r="U334" i="1"/>
  <c r="Z334" i="1"/>
  <c r="AA334" i="1"/>
  <c r="D335" i="1"/>
  <c r="G335" i="1"/>
  <c r="I335" i="1"/>
  <c r="K335" i="1"/>
  <c r="Q335" i="1"/>
  <c r="S335" i="1"/>
  <c r="T335" i="1"/>
  <c r="U335" i="1"/>
  <c r="Z335" i="1"/>
  <c r="AA335" i="1"/>
  <c r="D336" i="1"/>
  <c r="G336" i="1"/>
  <c r="I336" i="1"/>
  <c r="K336" i="1"/>
  <c r="Q336" i="1"/>
  <c r="S336" i="1"/>
  <c r="T336" i="1"/>
  <c r="U336" i="1"/>
  <c r="Z336" i="1"/>
  <c r="AA336" i="1"/>
  <c r="D337" i="1"/>
  <c r="G337" i="1"/>
  <c r="I337" i="1"/>
  <c r="K337" i="1"/>
  <c r="Q337" i="1"/>
  <c r="S337" i="1"/>
  <c r="T337" i="1"/>
  <c r="U337" i="1"/>
  <c r="Z337" i="1"/>
  <c r="AA337" i="1"/>
  <c r="D338" i="1"/>
  <c r="G338" i="1"/>
  <c r="I338" i="1"/>
  <c r="K338" i="1"/>
  <c r="Q338" i="1"/>
  <c r="S338" i="1"/>
  <c r="T338" i="1"/>
  <c r="U338" i="1"/>
  <c r="Z338" i="1"/>
  <c r="AA338" i="1"/>
  <c r="D339" i="1"/>
  <c r="G339" i="1"/>
  <c r="I339" i="1"/>
  <c r="K339" i="1"/>
  <c r="Q339" i="1"/>
  <c r="S339" i="1"/>
  <c r="T339" i="1"/>
  <c r="U339" i="1"/>
  <c r="Z339" i="1"/>
  <c r="AA339" i="1"/>
  <c r="D340" i="1"/>
  <c r="G340" i="1"/>
  <c r="I340" i="1"/>
  <c r="K340" i="1"/>
  <c r="Q340" i="1"/>
  <c r="S340" i="1"/>
  <c r="T340" i="1"/>
  <c r="U340" i="1"/>
  <c r="Z340" i="1"/>
  <c r="AA340" i="1"/>
  <c r="D341" i="1"/>
  <c r="G341" i="1"/>
  <c r="I341" i="1"/>
  <c r="K341" i="1"/>
  <c r="Q341" i="1"/>
  <c r="S341" i="1"/>
  <c r="T341" i="1"/>
  <c r="U341" i="1"/>
  <c r="Z341" i="1"/>
  <c r="AA341" i="1"/>
  <c r="D342" i="1"/>
  <c r="G342" i="1"/>
  <c r="I342" i="1"/>
  <c r="K342" i="1"/>
  <c r="Q342" i="1"/>
  <c r="S342" i="1"/>
  <c r="T342" i="1"/>
  <c r="U342" i="1"/>
  <c r="Z342" i="1"/>
  <c r="AA342" i="1"/>
  <c r="D343" i="1"/>
  <c r="G343" i="1"/>
  <c r="I343" i="1"/>
  <c r="K343" i="1"/>
  <c r="Q343" i="1"/>
  <c r="S343" i="1"/>
  <c r="T343" i="1"/>
  <c r="U343" i="1"/>
  <c r="Z343" i="1"/>
  <c r="AA343" i="1"/>
  <c r="D344" i="1"/>
  <c r="G344" i="1"/>
  <c r="I344" i="1"/>
  <c r="K344" i="1"/>
  <c r="Q344" i="1"/>
  <c r="S344" i="1"/>
  <c r="T344" i="1"/>
  <c r="U344" i="1"/>
  <c r="Z344" i="1"/>
  <c r="AA344" i="1"/>
  <c r="D345" i="1"/>
  <c r="G345" i="1"/>
  <c r="I345" i="1"/>
  <c r="K345" i="1"/>
  <c r="Q345" i="1"/>
  <c r="S345" i="1"/>
  <c r="T345" i="1"/>
  <c r="U345" i="1"/>
  <c r="Z345" i="1"/>
  <c r="AA345" i="1"/>
  <c r="D346" i="1"/>
  <c r="G346" i="1"/>
  <c r="I346" i="1"/>
  <c r="K346" i="1"/>
  <c r="Q346" i="1"/>
  <c r="S346" i="1"/>
  <c r="T346" i="1"/>
  <c r="U346" i="1"/>
  <c r="Z346" i="1"/>
  <c r="AA346" i="1"/>
  <c r="D347" i="1"/>
  <c r="G347" i="1"/>
  <c r="I347" i="1"/>
  <c r="K347" i="1"/>
  <c r="Q347" i="1"/>
  <c r="S347" i="1"/>
  <c r="T347" i="1"/>
  <c r="U347" i="1"/>
  <c r="Z347" i="1"/>
  <c r="AA347" i="1"/>
  <c r="D348" i="1"/>
  <c r="G348" i="1"/>
  <c r="I348" i="1"/>
  <c r="K348" i="1"/>
  <c r="Q348" i="1"/>
  <c r="S348" i="1"/>
  <c r="T348" i="1"/>
  <c r="U348" i="1"/>
  <c r="Z348" i="1"/>
  <c r="AA348" i="1"/>
  <c r="D349" i="1"/>
  <c r="G349" i="1"/>
  <c r="I349" i="1"/>
  <c r="K349" i="1"/>
  <c r="Q349" i="1"/>
  <c r="S349" i="1"/>
  <c r="T349" i="1"/>
  <c r="U349" i="1"/>
  <c r="Z349" i="1"/>
  <c r="AA349" i="1"/>
  <c r="D350" i="1"/>
  <c r="G350" i="1"/>
  <c r="I350" i="1"/>
  <c r="K350" i="1"/>
  <c r="Q350" i="1"/>
  <c r="S350" i="1"/>
  <c r="T350" i="1"/>
  <c r="U350" i="1"/>
  <c r="Z350" i="1"/>
  <c r="AA350" i="1"/>
  <c r="D351" i="1"/>
  <c r="G351" i="1"/>
  <c r="I351" i="1"/>
  <c r="K351" i="1"/>
  <c r="Q351" i="1"/>
  <c r="S351" i="1"/>
  <c r="T351" i="1"/>
  <c r="U351" i="1"/>
  <c r="Z351" i="1"/>
  <c r="AA351" i="1"/>
  <c r="D352" i="1"/>
  <c r="G352" i="1"/>
  <c r="I352" i="1"/>
  <c r="K352" i="1"/>
  <c r="Q352" i="1"/>
  <c r="S352" i="1"/>
  <c r="T352" i="1"/>
  <c r="U352" i="1"/>
  <c r="Z352" i="1"/>
  <c r="AA352" i="1"/>
  <c r="D353" i="1"/>
  <c r="G353" i="1"/>
  <c r="I353" i="1"/>
  <c r="K353" i="1"/>
  <c r="Q353" i="1"/>
  <c r="S353" i="1"/>
  <c r="T353" i="1"/>
  <c r="U353" i="1"/>
  <c r="Z353" i="1"/>
  <c r="AA353" i="1"/>
  <c r="D354" i="1"/>
  <c r="G354" i="1"/>
  <c r="I354" i="1"/>
  <c r="K354" i="1"/>
  <c r="Q354" i="1"/>
  <c r="S354" i="1"/>
  <c r="T354" i="1"/>
  <c r="U354" i="1"/>
  <c r="Z354" i="1"/>
  <c r="AA354" i="1"/>
  <c r="D355" i="1"/>
  <c r="G355" i="1"/>
  <c r="I355" i="1"/>
  <c r="K355" i="1"/>
  <c r="Q355" i="1"/>
  <c r="S355" i="1"/>
  <c r="T355" i="1"/>
  <c r="U355" i="1"/>
  <c r="Z355" i="1"/>
  <c r="AA355" i="1"/>
  <c r="D356" i="1"/>
  <c r="G356" i="1"/>
  <c r="I356" i="1"/>
  <c r="K356" i="1"/>
  <c r="Q356" i="1"/>
  <c r="S356" i="1"/>
  <c r="T356" i="1"/>
  <c r="U356" i="1"/>
  <c r="Z356" i="1"/>
  <c r="AA356" i="1"/>
  <c r="D357" i="1"/>
  <c r="G357" i="1"/>
  <c r="I357" i="1"/>
  <c r="K357" i="1"/>
  <c r="Q357" i="1"/>
  <c r="S357" i="1"/>
  <c r="T357" i="1"/>
  <c r="U357" i="1"/>
  <c r="Z357" i="1"/>
  <c r="AA357" i="1"/>
  <c r="D358" i="1"/>
  <c r="G358" i="1"/>
  <c r="I358" i="1"/>
  <c r="K358" i="1"/>
  <c r="Q358" i="1"/>
  <c r="S358" i="1"/>
  <c r="T358" i="1"/>
  <c r="U358" i="1"/>
  <c r="Z358" i="1"/>
  <c r="AA358" i="1"/>
  <c r="D359" i="1"/>
  <c r="G359" i="1"/>
  <c r="I359" i="1"/>
  <c r="K359" i="1"/>
  <c r="Q359" i="1"/>
  <c r="S359" i="1"/>
  <c r="T359" i="1"/>
  <c r="U359" i="1"/>
  <c r="Z359" i="1"/>
  <c r="AA359" i="1"/>
  <c r="D360" i="1"/>
  <c r="G360" i="1"/>
  <c r="I360" i="1"/>
  <c r="K360" i="1"/>
  <c r="Q360" i="1"/>
  <c r="S360" i="1"/>
  <c r="T360" i="1"/>
  <c r="U360" i="1"/>
  <c r="Z360" i="1"/>
  <c r="AA360" i="1"/>
  <c r="D361" i="1"/>
  <c r="G361" i="1"/>
  <c r="I361" i="1"/>
  <c r="K361" i="1"/>
  <c r="Q361" i="1"/>
  <c r="S361" i="1"/>
  <c r="T361" i="1"/>
  <c r="U361" i="1"/>
  <c r="Z361" i="1"/>
  <c r="AA361" i="1"/>
  <c r="D362" i="1"/>
  <c r="G362" i="1"/>
  <c r="I362" i="1"/>
  <c r="K362" i="1"/>
  <c r="Q362" i="1"/>
  <c r="S362" i="1"/>
  <c r="T362" i="1"/>
  <c r="U362" i="1"/>
  <c r="Z362" i="1"/>
  <c r="AA362" i="1"/>
  <c r="D363" i="1"/>
  <c r="G363" i="1"/>
  <c r="I363" i="1"/>
  <c r="K363" i="1"/>
  <c r="Q363" i="1"/>
  <c r="S363" i="1"/>
  <c r="T363" i="1"/>
  <c r="U363" i="1"/>
  <c r="Z363" i="1"/>
  <c r="AA363" i="1"/>
  <c r="D364" i="1"/>
  <c r="G364" i="1"/>
  <c r="I364" i="1"/>
  <c r="K364" i="1"/>
  <c r="Q364" i="1"/>
  <c r="S364" i="1"/>
  <c r="T364" i="1"/>
  <c r="U364" i="1"/>
  <c r="Z364" i="1"/>
  <c r="AA364" i="1"/>
  <c r="D365" i="1"/>
  <c r="G365" i="1"/>
  <c r="I365" i="1"/>
  <c r="K365" i="1"/>
  <c r="Q365" i="1"/>
  <c r="S365" i="1"/>
  <c r="T365" i="1"/>
  <c r="U365" i="1"/>
  <c r="Z365" i="1"/>
  <c r="AA365" i="1"/>
  <c r="D366" i="1"/>
  <c r="G366" i="1"/>
  <c r="I366" i="1"/>
  <c r="K366" i="1"/>
  <c r="Q366" i="1"/>
  <c r="S366" i="1"/>
  <c r="T366" i="1"/>
  <c r="U366" i="1"/>
  <c r="Z366" i="1"/>
  <c r="AA366" i="1"/>
  <c r="D367" i="1"/>
  <c r="G367" i="1"/>
  <c r="I367" i="1"/>
  <c r="K367" i="1"/>
  <c r="Q367" i="1"/>
  <c r="S367" i="1"/>
  <c r="T367" i="1"/>
  <c r="U367" i="1"/>
  <c r="Z367" i="1"/>
  <c r="AA367" i="1"/>
  <c r="D368" i="1"/>
  <c r="G368" i="1"/>
  <c r="I368" i="1"/>
  <c r="K368" i="1"/>
  <c r="Q368" i="1"/>
  <c r="S368" i="1"/>
  <c r="T368" i="1"/>
  <c r="U368" i="1"/>
  <c r="Z368" i="1"/>
  <c r="AA368" i="1"/>
  <c r="D369" i="1"/>
  <c r="G369" i="1"/>
  <c r="I369" i="1"/>
  <c r="K369" i="1"/>
  <c r="Q369" i="1"/>
  <c r="S369" i="1"/>
  <c r="T369" i="1"/>
  <c r="U369" i="1"/>
  <c r="Z369" i="1"/>
  <c r="AA369" i="1"/>
  <c r="D370" i="1"/>
  <c r="G370" i="1"/>
  <c r="I370" i="1"/>
  <c r="K370" i="1"/>
  <c r="Q370" i="1"/>
  <c r="S370" i="1"/>
  <c r="T370" i="1"/>
  <c r="U370" i="1"/>
  <c r="Z370" i="1"/>
  <c r="AA370" i="1"/>
  <c r="D371" i="1"/>
  <c r="G371" i="1"/>
  <c r="I371" i="1"/>
  <c r="K371" i="1"/>
  <c r="Q371" i="1"/>
  <c r="S371" i="1"/>
  <c r="T371" i="1"/>
  <c r="U371" i="1"/>
  <c r="Z371" i="1"/>
  <c r="AA371" i="1"/>
  <c r="D372" i="1"/>
  <c r="G372" i="1"/>
  <c r="I372" i="1"/>
  <c r="K372" i="1"/>
  <c r="Q372" i="1"/>
  <c r="S372" i="1"/>
  <c r="T372" i="1"/>
  <c r="U372" i="1"/>
  <c r="Z372" i="1"/>
  <c r="AA372" i="1"/>
  <c r="D373" i="1"/>
  <c r="G373" i="1"/>
  <c r="I373" i="1"/>
  <c r="K373" i="1"/>
  <c r="Q373" i="1"/>
  <c r="S373" i="1"/>
  <c r="T373" i="1"/>
  <c r="U373" i="1"/>
  <c r="Z373" i="1"/>
  <c r="AA373" i="1"/>
  <c r="D374" i="1"/>
  <c r="G374" i="1"/>
  <c r="I374" i="1"/>
  <c r="K374" i="1"/>
  <c r="Q374" i="1"/>
  <c r="S374" i="1"/>
  <c r="T374" i="1"/>
  <c r="U374" i="1"/>
  <c r="Z374" i="1"/>
  <c r="AA374" i="1"/>
  <c r="D375" i="1"/>
  <c r="G375" i="1"/>
  <c r="I375" i="1"/>
  <c r="K375" i="1"/>
  <c r="Q375" i="1"/>
  <c r="S375" i="1"/>
  <c r="T375" i="1"/>
  <c r="U375" i="1"/>
  <c r="Z375" i="1"/>
  <c r="AA375" i="1"/>
  <c r="D376" i="1"/>
  <c r="G376" i="1"/>
  <c r="I376" i="1"/>
  <c r="K376" i="1"/>
  <c r="Q376" i="1"/>
  <c r="S376" i="1"/>
  <c r="T376" i="1"/>
  <c r="U376" i="1"/>
  <c r="Z376" i="1"/>
  <c r="AA376" i="1"/>
  <c r="D377" i="1"/>
  <c r="G377" i="1"/>
  <c r="I377" i="1"/>
  <c r="K377" i="1"/>
  <c r="Q377" i="1"/>
  <c r="S377" i="1"/>
  <c r="T377" i="1"/>
  <c r="U377" i="1"/>
  <c r="Z377" i="1"/>
  <c r="AA377" i="1"/>
  <c r="D378" i="1"/>
  <c r="G378" i="1"/>
  <c r="I378" i="1"/>
  <c r="K378" i="1"/>
  <c r="Q378" i="1"/>
  <c r="S378" i="1"/>
  <c r="T378" i="1"/>
  <c r="U378" i="1"/>
  <c r="Z378" i="1"/>
  <c r="AA378" i="1"/>
  <c r="D379" i="1"/>
  <c r="G379" i="1"/>
  <c r="I379" i="1"/>
  <c r="K379" i="1"/>
  <c r="Q379" i="1"/>
  <c r="S379" i="1"/>
  <c r="T379" i="1"/>
  <c r="U379" i="1"/>
  <c r="Z379" i="1"/>
  <c r="AA379" i="1"/>
  <c r="D380" i="1"/>
  <c r="G380" i="1"/>
  <c r="I380" i="1"/>
  <c r="K380" i="1"/>
  <c r="Q380" i="1"/>
  <c r="S380" i="1"/>
  <c r="T380" i="1"/>
  <c r="U380" i="1"/>
  <c r="Z380" i="1"/>
  <c r="AA380" i="1"/>
  <c r="D381" i="1"/>
  <c r="G381" i="1"/>
  <c r="I381" i="1"/>
  <c r="K381" i="1"/>
  <c r="Q381" i="1"/>
  <c r="S381" i="1"/>
  <c r="T381" i="1"/>
  <c r="U381" i="1"/>
  <c r="Z381" i="1"/>
  <c r="AA381" i="1"/>
  <c r="D382" i="1"/>
  <c r="G382" i="1"/>
  <c r="I382" i="1"/>
  <c r="K382" i="1"/>
  <c r="Q382" i="1"/>
  <c r="S382" i="1"/>
  <c r="T382" i="1"/>
  <c r="U382" i="1"/>
  <c r="Z382" i="1"/>
  <c r="AA382" i="1"/>
  <c r="D383" i="1"/>
  <c r="G383" i="1"/>
  <c r="I383" i="1"/>
  <c r="K383" i="1"/>
  <c r="Q383" i="1"/>
  <c r="S383" i="1"/>
  <c r="T383" i="1"/>
  <c r="U383" i="1"/>
  <c r="Z383" i="1"/>
  <c r="AA383" i="1"/>
  <c r="D384" i="1"/>
  <c r="G384" i="1"/>
  <c r="I384" i="1"/>
  <c r="K384" i="1"/>
  <c r="Q384" i="1"/>
  <c r="S384" i="1"/>
  <c r="T384" i="1"/>
  <c r="U384" i="1"/>
  <c r="Z384" i="1"/>
  <c r="AA384" i="1"/>
  <c r="D385" i="1"/>
  <c r="G385" i="1"/>
  <c r="I385" i="1"/>
  <c r="K385" i="1"/>
  <c r="Q385" i="1"/>
  <c r="S385" i="1"/>
  <c r="T385" i="1"/>
  <c r="U385" i="1"/>
  <c r="Z385" i="1"/>
  <c r="AA385" i="1"/>
  <c r="D386" i="1"/>
  <c r="G386" i="1"/>
  <c r="I386" i="1"/>
  <c r="K386" i="1"/>
  <c r="Q386" i="1"/>
  <c r="S386" i="1"/>
  <c r="T386" i="1"/>
  <c r="U386" i="1"/>
  <c r="Z386" i="1"/>
  <c r="AA386" i="1"/>
  <c r="D387" i="1"/>
  <c r="G387" i="1"/>
  <c r="I387" i="1"/>
  <c r="K387" i="1"/>
  <c r="Q387" i="1"/>
  <c r="S387" i="1"/>
  <c r="T387" i="1"/>
  <c r="U387" i="1"/>
  <c r="Z387" i="1"/>
  <c r="AA387" i="1"/>
  <c r="D388" i="1"/>
  <c r="G388" i="1"/>
  <c r="I388" i="1"/>
  <c r="K388" i="1"/>
  <c r="Q388" i="1"/>
  <c r="S388" i="1"/>
  <c r="T388" i="1"/>
  <c r="U388" i="1"/>
  <c r="Z388" i="1"/>
  <c r="AA388" i="1"/>
  <c r="D389" i="1"/>
  <c r="G389" i="1"/>
  <c r="I389" i="1"/>
  <c r="K389" i="1"/>
  <c r="Q389" i="1"/>
  <c r="S389" i="1"/>
  <c r="T389" i="1"/>
  <c r="U389" i="1"/>
  <c r="Z389" i="1"/>
  <c r="AA389" i="1"/>
  <c r="D390" i="1"/>
  <c r="G390" i="1"/>
  <c r="I390" i="1"/>
  <c r="K390" i="1"/>
  <c r="Q390" i="1"/>
  <c r="S390" i="1"/>
  <c r="T390" i="1"/>
  <c r="U390" i="1"/>
  <c r="Z390" i="1"/>
  <c r="AA390" i="1"/>
  <c r="D391" i="1"/>
  <c r="G391" i="1"/>
  <c r="I391" i="1"/>
  <c r="K391" i="1"/>
  <c r="Q391" i="1"/>
  <c r="S391" i="1"/>
  <c r="T391" i="1"/>
  <c r="U391" i="1"/>
  <c r="Z391" i="1"/>
  <c r="AA391" i="1"/>
  <c r="D392" i="1"/>
  <c r="G392" i="1"/>
  <c r="I392" i="1"/>
  <c r="K392" i="1"/>
  <c r="Q392" i="1"/>
  <c r="S392" i="1"/>
  <c r="T392" i="1"/>
  <c r="U392" i="1"/>
  <c r="Z392" i="1"/>
  <c r="AA392" i="1"/>
  <c r="D393" i="1"/>
  <c r="G393" i="1"/>
  <c r="I393" i="1"/>
  <c r="K393" i="1"/>
  <c r="Q393" i="1"/>
  <c r="S393" i="1"/>
  <c r="T393" i="1"/>
  <c r="U393" i="1"/>
  <c r="Z393" i="1"/>
  <c r="AA393" i="1"/>
  <c r="D394" i="1"/>
  <c r="G394" i="1"/>
  <c r="I394" i="1"/>
  <c r="K394" i="1"/>
  <c r="Q394" i="1"/>
  <c r="S394" i="1"/>
  <c r="T394" i="1"/>
  <c r="U394" i="1"/>
  <c r="Z394" i="1"/>
  <c r="AA394" i="1"/>
  <c r="D395" i="1"/>
  <c r="G395" i="1"/>
  <c r="I395" i="1"/>
  <c r="K395" i="1"/>
  <c r="Q395" i="1"/>
  <c r="S395" i="1"/>
  <c r="T395" i="1"/>
  <c r="U395" i="1"/>
  <c r="Z395" i="1"/>
  <c r="AA395" i="1"/>
  <c r="D396" i="1"/>
  <c r="G396" i="1"/>
  <c r="I396" i="1"/>
  <c r="K396" i="1"/>
  <c r="Q396" i="1"/>
  <c r="S396" i="1"/>
  <c r="T396" i="1"/>
  <c r="U396" i="1"/>
  <c r="Z396" i="1"/>
  <c r="AA396" i="1"/>
  <c r="D397" i="1"/>
  <c r="G397" i="1"/>
  <c r="I397" i="1"/>
  <c r="K397" i="1"/>
  <c r="Q397" i="1"/>
  <c r="S397" i="1"/>
  <c r="T397" i="1"/>
  <c r="U397" i="1"/>
  <c r="Z397" i="1"/>
  <c r="AA397" i="1"/>
  <c r="D398" i="1"/>
  <c r="G398" i="1"/>
  <c r="I398" i="1"/>
  <c r="K398" i="1"/>
  <c r="Q398" i="1"/>
  <c r="S398" i="1"/>
  <c r="T398" i="1"/>
  <c r="U398" i="1"/>
  <c r="Z398" i="1"/>
  <c r="AA398" i="1"/>
  <c r="D399" i="1"/>
  <c r="G399" i="1"/>
  <c r="I399" i="1"/>
  <c r="K399" i="1"/>
  <c r="Q399" i="1"/>
  <c r="S399" i="1"/>
  <c r="T399" i="1"/>
  <c r="U399" i="1"/>
  <c r="Z399" i="1"/>
  <c r="AA399" i="1"/>
  <c r="D400" i="1"/>
  <c r="G400" i="1"/>
  <c r="I400" i="1"/>
  <c r="K400" i="1"/>
  <c r="Q400" i="1"/>
  <c r="S400" i="1"/>
  <c r="T400" i="1"/>
  <c r="U400" i="1"/>
  <c r="Z400" i="1"/>
  <c r="AA400" i="1"/>
  <c r="D401" i="1"/>
  <c r="G401" i="1"/>
  <c r="I401" i="1"/>
  <c r="K401" i="1"/>
  <c r="Q401" i="1"/>
  <c r="S401" i="1"/>
  <c r="T401" i="1"/>
  <c r="U401" i="1"/>
  <c r="Z401" i="1"/>
  <c r="AA401" i="1"/>
  <c r="D402" i="1"/>
  <c r="G402" i="1"/>
  <c r="I402" i="1"/>
  <c r="K402" i="1"/>
  <c r="Q402" i="1"/>
  <c r="S402" i="1"/>
  <c r="T402" i="1"/>
  <c r="U402" i="1"/>
  <c r="Z402" i="1"/>
  <c r="AA402" i="1"/>
  <c r="D403" i="1"/>
  <c r="G403" i="1"/>
  <c r="I403" i="1"/>
  <c r="K403" i="1"/>
  <c r="Q403" i="1"/>
  <c r="S403" i="1"/>
  <c r="T403" i="1"/>
  <c r="U403" i="1"/>
  <c r="Z403" i="1"/>
  <c r="AA403" i="1"/>
  <c r="D404" i="1"/>
  <c r="G404" i="1"/>
  <c r="I404" i="1"/>
  <c r="K404" i="1"/>
  <c r="Q404" i="1"/>
  <c r="S404" i="1"/>
  <c r="T404" i="1"/>
  <c r="U404" i="1"/>
  <c r="Z404" i="1"/>
  <c r="AA404" i="1"/>
  <c r="D405" i="1"/>
  <c r="G405" i="1"/>
  <c r="I405" i="1"/>
  <c r="K405" i="1"/>
  <c r="Q405" i="1"/>
  <c r="S405" i="1"/>
  <c r="T405" i="1"/>
  <c r="U405" i="1"/>
  <c r="Z405" i="1"/>
  <c r="AA405" i="1"/>
  <c r="D406" i="1"/>
  <c r="G406" i="1"/>
  <c r="I406" i="1"/>
  <c r="K406" i="1"/>
  <c r="Q406" i="1"/>
  <c r="S406" i="1"/>
  <c r="T406" i="1"/>
  <c r="U406" i="1"/>
  <c r="Z406" i="1"/>
  <c r="AA406" i="1"/>
  <c r="D407" i="1"/>
  <c r="G407" i="1"/>
  <c r="I407" i="1"/>
  <c r="K407" i="1"/>
  <c r="Q407" i="1"/>
  <c r="S407" i="1"/>
  <c r="T407" i="1"/>
  <c r="U407" i="1"/>
  <c r="Z407" i="1"/>
  <c r="AA407" i="1"/>
  <c r="D408" i="1"/>
  <c r="G408" i="1"/>
  <c r="I408" i="1"/>
  <c r="K408" i="1"/>
  <c r="Q408" i="1"/>
  <c r="S408" i="1"/>
  <c r="T408" i="1"/>
  <c r="U408" i="1"/>
  <c r="Z408" i="1"/>
  <c r="AA408" i="1"/>
  <c r="D409" i="1"/>
  <c r="G409" i="1"/>
  <c r="I409" i="1"/>
  <c r="K409" i="1"/>
  <c r="Q409" i="1"/>
  <c r="S409" i="1"/>
  <c r="T409" i="1"/>
  <c r="U409" i="1"/>
  <c r="Z409" i="1"/>
  <c r="AA409" i="1"/>
  <c r="D410" i="1"/>
  <c r="G410" i="1"/>
  <c r="I410" i="1"/>
  <c r="K410" i="1"/>
  <c r="Q410" i="1"/>
  <c r="S410" i="1"/>
  <c r="T410" i="1"/>
  <c r="U410" i="1"/>
  <c r="Z410" i="1"/>
  <c r="AA410" i="1"/>
  <c r="D411" i="1"/>
  <c r="G411" i="1"/>
  <c r="I411" i="1"/>
  <c r="K411" i="1"/>
  <c r="Q411" i="1"/>
  <c r="S411" i="1"/>
  <c r="T411" i="1"/>
  <c r="U411" i="1"/>
  <c r="Z411" i="1"/>
  <c r="AA411" i="1"/>
  <c r="D412" i="1"/>
  <c r="G412" i="1"/>
  <c r="I412" i="1"/>
  <c r="K412" i="1"/>
  <c r="Q412" i="1"/>
  <c r="S412" i="1"/>
  <c r="T412" i="1"/>
  <c r="U412" i="1"/>
  <c r="Z412" i="1"/>
  <c r="AA412" i="1"/>
  <c r="D413" i="1"/>
  <c r="G413" i="1"/>
  <c r="I413" i="1"/>
  <c r="K413" i="1"/>
  <c r="Q413" i="1"/>
  <c r="S413" i="1"/>
  <c r="T413" i="1"/>
  <c r="U413" i="1"/>
  <c r="Z413" i="1"/>
  <c r="AA413" i="1"/>
  <c r="D414" i="1"/>
  <c r="G414" i="1"/>
  <c r="I414" i="1"/>
  <c r="K414" i="1"/>
  <c r="Q414" i="1"/>
  <c r="S414" i="1"/>
  <c r="T414" i="1"/>
  <c r="U414" i="1"/>
  <c r="Z414" i="1"/>
  <c r="AA414" i="1"/>
  <c r="D415" i="1"/>
  <c r="G415" i="1"/>
  <c r="I415" i="1"/>
  <c r="K415" i="1"/>
  <c r="Q415" i="1"/>
  <c r="S415" i="1"/>
  <c r="T415" i="1"/>
  <c r="U415" i="1"/>
  <c r="Z415" i="1"/>
  <c r="AA415" i="1"/>
  <c r="D416" i="1"/>
  <c r="G416" i="1"/>
  <c r="I416" i="1"/>
  <c r="K416" i="1"/>
  <c r="Q416" i="1"/>
  <c r="S416" i="1"/>
  <c r="T416" i="1"/>
  <c r="U416" i="1"/>
  <c r="Z416" i="1"/>
  <c r="AA416" i="1"/>
  <c r="D417" i="1"/>
  <c r="G417" i="1"/>
  <c r="I417" i="1"/>
  <c r="K417" i="1"/>
  <c r="Q417" i="1"/>
  <c r="S417" i="1"/>
  <c r="T417" i="1"/>
  <c r="U417" i="1"/>
  <c r="Z417" i="1"/>
  <c r="AA417" i="1"/>
  <c r="D418" i="1"/>
  <c r="G418" i="1"/>
  <c r="I418" i="1"/>
  <c r="K418" i="1"/>
  <c r="Q418" i="1"/>
  <c r="S418" i="1"/>
  <c r="T418" i="1"/>
  <c r="U418" i="1"/>
  <c r="Z418" i="1"/>
  <c r="AA418" i="1"/>
  <c r="D419" i="1"/>
  <c r="G419" i="1"/>
  <c r="I419" i="1"/>
  <c r="K419" i="1"/>
  <c r="Q419" i="1"/>
  <c r="S419" i="1"/>
  <c r="T419" i="1"/>
  <c r="U419" i="1"/>
  <c r="Z419" i="1"/>
  <c r="AA419" i="1"/>
  <c r="D420" i="1"/>
  <c r="G420" i="1"/>
  <c r="I420" i="1"/>
  <c r="K420" i="1"/>
  <c r="Q420" i="1"/>
  <c r="S420" i="1"/>
  <c r="T420" i="1"/>
  <c r="U420" i="1"/>
  <c r="Z420" i="1"/>
  <c r="AA420" i="1"/>
  <c r="D421" i="1"/>
  <c r="G421" i="1"/>
  <c r="I421" i="1"/>
  <c r="K421" i="1"/>
  <c r="Q421" i="1"/>
  <c r="S421" i="1"/>
  <c r="T421" i="1"/>
  <c r="U421" i="1"/>
  <c r="Z421" i="1"/>
  <c r="AA421" i="1"/>
  <c r="D422" i="1"/>
  <c r="G422" i="1"/>
  <c r="I422" i="1"/>
  <c r="K422" i="1"/>
  <c r="Q422" i="1"/>
  <c r="S422" i="1"/>
  <c r="T422" i="1"/>
  <c r="U422" i="1"/>
  <c r="Z422" i="1"/>
  <c r="AA422" i="1"/>
  <c r="D423" i="1"/>
  <c r="G423" i="1"/>
  <c r="I423" i="1"/>
  <c r="K423" i="1"/>
  <c r="Q423" i="1"/>
  <c r="S423" i="1"/>
  <c r="T423" i="1"/>
  <c r="U423" i="1"/>
  <c r="Z423" i="1"/>
  <c r="AA423" i="1"/>
  <c r="D424" i="1"/>
  <c r="G424" i="1"/>
  <c r="I424" i="1"/>
  <c r="K424" i="1"/>
  <c r="Q424" i="1"/>
  <c r="S424" i="1"/>
  <c r="T424" i="1"/>
  <c r="U424" i="1"/>
  <c r="Z424" i="1"/>
  <c r="AA424" i="1"/>
  <c r="D425" i="1"/>
  <c r="G425" i="1"/>
  <c r="I425" i="1"/>
  <c r="K425" i="1"/>
  <c r="Q425" i="1"/>
  <c r="S425" i="1"/>
  <c r="T425" i="1"/>
  <c r="U425" i="1"/>
  <c r="Z425" i="1"/>
  <c r="AA425" i="1"/>
  <c r="D426" i="1"/>
  <c r="G426" i="1"/>
  <c r="I426" i="1"/>
  <c r="K426" i="1"/>
  <c r="Q426" i="1"/>
  <c r="S426" i="1"/>
  <c r="T426" i="1"/>
  <c r="U426" i="1"/>
  <c r="Z426" i="1"/>
  <c r="AA426" i="1"/>
  <c r="D427" i="1"/>
  <c r="G427" i="1"/>
  <c r="I427" i="1"/>
  <c r="K427" i="1"/>
  <c r="Q427" i="1"/>
  <c r="S427" i="1"/>
  <c r="T427" i="1"/>
  <c r="U427" i="1"/>
  <c r="Z427" i="1"/>
  <c r="AA427" i="1"/>
  <c r="D428" i="1"/>
  <c r="G428" i="1"/>
  <c r="I428" i="1"/>
  <c r="K428" i="1"/>
  <c r="Q428" i="1"/>
  <c r="S428" i="1"/>
  <c r="T428" i="1"/>
  <c r="U428" i="1"/>
  <c r="Z428" i="1"/>
  <c r="AA428" i="1"/>
  <c r="D429" i="1"/>
  <c r="G429" i="1"/>
  <c r="I429" i="1"/>
  <c r="K429" i="1"/>
  <c r="Q429" i="1"/>
  <c r="S429" i="1"/>
  <c r="T429" i="1"/>
  <c r="U429" i="1"/>
  <c r="Z429" i="1"/>
  <c r="AA429" i="1"/>
  <c r="D430" i="1"/>
  <c r="G430" i="1"/>
  <c r="I430" i="1"/>
  <c r="K430" i="1"/>
  <c r="Q430" i="1"/>
  <c r="S430" i="1"/>
  <c r="T430" i="1"/>
  <c r="U430" i="1"/>
  <c r="Z430" i="1"/>
  <c r="AA430" i="1"/>
  <c r="D431" i="1"/>
  <c r="G431" i="1"/>
  <c r="I431" i="1"/>
  <c r="K431" i="1"/>
  <c r="Q431" i="1"/>
  <c r="S431" i="1"/>
  <c r="T431" i="1"/>
  <c r="U431" i="1"/>
  <c r="Z431" i="1"/>
  <c r="AA431" i="1"/>
  <c r="D432" i="1"/>
  <c r="G432" i="1"/>
  <c r="I432" i="1"/>
  <c r="K432" i="1"/>
  <c r="Q432" i="1"/>
  <c r="S432" i="1"/>
  <c r="T432" i="1"/>
  <c r="U432" i="1"/>
  <c r="Z432" i="1"/>
  <c r="AA432" i="1"/>
  <c r="D433" i="1"/>
  <c r="G433" i="1"/>
  <c r="I433" i="1"/>
  <c r="K433" i="1"/>
  <c r="Q433" i="1"/>
  <c r="S433" i="1"/>
  <c r="T433" i="1"/>
  <c r="U433" i="1"/>
  <c r="Z433" i="1"/>
  <c r="AA433" i="1"/>
  <c r="D434" i="1"/>
  <c r="G434" i="1"/>
  <c r="I434" i="1"/>
  <c r="K434" i="1"/>
  <c r="Q434" i="1"/>
  <c r="S434" i="1"/>
  <c r="T434" i="1"/>
  <c r="U434" i="1"/>
  <c r="Z434" i="1"/>
  <c r="AA434" i="1"/>
  <c r="D435" i="1"/>
  <c r="G435" i="1"/>
  <c r="I435" i="1"/>
  <c r="K435" i="1"/>
  <c r="Q435" i="1"/>
  <c r="S435" i="1"/>
  <c r="T435" i="1"/>
  <c r="U435" i="1"/>
  <c r="Z435" i="1"/>
  <c r="AA435" i="1"/>
  <c r="D436" i="1"/>
  <c r="G436" i="1"/>
  <c r="I436" i="1"/>
  <c r="K436" i="1"/>
  <c r="Q436" i="1"/>
  <c r="S436" i="1"/>
  <c r="T436" i="1"/>
  <c r="U436" i="1"/>
  <c r="Z436" i="1"/>
  <c r="AA436" i="1"/>
  <c r="D437" i="1"/>
  <c r="G437" i="1"/>
  <c r="I437" i="1"/>
  <c r="K437" i="1"/>
  <c r="Q437" i="1"/>
  <c r="S437" i="1"/>
  <c r="T437" i="1"/>
  <c r="U437" i="1"/>
  <c r="Z437" i="1"/>
  <c r="AA437" i="1"/>
  <c r="D438" i="1"/>
  <c r="G438" i="1"/>
  <c r="I438" i="1"/>
  <c r="K438" i="1"/>
  <c r="Q438" i="1"/>
  <c r="S438" i="1"/>
  <c r="T438" i="1"/>
  <c r="U438" i="1"/>
  <c r="Z438" i="1"/>
  <c r="AA438" i="1"/>
  <c r="D439" i="1"/>
  <c r="G439" i="1"/>
  <c r="I439" i="1"/>
  <c r="K439" i="1"/>
  <c r="Q439" i="1"/>
  <c r="S439" i="1"/>
  <c r="T439" i="1"/>
  <c r="U439" i="1"/>
  <c r="Z439" i="1"/>
  <c r="AA439" i="1"/>
  <c r="D440" i="1"/>
  <c r="G440" i="1"/>
  <c r="I440" i="1"/>
  <c r="K440" i="1"/>
  <c r="Q440" i="1"/>
  <c r="S440" i="1"/>
  <c r="T440" i="1"/>
  <c r="U440" i="1"/>
  <c r="Z440" i="1"/>
  <c r="AA440" i="1"/>
  <c r="D441" i="1"/>
  <c r="G441" i="1"/>
  <c r="I441" i="1"/>
  <c r="K441" i="1"/>
  <c r="Q441" i="1"/>
  <c r="S441" i="1"/>
  <c r="T441" i="1"/>
  <c r="U441" i="1"/>
  <c r="Z441" i="1"/>
  <c r="AA441" i="1"/>
  <c r="D442" i="1"/>
  <c r="G442" i="1"/>
  <c r="I442" i="1"/>
  <c r="K442" i="1"/>
  <c r="Q442" i="1"/>
  <c r="S442" i="1"/>
  <c r="T442" i="1"/>
  <c r="U442" i="1"/>
  <c r="Z442" i="1"/>
  <c r="AA442" i="1"/>
  <c r="D443" i="1"/>
  <c r="G443" i="1"/>
  <c r="I443" i="1"/>
  <c r="K443" i="1"/>
  <c r="Q443" i="1"/>
  <c r="S443" i="1"/>
  <c r="T443" i="1"/>
  <c r="U443" i="1"/>
  <c r="Z443" i="1"/>
  <c r="AA443" i="1"/>
  <c r="D444" i="1"/>
  <c r="G444" i="1"/>
  <c r="I444" i="1"/>
  <c r="K444" i="1"/>
  <c r="Q444" i="1"/>
  <c r="S444" i="1"/>
  <c r="T444" i="1"/>
  <c r="U444" i="1"/>
  <c r="Z444" i="1"/>
  <c r="AA444" i="1"/>
  <c r="D445" i="1"/>
  <c r="G445" i="1"/>
  <c r="I445" i="1"/>
  <c r="K445" i="1"/>
  <c r="Q445" i="1"/>
  <c r="S445" i="1"/>
  <c r="T445" i="1"/>
  <c r="U445" i="1"/>
  <c r="Z445" i="1"/>
  <c r="AA445" i="1"/>
  <c r="D446" i="1"/>
  <c r="G446" i="1"/>
  <c r="I446" i="1"/>
  <c r="K446" i="1"/>
  <c r="Q446" i="1"/>
  <c r="S446" i="1"/>
  <c r="T446" i="1"/>
  <c r="U446" i="1"/>
  <c r="Z446" i="1"/>
  <c r="AA446" i="1"/>
  <c r="D447" i="1"/>
  <c r="G447" i="1"/>
  <c r="I447" i="1"/>
  <c r="K447" i="1"/>
  <c r="Q447" i="1"/>
  <c r="S447" i="1"/>
  <c r="T447" i="1"/>
  <c r="U447" i="1"/>
  <c r="Z447" i="1"/>
  <c r="AA447" i="1"/>
  <c r="D448" i="1"/>
  <c r="G448" i="1"/>
  <c r="I448" i="1"/>
  <c r="K448" i="1"/>
  <c r="Q448" i="1"/>
  <c r="S448" i="1"/>
  <c r="T448" i="1"/>
  <c r="U448" i="1"/>
  <c r="Z448" i="1"/>
  <c r="AA448" i="1"/>
  <c r="D449" i="1"/>
  <c r="G449" i="1"/>
  <c r="I449" i="1"/>
  <c r="K449" i="1"/>
  <c r="Q449" i="1"/>
  <c r="S449" i="1"/>
  <c r="T449" i="1"/>
  <c r="U449" i="1"/>
  <c r="Z449" i="1"/>
  <c r="AA449" i="1"/>
  <c r="D450" i="1"/>
  <c r="G450" i="1"/>
  <c r="I450" i="1"/>
  <c r="K450" i="1"/>
  <c r="Q450" i="1"/>
  <c r="S450" i="1"/>
  <c r="T450" i="1"/>
  <c r="U450" i="1"/>
  <c r="Z450" i="1"/>
  <c r="AA450" i="1"/>
  <c r="D451" i="1"/>
  <c r="G451" i="1"/>
  <c r="I451" i="1"/>
  <c r="K451" i="1"/>
  <c r="Q451" i="1"/>
  <c r="S451" i="1"/>
  <c r="T451" i="1"/>
  <c r="U451" i="1"/>
  <c r="Z451" i="1"/>
  <c r="AA451" i="1"/>
  <c r="D452" i="1"/>
  <c r="G452" i="1"/>
  <c r="I452" i="1"/>
  <c r="K452" i="1"/>
  <c r="Q452" i="1"/>
  <c r="S452" i="1"/>
  <c r="T452" i="1"/>
  <c r="U452" i="1"/>
  <c r="Z452" i="1"/>
  <c r="AA452" i="1"/>
  <c r="D453" i="1"/>
  <c r="G453" i="1"/>
  <c r="I453" i="1"/>
  <c r="K453" i="1"/>
  <c r="Q453" i="1"/>
  <c r="S453" i="1"/>
  <c r="T453" i="1"/>
  <c r="U453" i="1"/>
  <c r="Z453" i="1"/>
  <c r="AA453" i="1"/>
  <c r="D454" i="1"/>
  <c r="G454" i="1"/>
  <c r="I454" i="1"/>
  <c r="K454" i="1"/>
  <c r="Q454" i="1"/>
  <c r="S454" i="1"/>
  <c r="T454" i="1"/>
  <c r="U454" i="1"/>
  <c r="Z454" i="1"/>
  <c r="AA454" i="1"/>
  <c r="D455" i="1"/>
  <c r="G455" i="1"/>
  <c r="I455" i="1"/>
  <c r="K455" i="1"/>
  <c r="Q455" i="1"/>
  <c r="S455" i="1"/>
  <c r="T455" i="1"/>
  <c r="U455" i="1"/>
  <c r="Z455" i="1"/>
  <c r="AA455" i="1"/>
  <c r="D456" i="1"/>
  <c r="G456" i="1"/>
  <c r="I456" i="1"/>
  <c r="K456" i="1"/>
  <c r="Q456" i="1"/>
  <c r="S456" i="1"/>
  <c r="T456" i="1"/>
  <c r="U456" i="1"/>
  <c r="Z456" i="1"/>
  <c r="AA456" i="1"/>
  <c r="D457" i="1"/>
  <c r="G457" i="1"/>
  <c r="I457" i="1"/>
  <c r="K457" i="1"/>
  <c r="Q457" i="1"/>
  <c r="S457" i="1"/>
  <c r="T457" i="1"/>
  <c r="U457" i="1"/>
  <c r="Z457" i="1"/>
  <c r="AA457" i="1"/>
  <c r="D458" i="1"/>
  <c r="G458" i="1"/>
  <c r="I458" i="1"/>
  <c r="K458" i="1"/>
  <c r="Q458" i="1"/>
  <c r="S458" i="1"/>
  <c r="T458" i="1"/>
  <c r="U458" i="1"/>
  <c r="Z458" i="1"/>
  <c r="AA458" i="1"/>
  <c r="D459" i="1"/>
  <c r="G459" i="1"/>
  <c r="I459" i="1"/>
  <c r="K459" i="1"/>
  <c r="Q459" i="1"/>
  <c r="S459" i="1"/>
  <c r="T459" i="1"/>
  <c r="U459" i="1"/>
  <c r="Z459" i="1"/>
  <c r="AA459" i="1"/>
  <c r="D460" i="1"/>
  <c r="G460" i="1"/>
  <c r="I460" i="1"/>
  <c r="K460" i="1"/>
  <c r="Q460" i="1"/>
  <c r="S460" i="1"/>
  <c r="T460" i="1"/>
  <c r="U460" i="1"/>
  <c r="Z460" i="1"/>
  <c r="AA460" i="1"/>
  <c r="D461" i="1"/>
  <c r="G461" i="1"/>
  <c r="I461" i="1"/>
  <c r="K461" i="1"/>
  <c r="Q461" i="1"/>
  <c r="S461" i="1"/>
  <c r="T461" i="1"/>
  <c r="U461" i="1"/>
  <c r="Z461" i="1"/>
  <c r="AA461" i="1"/>
  <c r="D462" i="1"/>
  <c r="G462" i="1"/>
  <c r="I462" i="1"/>
  <c r="K462" i="1"/>
  <c r="Q462" i="1"/>
  <c r="S462" i="1"/>
  <c r="T462" i="1"/>
  <c r="U462" i="1"/>
  <c r="Z462" i="1"/>
  <c r="AA462" i="1"/>
  <c r="D463" i="1"/>
  <c r="G463" i="1"/>
  <c r="I463" i="1"/>
  <c r="K463" i="1"/>
  <c r="Q463" i="1"/>
  <c r="S463" i="1"/>
  <c r="T463" i="1"/>
  <c r="U463" i="1"/>
  <c r="Z463" i="1"/>
  <c r="AA463" i="1"/>
  <c r="D464" i="1"/>
  <c r="G464" i="1"/>
  <c r="I464" i="1"/>
  <c r="K464" i="1"/>
  <c r="Q464" i="1"/>
  <c r="S464" i="1"/>
  <c r="T464" i="1"/>
  <c r="U464" i="1"/>
  <c r="Z464" i="1"/>
  <c r="AA464" i="1"/>
  <c r="D465" i="1"/>
  <c r="G465" i="1"/>
  <c r="I465" i="1"/>
  <c r="K465" i="1"/>
  <c r="Q465" i="1"/>
  <c r="S465" i="1"/>
  <c r="T465" i="1"/>
  <c r="U465" i="1"/>
  <c r="Z465" i="1"/>
  <c r="AA465" i="1"/>
  <c r="D466" i="1"/>
  <c r="G466" i="1"/>
  <c r="I466" i="1"/>
  <c r="K466" i="1"/>
  <c r="Q466" i="1"/>
  <c r="S466" i="1"/>
  <c r="T466" i="1"/>
  <c r="U466" i="1"/>
  <c r="Z466" i="1"/>
  <c r="AA466" i="1"/>
  <c r="D467" i="1"/>
  <c r="G467" i="1"/>
  <c r="I467" i="1"/>
  <c r="K467" i="1"/>
  <c r="Q467" i="1"/>
  <c r="S467" i="1"/>
  <c r="T467" i="1"/>
  <c r="U467" i="1"/>
  <c r="Z467" i="1"/>
  <c r="AA467" i="1"/>
  <c r="D468" i="1"/>
  <c r="G468" i="1"/>
  <c r="I468" i="1"/>
  <c r="K468" i="1"/>
  <c r="Q468" i="1"/>
  <c r="S468" i="1"/>
  <c r="T468" i="1"/>
  <c r="U468" i="1"/>
  <c r="Z468" i="1"/>
  <c r="AA468" i="1"/>
  <c r="D469" i="1"/>
  <c r="G469" i="1"/>
  <c r="I469" i="1"/>
  <c r="K469" i="1"/>
  <c r="Q469" i="1"/>
  <c r="S469" i="1"/>
  <c r="T469" i="1"/>
  <c r="U469" i="1"/>
  <c r="Z469" i="1"/>
  <c r="AA469" i="1"/>
  <c r="D470" i="1"/>
  <c r="G470" i="1"/>
  <c r="I470" i="1"/>
  <c r="K470" i="1"/>
  <c r="Q470" i="1"/>
  <c r="S470" i="1"/>
  <c r="T470" i="1"/>
  <c r="U470" i="1"/>
  <c r="Z470" i="1"/>
  <c r="AA470" i="1"/>
  <c r="D471" i="1"/>
  <c r="G471" i="1"/>
  <c r="I471" i="1"/>
  <c r="K471" i="1"/>
  <c r="Q471" i="1"/>
  <c r="S471" i="1"/>
  <c r="T471" i="1"/>
  <c r="U471" i="1"/>
  <c r="Z471" i="1"/>
  <c r="AA471" i="1"/>
  <c r="D472" i="1"/>
  <c r="G472" i="1"/>
  <c r="I472" i="1"/>
  <c r="K472" i="1"/>
  <c r="Q472" i="1"/>
  <c r="S472" i="1"/>
  <c r="T472" i="1"/>
  <c r="U472" i="1"/>
  <c r="Z472" i="1"/>
  <c r="AA472" i="1"/>
  <c r="D473" i="1"/>
  <c r="G473" i="1"/>
  <c r="I473" i="1"/>
  <c r="K473" i="1"/>
  <c r="Q473" i="1"/>
  <c r="S473" i="1"/>
  <c r="T473" i="1"/>
  <c r="U473" i="1"/>
  <c r="Z473" i="1"/>
  <c r="AA473" i="1"/>
  <c r="D474" i="1"/>
  <c r="G474" i="1"/>
  <c r="I474" i="1"/>
  <c r="K474" i="1"/>
  <c r="Q474" i="1"/>
  <c r="S474" i="1"/>
  <c r="T474" i="1"/>
  <c r="U474" i="1"/>
  <c r="Z474" i="1"/>
  <c r="AA474" i="1"/>
  <c r="D475" i="1"/>
  <c r="G475" i="1"/>
  <c r="I475" i="1"/>
  <c r="K475" i="1"/>
  <c r="Q475" i="1"/>
  <c r="S475" i="1"/>
  <c r="T475" i="1"/>
  <c r="U475" i="1"/>
  <c r="Z475" i="1"/>
  <c r="AA475" i="1"/>
  <c r="D476" i="1"/>
  <c r="G476" i="1"/>
  <c r="I476" i="1"/>
  <c r="K476" i="1"/>
  <c r="Q476" i="1"/>
  <c r="S476" i="1"/>
  <c r="T476" i="1"/>
  <c r="U476" i="1"/>
  <c r="Z476" i="1"/>
  <c r="AA476" i="1"/>
  <c r="D477" i="1"/>
  <c r="G477" i="1"/>
  <c r="I477" i="1"/>
  <c r="K477" i="1"/>
  <c r="Q477" i="1"/>
  <c r="S477" i="1"/>
  <c r="T477" i="1"/>
  <c r="U477" i="1"/>
  <c r="Z477" i="1"/>
  <c r="AA477" i="1"/>
  <c r="D478" i="1"/>
  <c r="G478" i="1"/>
  <c r="I478" i="1"/>
  <c r="K478" i="1"/>
  <c r="Q478" i="1"/>
  <c r="S478" i="1"/>
  <c r="T478" i="1"/>
  <c r="U478" i="1"/>
  <c r="Z478" i="1"/>
  <c r="AA478" i="1"/>
  <c r="D479" i="1"/>
  <c r="G479" i="1"/>
  <c r="I479" i="1"/>
  <c r="K479" i="1"/>
  <c r="Q479" i="1"/>
  <c r="S479" i="1"/>
  <c r="T479" i="1"/>
  <c r="U479" i="1"/>
  <c r="Z479" i="1"/>
  <c r="AA479" i="1"/>
  <c r="D480" i="1"/>
  <c r="G480" i="1"/>
  <c r="I480" i="1"/>
  <c r="K480" i="1"/>
  <c r="Q480" i="1"/>
  <c r="S480" i="1"/>
  <c r="T480" i="1"/>
  <c r="U480" i="1"/>
  <c r="Z480" i="1"/>
  <c r="AA480" i="1"/>
  <c r="D481" i="1"/>
  <c r="G481" i="1"/>
  <c r="I481" i="1"/>
  <c r="K481" i="1"/>
  <c r="Q481" i="1"/>
  <c r="S481" i="1"/>
  <c r="T481" i="1"/>
  <c r="U481" i="1"/>
  <c r="Z481" i="1"/>
  <c r="AA481" i="1"/>
  <c r="D482" i="1"/>
  <c r="G482" i="1"/>
  <c r="I482" i="1"/>
  <c r="K482" i="1"/>
  <c r="Q482" i="1"/>
  <c r="S482" i="1"/>
  <c r="T482" i="1"/>
  <c r="U482" i="1"/>
  <c r="Z482" i="1"/>
  <c r="AA482" i="1"/>
  <c r="D483" i="1"/>
  <c r="G483" i="1"/>
  <c r="I483" i="1"/>
  <c r="K483" i="1"/>
  <c r="Q483" i="1"/>
  <c r="S483" i="1"/>
  <c r="T483" i="1"/>
  <c r="U483" i="1"/>
  <c r="Z483" i="1"/>
  <c r="AA483" i="1"/>
  <c r="D484" i="1"/>
  <c r="G484" i="1"/>
  <c r="I484" i="1"/>
  <c r="K484" i="1"/>
  <c r="Q484" i="1"/>
  <c r="S484" i="1"/>
  <c r="T484" i="1"/>
  <c r="U484" i="1"/>
  <c r="Z484" i="1"/>
  <c r="AA484" i="1"/>
  <c r="D485" i="1"/>
  <c r="G485" i="1"/>
  <c r="I485" i="1"/>
  <c r="K485" i="1"/>
  <c r="Q485" i="1"/>
  <c r="S485" i="1"/>
  <c r="T485" i="1"/>
  <c r="U485" i="1"/>
  <c r="Z485" i="1"/>
  <c r="AA485" i="1"/>
  <c r="D486" i="1"/>
  <c r="G486" i="1"/>
  <c r="I486" i="1"/>
  <c r="K486" i="1"/>
  <c r="Q486" i="1"/>
  <c r="S486" i="1"/>
  <c r="T486" i="1"/>
  <c r="U486" i="1"/>
  <c r="Z486" i="1"/>
  <c r="AA486" i="1"/>
  <c r="D487" i="1"/>
  <c r="G487" i="1"/>
  <c r="I487" i="1"/>
  <c r="K487" i="1"/>
  <c r="Q487" i="1"/>
  <c r="S487" i="1"/>
  <c r="T487" i="1"/>
  <c r="U487" i="1"/>
  <c r="Z487" i="1"/>
  <c r="AA487" i="1"/>
  <c r="D488" i="1"/>
  <c r="G488" i="1"/>
  <c r="I488" i="1"/>
  <c r="K488" i="1"/>
  <c r="Q488" i="1"/>
  <c r="S488" i="1"/>
  <c r="T488" i="1"/>
  <c r="U488" i="1"/>
  <c r="Z488" i="1"/>
  <c r="AA488" i="1"/>
  <c r="D489" i="1"/>
  <c r="G489" i="1"/>
  <c r="I489" i="1"/>
  <c r="K489" i="1"/>
  <c r="Q489" i="1"/>
  <c r="S489" i="1"/>
  <c r="T489" i="1"/>
  <c r="U489" i="1"/>
  <c r="Z489" i="1"/>
  <c r="AA489" i="1"/>
  <c r="D490" i="1"/>
  <c r="G490" i="1"/>
  <c r="I490" i="1"/>
  <c r="K490" i="1"/>
  <c r="Q490" i="1"/>
  <c r="S490" i="1"/>
  <c r="T490" i="1"/>
  <c r="U490" i="1"/>
  <c r="Z490" i="1"/>
  <c r="AA490" i="1"/>
  <c r="D491" i="1"/>
  <c r="G491" i="1"/>
  <c r="I491" i="1"/>
  <c r="K491" i="1"/>
  <c r="Q491" i="1"/>
  <c r="S491" i="1"/>
  <c r="T491" i="1"/>
  <c r="U491" i="1"/>
  <c r="Z491" i="1"/>
  <c r="AA491" i="1"/>
  <c r="D492" i="1"/>
  <c r="G492" i="1"/>
  <c r="I492" i="1"/>
  <c r="K492" i="1"/>
  <c r="Q492" i="1"/>
  <c r="S492" i="1"/>
  <c r="T492" i="1"/>
  <c r="U492" i="1"/>
  <c r="Z492" i="1"/>
  <c r="AA492" i="1"/>
  <c r="D493" i="1"/>
  <c r="G493" i="1"/>
  <c r="I493" i="1"/>
  <c r="K493" i="1"/>
  <c r="Q493" i="1"/>
  <c r="S493" i="1"/>
  <c r="T493" i="1"/>
  <c r="U493" i="1"/>
  <c r="Z493" i="1"/>
  <c r="AA493" i="1"/>
  <c r="D494" i="1"/>
  <c r="G494" i="1"/>
  <c r="I494" i="1"/>
  <c r="K494" i="1"/>
  <c r="Q494" i="1"/>
  <c r="S494" i="1"/>
  <c r="T494" i="1"/>
  <c r="U494" i="1"/>
  <c r="Z494" i="1"/>
  <c r="AA494" i="1"/>
  <c r="D495" i="1"/>
  <c r="G495" i="1"/>
  <c r="I495" i="1"/>
  <c r="K495" i="1"/>
  <c r="Q495" i="1"/>
  <c r="S495" i="1"/>
  <c r="T495" i="1"/>
  <c r="U495" i="1"/>
  <c r="Z495" i="1"/>
  <c r="AA495" i="1"/>
  <c r="D496" i="1"/>
  <c r="G496" i="1"/>
  <c r="I496" i="1"/>
  <c r="K496" i="1"/>
  <c r="Q496" i="1"/>
  <c r="S496" i="1"/>
  <c r="T496" i="1"/>
  <c r="U496" i="1"/>
  <c r="Z496" i="1"/>
  <c r="AA496" i="1"/>
  <c r="D497" i="1"/>
  <c r="G497" i="1"/>
  <c r="I497" i="1"/>
  <c r="K497" i="1"/>
  <c r="Q497" i="1"/>
  <c r="S497" i="1"/>
  <c r="T497" i="1"/>
  <c r="U497" i="1"/>
  <c r="Z497" i="1"/>
  <c r="AA497" i="1"/>
  <c r="D498" i="1"/>
  <c r="G498" i="1"/>
  <c r="I498" i="1"/>
  <c r="K498" i="1"/>
  <c r="Q498" i="1"/>
  <c r="S498" i="1"/>
  <c r="T498" i="1"/>
  <c r="U498" i="1"/>
  <c r="Z498" i="1"/>
  <c r="AA498" i="1"/>
  <c r="D499" i="1"/>
  <c r="G499" i="1"/>
  <c r="I499" i="1"/>
  <c r="K499" i="1"/>
  <c r="Q499" i="1"/>
  <c r="S499" i="1"/>
  <c r="T499" i="1"/>
  <c r="U499" i="1"/>
  <c r="Z499" i="1"/>
  <c r="AA499" i="1"/>
  <c r="D500" i="1"/>
  <c r="G500" i="1"/>
  <c r="I500" i="1"/>
  <c r="K500" i="1"/>
  <c r="Q500" i="1"/>
  <c r="S500" i="1"/>
  <c r="T500" i="1"/>
  <c r="U500" i="1"/>
  <c r="Z500" i="1"/>
  <c r="AA500" i="1"/>
  <c r="D501" i="1"/>
  <c r="G501" i="1"/>
  <c r="I501" i="1"/>
  <c r="K501" i="1"/>
  <c r="Q501" i="1"/>
  <c r="S501" i="1"/>
  <c r="T501" i="1"/>
  <c r="U501" i="1"/>
  <c r="Z501" i="1"/>
  <c r="AA501" i="1"/>
  <c r="D502" i="1"/>
  <c r="G502" i="1"/>
  <c r="I502" i="1"/>
  <c r="K502" i="1"/>
  <c r="Q502" i="1"/>
  <c r="S502" i="1"/>
  <c r="T502" i="1"/>
  <c r="U502" i="1"/>
  <c r="Z502" i="1"/>
  <c r="AA502" i="1"/>
  <c r="D503" i="1"/>
  <c r="G503" i="1"/>
  <c r="I503" i="1"/>
  <c r="K503" i="1"/>
  <c r="Q503" i="1"/>
  <c r="S503" i="1"/>
  <c r="T503" i="1"/>
  <c r="U503" i="1"/>
  <c r="Z503" i="1"/>
  <c r="AA503" i="1"/>
  <c r="D504" i="1"/>
  <c r="G504" i="1"/>
  <c r="I504" i="1"/>
  <c r="K504" i="1"/>
  <c r="Q504" i="1"/>
  <c r="S504" i="1"/>
  <c r="T504" i="1"/>
  <c r="U504" i="1"/>
  <c r="Z504" i="1"/>
  <c r="AA504" i="1"/>
  <c r="D505" i="1"/>
  <c r="G505" i="1"/>
  <c r="I505" i="1"/>
  <c r="K505" i="1"/>
  <c r="Q505" i="1"/>
  <c r="S505" i="1"/>
  <c r="T505" i="1"/>
  <c r="U505" i="1"/>
  <c r="Z505" i="1"/>
  <c r="AA505" i="1"/>
  <c r="D506" i="1"/>
  <c r="G506" i="1"/>
  <c r="I506" i="1"/>
  <c r="K506" i="1"/>
  <c r="Q506" i="1"/>
  <c r="S506" i="1"/>
  <c r="T506" i="1"/>
  <c r="U506" i="1"/>
  <c r="Z506" i="1"/>
  <c r="AA506" i="1"/>
  <c r="D507" i="1"/>
  <c r="G507" i="1"/>
  <c r="I507" i="1"/>
  <c r="K507" i="1"/>
  <c r="Q507" i="1"/>
  <c r="S507" i="1"/>
  <c r="T507" i="1"/>
  <c r="U507" i="1"/>
  <c r="Z507" i="1"/>
  <c r="AA507" i="1"/>
  <c r="D508" i="1"/>
  <c r="G508" i="1"/>
  <c r="I508" i="1"/>
  <c r="K508" i="1"/>
  <c r="Q508" i="1"/>
  <c r="S508" i="1"/>
  <c r="T508" i="1"/>
  <c r="U508" i="1"/>
  <c r="Z508" i="1"/>
  <c r="AA508" i="1"/>
  <c r="D509" i="1"/>
  <c r="G509" i="1"/>
  <c r="I509" i="1"/>
  <c r="K509" i="1"/>
  <c r="Q509" i="1"/>
  <c r="S509" i="1"/>
  <c r="T509" i="1"/>
  <c r="U509" i="1"/>
  <c r="Z509" i="1"/>
  <c r="AA509" i="1"/>
  <c r="D510" i="1"/>
  <c r="G510" i="1"/>
  <c r="I510" i="1"/>
  <c r="K510" i="1"/>
  <c r="Q510" i="1"/>
  <c r="S510" i="1"/>
  <c r="T510" i="1"/>
  <c r="U510" i="1"/>
  <c r="Z510" i="1"/>
  <c r="AA510" i="1"/>
  <c r="D511" i="1"/>
  <c r="G511" i="1"/>
  <c r="I511" i="1"/>
  <c r="K511" i="1"/>
  <c r="Q511" i="1"/>
  <c r="S511" i="1"/>
  <c r="T511" i="1"/>
  <c r="U511" i="1"/>
  <c r="Z511" i="1"/>
  <c r="AA511" i="1"/>
  <c r="D512" i="1"/>
  <c r="G512" i="1"/>
  <c r="I512" i="1"/>
  <c r="K512" i="1"/>
  <c r="Q512" i="1"/>
  <c r="S512" i="1"/>
  <c r="T512" i="1"/>
  <c r="U512" i="1"/>
  <c r="Z512" i="1"/>
  <c r="AA512" i="1"/>
  <c r="D513" i="1"/>
  <c r="G513" i="1"/>
  <c r="I513" i="1"/>
  <c r="K513" i="1"/>
  <c r="Q513" i="1"/>
  <c r="S513" i="1"/>
  <c r="T513" i="1"/>
  <c r="U513" i="1"/>
  <c r="Z513" i="1"/>
  <c r="AA513" i="1"/>
  <c r="D514" i="1"/>
  <c r="G514" i="1"/>
  <c r="I514" i="1"/>
  <c r="K514" i="1"/>
  <c r="Q514" i="1"/>
  <c r="S514" i="1"/>
  <c r="T514" i="1"/>
  <c r="U514" i="1"/>
  <c r="Z514" i="1"/>
  <c r="AA514" i="1"/>
  <c r="D515" i="1"/>
  <c r="G515" i="1"/>
  <c r="I515" i="1"/>
  <c r="K515" i="1"/>
  <c r="Q515" i="1"/>
  <c r="S515" i="1"/>
  <c r="T515" i="1"/>
  <c r="U515" i="1"/>
  <c r="Z515" i="1"/>
  <c r="AA515" i="1"/>
  <c r="D516" i="1"/>
  <c r="G516" i="1"/>
  <c r="I516" i="1"/>
  <c r="K516" i="1"/>
  <c r="Q516" i="1"/>
  <c r="S516" i="1"/>
  <c r="T516" i="1"/>
  <c r="U516" i="1"/>
  <c r="Z516" i="1"/>
  <c r="AA516" i="1"/>
  <c r="D517" i="1"/>
  <c r="G517" i="1"/>
  <c r="I517" i="1"/>
  <c r="K517" i="1"/>
  <c r="Q517" i="1"/>
  <c r="S517" i="1"/>
  <c r="T517" i="1"/>
  <c r="U517" i="1"/>
  <c r="Z517" i="1"/>
  <c r="AA517" i="1"/>
  <c r="D518" i="1"/>
  <c r="G518" i="1"/>
  <c r="I518" i="1"/>
  <c r="K518" i="1"/>
  <c r="Q518" i="1"/>
  <c r="S518" i="1"/>
  <c r="T518" i="1"/>
  <c r="U518" i="1"/>
  <c r="Z518" i="1"/>
  <c r="AA518" i="1"/>
  <c r="D519" i="1"/>
  <c r="G519" i="1"/>
  <c r="I519" i="1"/>
  <c r="K519" i="1"/>
  <c r="Q519" i="1"/>
  <c r="S519" i="1"/>
  <c r="T519" i="1"/>
  <c r="U519" i="1"/>
  <c r="Z519" i="1"/>
  <c r="AA519" i="1"/>
  <c r="D520" i="1"/>
  <c r="G520" i="1"/>
  <c r="I520" i="1"/>
  <c r="K520" i="1"/>
  <c r="Q520" i="1"/>
  <c r="S520" i="1"/>
  <c r="T520" i="1"/>
  <c r="U520" i="1"/>
  <c r="Z520" i="1"/>
  <c r="AA520" i="1"/>
  <c r="D521" i="1"/>
  <c r="G521" i="1"/>
  <c r="I521" i="1"/>
  <c r="K521" i="1"/>
  <c r="Q521" i="1"/>
  <c r="S521" i="1"/>
  <c r="T521" i="1"/>
  <c r="U521" i="1"/>
  <c r="Z521" i="1"/>
  <c r="AA521" i="1"/>
  <c r="D522" i="1"/>
  <c r="G522" i="1"/>
  <c r="I522" i="1"/>
  <c r="K522" i="1"/>
  <c r="Q522" i="1"/>
  <c r="S522" i="1"/>
  <c r="T522" i="1"/>
  <c r="U522" i="1"/>
  <c r="Z522" i="1"/>
  <c r="AA522" i="1"/>
  <c r="D523" i="1"/>
  <c r="G523" i="1"/>
  <c r="I523" i="1"/>
  <c r="K523" i="1"/>
  <c r="Q523" i="1"/>
  <c r="S523" i="1"/>
  <c r="T523" i="1"/>
  <c r="U523" i="1"/>
  <c r="Z523" i="1"/>
  <c r="AA523" i="1"/>
  <c r="D524" i="1"/>
  <c r="G524" i="1"/>
  <c r="I524" i="1"/>
  <c r="K524" i="1"/>
  <c r="Q524" i="1"/>
  <c r="S524" i="1"/>
  <c r="T524" i="1"/>
  <c r="U524" i="1"/>
  <c r="Z524" i="1"/>
  <c r="AA524" i="1"/>
  <c r="D525" i="1"/>
  <c r="G525" i="1"/>
  <c r="I525" i="1"/>
  <c r="K525" i="1"/>
  <c r="Q525" i="1"/>
  <c r="S525" i="1"/>
  <c r="T525" i="1"/>
  <c r="U525" i="1"/>
  <c r="Z525" i="1"/>
  <c r="AA525" i="1"/>
  <c r="D526" i="1"/>
  <c r="G526" i="1"/>
  <c r="I526" i="1"/>
  <c r="K526" i="1"/>
  <c r="Q526" i="1"/>
  <c r="S526" i="1"/>
  <c r="T526" i="1"/>
  <c r="U526" i="1"/>
  <c r="Z526" i="1"/>
  <c r="AA526" i="1"/>
  <c r="D527" i="1"/>
  <c r="G527" i="1"/>
  <c r="I527" i="1"/>
  <c r="K527" i="1"/>
  <c r="Q527" i="1"/>
  <c r="S527" i="1"/>
  <c r="T527" i="1"/>
  <c r="U527" i="1"/>
  <c r="Z527" i="1"/>
  <c r="AA527" i="1"/>
  <c r="D528" i="1"/>
  <c r="G528" i="1"/>
  <c r="I528" i="1"/>
  <c r="K528" i="1"/>
  <c r="Q528" i="1"/>
  <c r="S528" i="1"/>
  <c r="T528" i="1"/>
  <c r="U528" i="1"/>
  <c r="Z528" i="1"/>
  <c r="AA528" i="1"/>
  <c r="D529" i="1"/>
  <c r="G529" i="1"/>
  <c r="I529" i="1"/>
  <c r="K529" i="1"/>
  <c r="Q529" i="1"/>
  <c r="S529" i="1"/>
  <c r="T529" i="1"/>
  <c r="U529" i="1"/>
  <c r="Z529" i="1"/>
  <c r="AA529" i="1"/>
  <c r="D530" i="1"/>
  <c r="G530" i="1"/>
  <c r="I530" i="1"/>
  <c r="K530" i="1"/>
  <c r="Q530" i="1"/>
  <c r="S530" i="1"/>
  <c r="T530" i="1"/>
  <c r="U530" i="1"/>
  <c r="Z530" i="1"/>
  <c r="AA530" i="1"/>
  <c r="D531" i="1"/>
  <c r="G531" i="1"/>
  <c r="I531" i="1"/>
  <c r="K531" i="1"/>
  <c r="Q531" i="1"/>
  <c r="S531" i="1"/>
  <c r="T531" i="1"/>
  <c r="U531" i="1"/>
  <c r="Z531" i="1"/>
  <c r="AA531" i="1"/>
  <c r="D532" i="1"/>
  <c r="G532" i="1"/>
  <c r="I532" i="1"/>
  <c r="K532" i="1"/>
  <c r="Q532" i="1"/>
  <c r="S532" i="1"/>
  <c r="T532" i="1"/>
  <c r="U532" i="1"/>
  <c r="Z532" i="1"/>
  <c r="AA532" i="1"/>
  <c r="D533" i="1"/>
  <c r="G533" i="1"/>
  <c r="I533" i="1"/>
  <c r="K533" i="1"/>
  <c r="Q533" i="1"/>
  <c r="S533" i="1"/>
  <c r="T533" i="1"/>
  <c r="U533" i="1"/>
  <c r="Z533" i="1"/>
  <c r="AA533" i="1"/>
  <c r="D534" i="1"/>
  <c r="G534" i="1"/>
  <c r="I534" i="1"/>
  <c r="K534" i="1"/>
  <c r="Q534" i="1"/>
  <c r="S534" i="1"/>
  <c r="T534" i="1"/>
  <c r="U534" i="1"/>
  <c r="Z534" i="1"/>
  <c r="AA534" i="1"/>
  <c r="D535" i="1"/>
  <c r="G535" i="1"/>
  <c r="I535" i="1"/>
  <c r="K535" i="1"/>
  <c r="Q535" i="1"/>
  <c r="S535" i="1"/>
  <c r="T535" i="1"/>
  <c r="U535" i="1"/>
  <c r="Z535" i="1"/>
  <c r="AA535" i="1"/>
  <c r="D536" i="1"/>
  <c r="G536" i="1"/>
  <c r="I536" i="1"/>
  <c r="K536" i="1"/>
  <c r="Q536" i="1"/>
  <c r="S536" i="1"/>
  <c r="T536" i="1"/>
  <c r="U536" i="1"/>
  <c r="Z536" i="1"/>
  <c r="AA536" i="1"/>
  <c r="D537" i="1"/>
  <c r="G537" i="1"/>
  <c r="I537" i="1"/>
  <c r="K537" i="1"/>
  <c r="Q537" i="1"/>
  <c r="S537" i="1"/>
  <c r="T537" i="1"/>
  <c r="U537" i="1"/>
  <c r="Z537" i="1"/>
  <c r="AA537" i="1"/>
  <c r="D538" i="1"/>
  <c r="G538" i="1"/>
  <c r="I538" i="1"/>
  <c r="K538" i="1"/>
  <c r="Q538" i="1"/>
  <c r="S538" i="1"/>
  <c r="T538" i="1"/>
  <c r="U538" i="1"/>
  <c r="Z538" i="1"/>
  <c r="AA538" i="1"/>
  <c r="D539" i="1"/>
  <c r="G539" i="1"/>
  <c r="I539" i="1"/>
  <c r="K539" i="1"/>
  <c r="Q539" i="1"/>
  <c r="S539" i="1"/>
  <c r="T539" i="1"/>
  <c r="U539" i="1"/>
  <c r="Z539" i="1"/>
  <c r="AA539" i="1"/>
  <c r="D540" i="1"/>
  <c r="G540" i="1"/>
  <c r="I540" i="1"/>
  <c r="K540" i="1"/>
  <c r="Q540" i="1"/>
  <c r="S540" i="1"/>
  <c r="T540" i="1"/>
  <c r="U540" i="1"/>
  <c r="Z540" i="1"/>
  <c r="AA540" i="1"/>
  <c r="D541" i="1"/>
  <c r="G541" i="1"/>
  <c r="I541" i="1"/>
  <c r="K541" i="1"/>
  <c r="Q541" i="1"/>
  <c r="S541" i="1"/>
  <c r="T541" i="1"/>
  <c r="U541" i="1"/>
  <c r="Z541" i="1"/>
  <c r="AA541" i="1"/>
  <c r="D542" i="1"/>
  <c r="G542" i="1"/>
  <c r="I542" i="1"/>
  <c r="K542" i="1"/>
  <c r="Q542" i="1"/>
  <c r="S542" i="1"/>
  <c r="T542" i="1"/>
  <c r="U542" i="1"/>
  <c r="Z542" i="1"/>
  <c r="AA542" i="1"/>
  <c r="D543" i="1"/>
  <c r="G543" i="1"/>
  <c r="I543" i="1"/>
  <c r="K543" i="1"/>
  <c r="Q543" i="1"/>
  <c r="S543" i="1"/>
  <c r="T543" i="1"/>
  <c r="U543" i="1"/>
  <c r="Z543" i="1"/>
  <c r="AA543" i="1"/>
  <c r="D544" i="1"/>
  <c r="G544" i="1"/>
  <c r="I544" i="1"/>
  <c r="K544" i="1"/>
  <c r="Q544" i="1"/>
  <c r="S544" i="1"/>
  <c r="T544" i="1"/>
  <c r="U544" i="1"/>
  <c r="Z544" i="1"/>
  <c r="AA544" i="1"/>
  <c r="D545" i="1"/>
  <c r="G545" i="1"/>
  <c r="I545" i="1"/>
  <c r="K545" i="1"/>
  <c r="Q545" i="1"/>
  <c r="S545" i="1"/>
  <c r="T545" i="1"/>
  <c r="U545" i="1"/>
  <c r="Z545" i="1"/>
  <c r="AA545" i="1"/>
  <c r="D546" i="1"/>
  <c r="G546" i="1"/>
  <c r="I546" i="1"/>
  <c r="K546" i="1"/>
  <c r="Q546" i="1"/>
  <c r="S546" i="1"/>
  <c r="T546" i="1"/>
  <c r="U546" i="1"/>
  <c r="Z546" i="1"/>
  <c r="AA546" i="1"/>
  <c r="D547" i="1"/>
  <c r="G547" i="1"/>
  <c r="I547" i="1"/>
  <c r="K547" i="1"/>
  <c r="Q547" i="1"/>
  <c r="S547" i="1"/>
  <c r="T547" i="1"/>
  <c r="U547" i="1"/>
  <c r="Z547" i="1"/>
  <c r="AA547" i="1"/>
  <c r="D548" i="1"/>
  <c r="G548" i="1"/>
  <c r="I548" i="1"/>
  <c r="K548" i="1"/>
  <c r="Q548" i="1"/>
  <c r="S548" i="1"/>
  <c r="T548" i="1"/>
  <c r="U548" i="1"/>
  <c r="Z548" i="1"/>
  <c r="AA548" i="1"/>
  <c r="D549" i="1"/>
  <c r="G549" i="1"/>
  <c r="I549" i="1"/>
  <c r="K549" i="1"/>
  <c r="Q549" i="1"/>
  <c r="S549" i="1"/>
  <c r="T549" i="1"/>
  <c r="U549" i="1"/>
  <c r="Z549" i="1"/>
  <c r="AA549" i="1"/>
  <c r="D550" i="1"/>
  <c r="G550" i="1"/>
  <c r="I550" i="1"/>
  <c r="K550" i="1"/>
  <c r="Q550" i="1"/>
  <c r="S550" i="1"/>
  <c r="T550" i="1"/>
  <c r="U550" i="1"/>
  <c r="Z550" i="1"/>
  <c r="AA550" i="1"/>
  <c r="D551" i="1"/>
  <c r="G551" i="1"/>
  <c r="I551" i="1"/>
  <c r="K551" i="1"/>
  <c r="Q551" i="1"/>
  <c r="S551" i="1"/>
  <c r="T551" i="1"/>
  <c r="U551" i="1"/>
  <c r="Z551" i="1"/>
  <c r="AA551" i="1"/>
  <c r="D552" i="1"/>
  <c r="G552" i="1"/>
  <c r="I552" i="1"/>
  <c r="K552" i="1"/>
  <c r="Q552" i="1"/>
  <c r="S552" i="1"/>
  <c r="T552" i="1"/>
  <c r="U552" i="1"/>
  <c r="Z552" i="1"/>
  <c r="AA552" i="1"/>
  <c r="D553" i="1"/>
  <c r="G553" i="1"/>
  <c r="I553" i="1"/>
  <c r="K553" i="1"/>
  <c r="Q553" i="1"/>
  <c r="S553" i="1"/>
  <c r="T553" i="1"/>
  <c r="U553" i="1"/>
  <c r="Z553" i="1"/>
  <c r="AA553" i="1"/>
  <c r="D554" i="1"/>
  <c r="G554" i="1"/>
  <c r="I554" i="1"/>
  <c r="K554" i="1"/>
  <c r="Q554" i="1"/>
  <c r="S554" i="1"/>
  <c r="T554" i="1"/>
  <c r="U554" i="1"/>
  <c r="Z554" i="1"/>
  <c r="AA554" i="1"/>
  <c r="D555" i="1"/>
  <c r="G555" i="1"/>
  <c r="I555" i="1"/>
  <c r="K555" i="1"/>
  <c r="Q555" i="1"/>
  <c r="S555" i="1"/>
  <c r="T555" i="1"/>
  <c r="U555" i="1"/>
  <c r="Z555" i="1"/>
  <c r="AA555" i="1"/>
  <c r="D556" i="1"/>
  <c r="G556" i="1"/>
  <c r="I556" i="1"/>
  <c r="K556" i="1"/>
  <c r="Q556" i="1"/>
  <c r="S556" i="1"/>
  <c r="T556" i="1"/>
  <c r="U556" i="1"/>
  <c r="Z556" i="1"/>
  <c r="AA556" i="1"/>
  <c r="D557" i="1"/>
  <c r="G557" i="1"/>
  <c r="I557" i="1"/>
  <c r="K557" i="1"/>
  <c r="Q557" i="1"/>
  <c r="S557" i="1"/>
  <c r="T557" i="1"/>
  <c r="U557" i="1"/>
  <c r="Z557" i="1"/>
  <c r="AA557" i="1"/>
  <c r="D558" i="1"/>
  <c r="G558" i="1"/>
  <c r="I558" i="1"/>
  <c r="K558" i="1"/>
  <c r="Q558" i="1"/>
  <c r="S558" i="1"/>
  <c r="T558" i="1"/>
  <c r="U558" i="1"/>
  <c r="Z558" i="1"/>
  <c r="AA558" i="1"/>
  <c r="D559" i="1"/>
  <c r="G559" i="1"/>
  <c r="I559" i="1"/>
  <c r="K559" i="1"/>
  <c r="Q559" i="1"/>
  <c r="S559" i="1"/>
  <c r="T559" i="1"/>
  <c r="U559" i="1"/>
  <c r="Z559" i="1"/>
  <c r="AA559" i="1"/>
  <c r="D560" i="1"/>
  <c r="G560" i="1"/>
  <c r="I560" i="1"/>
  <c r="K560" i="1"/>
  <c r="Q560" i="1"/>
  <c r="S560" i="1"/>
  <c r="T560" i="1"/>
  <c r="U560" i="1"/>
  <c r="Z560" i="1"/>
  <c r="AA560" i="1"/>
  <c r="D561" i="1"/>
  <c r="G561" i="1"/>
  <c r="I561" i="1"/>
  <c r="K561" i="1"/>
  <c r="Q561" i="1"/>
  <c r="S561" i="1"/>
  <c r="T561" i="1"/>
  <c r="U561" i="1"/>
  <c r="Z561" i="1"/>
  <c r="AA561" i="1"/>
  <c r="D562" i="1"/>
  <c r="G562" i="1"/>
  <c r="I562" i="1"/>
  <c r="K562" i="1"/>
  <c r="Q562" i="1"/>
  <c r="S562" i="1"/>
  <c r="T562" i="1"/>
  <c r="U562" i="1"/>
  <c r="Z562" i="1"/>
  <c r="AA562" i="1"/>
  <c r="D563" i="1"/>
  <c r="G563" i="1"/>
  <c r="I563" i="1"/>
  <c r="K563" i="1"/>
  <c r="Q563" i="1"/>
  <c r="S563" i="1"/>
  <c r="T563" i="1"/>
  <c r="U563" i="1"/>
  <c r="Z563" i="1"/>
  <c r="AA563" i="1"/>
  <c r="D564" i="1"/>
  <c r="G564" i="1"/>
  <c r="I564" i="1"/>
  <c r="K564" i="1"/>
  <c r="Q564" i="1"/>
  <c r="S564" i="1"/>
  <c r="T564" i="1"/>
  <c r="U564" i="1"/>
  <c r="Z564" i="1"/>
  <c r="AA564" i="1"/>
  <c r="D565" i="1"/>
  <c r="G565" i="1"/>
  <c r="I565" i="1"/>
  <c r="K565" i="1"/>
  <c r="Q565" i="1"/>
  <c r="S565" i="1"/>
  <c r="T565" i="1"/>
  <c r="U565" i="1"/>
  <c r="Z565" i="1"/>
  <c r="AA565" i="1"/>
  <c r="D566" i="1"/>
  <c r="G566" i="1"/>
  <c r="I566" i="1"/>
  <c r="K566" i="1"/>
  <c r="Q566" i="1"/>
  <c r="S566" i="1"/>
  <c r="T566" i="1"/>
  <c r="U566" i="1"/>
  <c r="Z566" i="1"/>
  <c r="AA566" i="1"/>
  <c r="D567" i="1"/>
  <c r="G567" i="1"/>
  <c r="I567" i="1"/>
  <c r="K567" i="1"/>
  <c r="Q567" i="1"/>
  <c r="S567" i="1"/>
  <c r="T567" i="1"/>
  <c r="U567" i="1"/>
  <c r="Z567" i="1"/>
  <c r="AA567" i="1"/>
  <c r="D568" i="1"/>
  <c r="G568" i="1"/>
  <c r="I568" i="1"/>
  <c r="K568" i="1"/>
  <c r="Q568" i="1"/>
  <c r="S568" i="1"/>
  <c r="T568" i="1"/>
  <c r="U568" i="1"/>
  <c r="Z568" i="1"/>
  <c r="AA568" i="1"/>
  <c r="D569" i="1"/>
  <c r="G569" i="1"/>
  <c r="I569" i="1"/>
  <c r="K569" i="1"/>
  <c r="Q569" i="1"/>
  <c r="S569" i="1"/>
  <c r="T569" i="1"/>
  <c r="U569" i="1"/>
  <c r="Z569" i="1"/>
  <c r="AA569" i="1"/>
  <c r="D570" i="1"/>
  <c r="G570" i="1"/>
  <c r="I570" i="1"/>
  <c r="K570" i="1"/>
  <c r="Q570" i="1"/>
  <c r="S570" i="1"/>
  <c r="T570" i="1"/>
  <c r="U570" i="1"/>
  <c r="Z570" i="1"/>
  <c r="AA570" i="1"/>
  <c r="D571" i="1"/>
  <c r="G571" i="1"/>
  <c r="I571" i="1"/>
  <c r="K571" i="1"/>
  <c r="Q571" i="1"/>
  <c r="S571" i="1"/>
  <c r="T571" i="1"/>
  <c r="U571" i="1"/>
  <c r="Z571" i="1"/>
  <c r="AA571" i="1"/>
  <c r="D572" i="1"/>
  <c r="G572" i="1"/>
  <c r="I572" i="1"/>
  <c r="K572" i="1"/>
  <c r="Q572" i="1"/>
  <c r="S572" i="1"/>
  <c r="T572" i="1"/>
  <c r="U572" i="1"/>
  <c r="Z572" i="1"/>
  <c r="AA572" i="1"/>
  <c r="D573" i="1"/>
  <c r="G573" i="1"/>
  <c r="I573" i="1"/>
  <c r="K573" i="1"/>
  <c r="Q573" i="1"/>
  <c r="S573" i="1"/>
  <c r="T573" i="1"/>
  <c r="U573" i="1"/>
  <c r="Z573" i="1"/>
  <c r="AA573" i="1"/>
  <c r="D574" i="1"/>
  <c r="G574" i="1"/>
  <c r="I574" i="1"/>
  <c r="K574" i="1"/>
  <c r="Q574" i="1"/>
  <c r="S574" i="1"/>
  <c r="T574" i="1"/>
  <c r="U574" i="1"/>
  <c r="Z574" i="1"/>
  <c r="AA574" i="1"/>
  <c r="D575" i="1"/>
  <c r="G575" i="1"/>
  <c r="I575" i="1"/>
  <c r="K575" i="1"/>
  <c r="Q575" i="1"/>
  <c r="S575" i="1"/>
  <c r="T575" i="1"/>
  <c r="U575" i="1"/>
  <c r="Z575" i="1"/>
  <c r="AA575" i="1"/>
  <c r="D576" i="1"/>
  <c r="G576" i="1"/>
  <c r="I576" i="1"/>
  <c r="K576" i="1"/>
  <c r="Q576" i="1"/>
  <c r="S576" i="1"/>
  <c r="T576" i="1"/>
  <c r="U576" i="1"/>
  <c r="Z576" i="1"/>
  <c r="AA576" i="1"/>
  <c r="D577" i="1"/>
  <c r="G577" i="1"/>
  <c r="I577" i="1"/>
  <c r="K577" i="1"/>
  <c r="Q577" i="1"/>
  <c r="S577" i="1"/>
  <c r="T577" i="1"/>
  <c r="U577" i="1"/>
  <c r="Z577" i="1"/>
  <c r="AA577" i="1"/>
  <c r="D578" i="1"/>
  <c r="G578" i="1"/>
  <c r="I578" i="1"/>
  <c r="K578" i="1"/>
  <c r="Q578" i="1"/>
  <c r="S578" i="1"/>
  <c r="T578" i="1"/>
  <c r="U578" i="1"/>
  <c r="Z578" i="1"/>
  <c r="AA578" i="1"/>
  <c r="D579" i="1"/>
  <c r="G579" i="1"/>
  <c r="I579" i="1"/>
  <c r="K579" i="1"/>
  <c r="Q579" i="1"/>
  <c r="S579" i="1"/>
  <c r="T579" i="1"/>
  <c r="U579" i="1"/>
  <c r="Z579" i="1"/>
  <c r="AA579" i="1"/>
  <c r="D580" i="1"/>
  <c r="G580" i="1"/>
  <c r="I580" i="1"/>
  <c r="K580" i="1"/>
  <c r="Q580" i="1"/>
  <c r="S580" i="1"/>
  <c r="T580" i="1"/>
  <c r="U580" i="1"/>
  <c r="Z580" i="1"/>
  <c r="AA580" i="1"/>
  <c r="D581" i="1"/>
  <c r="G581" i="1"/>
  <c r="I581" i="1"/>
  <c r="K581" i="1"/>
  <c r="Q581" i="1"/>
  <c r="S581" i="1"/>
  <c r="T581" i="1"/>
  <c r="U581" i="1"/>
  <c r="Z581" i="1"/>
  <c r="AA581" i="1"/>
  <c r="D582" i="1"/>
  <c r="G582" i="1"/>
  <c r="I582" i="1"/>
  <c r="K582" i="1"/>
  <c r="Q582" i="1"/>
  <c r="S582" i="1"/>
  <c r="T582" i="1"/>
  <c r="U582" i="1"/>
  <c r="Z582" i="1"/>
  <c r="AA582" i="1"/>
  <c r="D583" i="1"/>
  <c r="G583" i="1"/>
  <c r="I583" i="1"/>
  <c r="K583" i="1"/>
  <c r="Q583" i="1"/>
  <c r="S583" i="1"/>
  <c r="T583" i="1"/>
  <c r="U583" i="1"/>
  <c r="Z583" i="1"/>
  <c r="AA583" i="1"/>
  <c r="D584" i="1"/>
  <c r="G584" i="1"/>
  <c r="I584" i="1"/>
  <c r="K584" i="1"/>
  <c r="Q584" i="1"/>
  <c r="S584" i="1"/>
  <c r="T584" i="1"/>
  <c r="U584" i="1"/>
  <c r="Z584" i="1"/>
  <c r="AA584" i="1"/>
  <c r="D585" i="1"/>
  <c r="G585" i="1"/>
  <c r="I585" i="1"/>
  <c r="K585" i="1"/>
  <c r="Q585" i="1"/>
  <c r="S585" i="1"/>
  <c r="T585" i="1"/>
  <c r="U585" i="1"/>
  <c r="Z585" i="1"/>
  <c r="AA585" i="1"/>
  <c r="D586" i="1"/>
  <c r="G586" i="1"/>
  <c r="I586" i="1"/>
  <c r="K586" i="1"/>
  <c r="Q586" i="1"/>
  <c r="S586" i="1"/>
  <c r="T586" i="1"/>
  <c r="U586" i="1"/>
  <c r="Z586" i="1"/>
  <c r="AA586" i="1"/>
  <c r="D587" i="1"/>
  <c r="G587" i="1"/>
  <c r="I587" i="1"/>
  <c r="K587" i="1"/>
  <c r="Q587" i="1"/>
  <c r="S587" i="1"/>
  <c r="T587" i="1"/>
  <c r="U587" i="1"/>
  <c r="Z587" i="1"/>
  <c r="AA587" i="1"/>
  <c r="D588" i="1"/>
  <c r="G588" i="1"/>
  <c r="I588" i="1"/>
  <c r="K588" i="1"/>
  <c r="Q588" i="1"/>
  <c r="S588" i="1"/>
  <c r="T588" i="1"/>
  <c r="U588" i="1"/>
  <c r="Z588" i="1"/>
  <c r="AA588" i="1"/>
  <c r="D589" i="1"/>
  <c r="G589" i="1"/>
  <c r="I589" i="1"/>
  <c r="K589" i="1"/>
  <c r="Q589" i="1"/>
  <c r="S589" i="1"/>
  <c r="T589" i="1"/>
  <c r="U589" i="1"/>
  <c r="Z589" i="1"/>
  <c r="AA589" i="1"/>
  <c r="D590" i="1"/>
  <c r="G590" i="1"/>
  <c r="I590" i="1"/>
  <c r="K590" i="1"/>
  <c r="Q590" i="1"/>
  <c r="S590" i="1"/>
  <c r="T590" i="1"/>
  <c r="U590" i="1"/>
  <c r="Z590" i="1"/>
  <c r="AA590" i="1"/>
  <c r="D591" i="1"/>
  <c r="G591" i="1"/>
  <c r="I591" i="1"/>
  <c r="K591" i="1"/>
  <c r="Q591" i="1"/>
  <c r="S591" i="1"/>
  <c r="T591" i="1"/>
  <c r="U591" i="1"/>
  <c r="Z591" i="1"/>
  <c r="AA591" i="1"/>
  <c r="D592" i="1"/>
  <c r="G592" i="1"/>
  <c r="I592" i="1"/>
  <c r="K592" i="1"/>
  <c r="Q592" i="1"/>
  <c r="S592" i="1"/>
  <c r="T592" i="1"/>
  <c r="U592" i="1"/>
  <c r="Z592" i="1"/>
  <c r="AA592" i="1"/>
  <c r="D593" i="1"/>
  <c r="G593" i="1"/>
  <c r="I593" i="1"/>
  <c r="K593" i="1"/>
  <c r="Q593" i="1"/>
  <c r="S593" i="1"/>
  <c r="T593" i="1"/>
  <c r="U593" i="1"/>
  <c r="Z593" i="1"/>
  <c r="AA593" i="1"/>
  <c r="D594" i="1"/>
  <c r="G594" i="1"/>
  <c r="I594" i="1"/>
  <c r="K594" i="1"/>
  <c r="Q594" i="1"/>
  <c r="S594" i="1"/>
  <c r="T594" i="1"/>
  <c r="U594" i="1"/>
  <c r="Z594" i="1"/>
  <c r="AA594" i="1"/>
  <c r="D595" i="1"/>
  <c r="G595" i="1"/>
  <c r="I595" i="1"/>
  <c r="K595" i="1"/>
  <c r="Q595" i="1"/>
  <c r="S595" i="1"/>
  <c r="T595" i="1"/>
  <c r="U595" i="1"/>
  <c r="Z595" i="1"/>
  <c r="AA595" i="1"/>
  <c r="D596" i="1"/>
  <c r="G596" i="1"/>
  <c r="I596" i="1"/>
  <c r="K596" i="1"/>
  <c r="Q596" i="1"/>
  <c r="S596" i="1"/>
  <c r="T596" i="1"/>
  <c r="U596" i="1"/>
  <c r="Z596" i="1"/>
  <c r="AA596" i="1"/>
  <c r="D597" i="1"/>
  <c r="G597" i="1"/>
  <c r="I597" i="1"/>
  <c r="K597" i="1"/>
  <c r="Q597" i="1"/>
  <c r="S597" i="1"/>
  <c r="T597" i="1"/>
  <c r="U597" i="1"/>
  <c r="Z597" i="1"/>
  <c r="AA597" i="1"/>
  <c r="D598" i="1"/>
  <c r="G598" i="1"/>
  <c r="I598" i="1"/>
  <c r="K598" i="1"/>
  <c r="Q598" i="1"/>
  <c r="S598" i="1"/>
  <c r="T598" i="1"/>
  <c r="U598" i="1"/>
  <c r="Z598" i="1"/>
  <c r="AA598" i="1"/>
  <c r="D599" i="1"/>
  <c r="G599" i="1"/>
  <c r="I599" i="1"/>
  <c r="K599" i="1"/>
  <c r="Q599" i="1"/>
  <c r="S599" i="1"/>
  <c r="T599" i="1"/>
  <c r="U599" i="1"/>
  <c r="Z599" i="1"/>
  <c r="AA599" i="1"/>
  <c r="D600" i="1"/>
  <c r="G600" i="1"/>
  <c r="I600" i="1"/>
  <c r="K600" i="1"/>
  <c r="Q600" i="1"/>
  <c r="S600" i="1"/>
  <c r="T600" i="1"/>
  <c r="U600" i="1"/>
  <c r="Z600" i="1"/>
  <c r="AA600" i="1"/>
  <c r="D601" i="1"/>
  <c r="G601" i="1"/>
  <c r="I601" i="1"/>
  <c r="K601" i="1"/>
  <c r="Q601" i="1"/>
  <c r="S601" i="1"/>
  <c r="T601" i="1"/>
  <c r="U601" i="1"/>
  <c r="Z601" i="1"/>
  <c r="AA601" i="1"/>
  <c r="D602" i="1"/>
  <c r="G602" i="1"/>
  <c r="I602" i="1"/>
  <c r="K602" i="1"/>
  <c r="Q602" i="1"/>
  <c r="S602" i="1"/>
  <c r="T602" i="1"/>
  <c r="U602" i="1"/>
  <c r="Z602" i="1"/>
  <c r="AA602" i="1"/>
  <c r="D603" i="1"/>
  <c r="G603" i="1"/>
  <c r="I603" i="1"/>
  <c r="K603" i="1"/>
  <c r="Q603" i="1"/>
  <c r="S603" i="1"/>
  <c r="T603" i="1"/>
  <c r="U603" i="1"/>
  <c r="Z603" i="1"/>
  <c r="AA603" i="1"/>
  <c r="D604" i="1"/>
  <c r="G604" i="1"/>
  <c r="I604" i="1"/>
  <c r="K604" i="1"/>
  <c r="Q604" i="1"/>
  <c r="S604" i="1"/>
  <c r="T604" i="1"/>
  <c r="U604" i="1"/>
  <c r="Z604" i="1"/>
  <c r="AA604" i="1"/>
  <c r="D605" i="1"/>
  <c r="G605" i="1"/>
  <c r="I605" i="1"/>
  <c r="K605" i="1"/>
  <c r="Q605" i="1"/>
  <c r="S605" i="1"/>
  <c r="T605" i="1"/>
  <c r="U605" i="1"/>
  <c r="Z605" i="1"/>
  <c r="AA605" i="1"/>
  <c r="D606" i="1"/>
  <c r="G606" i="1"/>
  <c r="I606" i="1"/>
  <c r="K606" i="1"/>
  <c r="Q606" i="1"/>
  <c r="S606" i="1"/>
  <c r="T606" i="1"/>
  <c r="U606" i="1"/>
  <c r="Z606" i="1"/>
  <c r="AA606" i="1"/>
  <c r="D607" i="1"/>
  <c r="G607" i="1"/>
  <c r="I607" i="1"/>
  <c r="K607" i="1"/>
  <c r="Q607" i="1"/>
  <c r="S607" i="1"/>
  <c r="T607" i="1"/>
  <c r="U607" i="1"/>
  <c r="Z607" i="1"/>
  <c r="AA607" i="1"/>
  <c r="D608" i="1"/>
  <c r="G608" i="1"/>
  <c r="I608" i="1"/>
  <c r="K608" i="1"/>
  <c r="Q608" i="1"/>
  <c r="S608" i="1"/>
  <c r="T608" i="1"/>
  <c r="U608" i="1"/>
  <c r="Z608" i="1"/>
  <c r="AA608" i="1"/>
  <c r="D609" i="1"/>
  <c r="G609" i="1"/>
  <c r="I609" i="1"/>
  <c r="K609" i="1"/>
  <c r="Q609" i="1"/>
  <c r="S609" i="1"/>
  <c r="T609" i="1"/>
  <c r="U609" i="1"/>
  <c r="Z609" i="1"/>
  <c r="AA609" i="1"/>
  <c r="D610" i="1"/>
  <c r="G610" i="1"/>
  <c r="I610" i="1"/>
  <c r="K610" i="1"/>
  <c r="Q610" i="1"/>
  <c r="S610" i="1"/>
  <c r="T610" i="1"/>
  <c r="U610" i="1"/>
  <c r="Z610" i="1"/>
  <c r="AA610" i="1"/>
  <c r="D611" i="1"/>
  <c r="G611" i="1"/>
  <c r="I611" i="1"/>
  <c r="K611" i="1"/>
  <c r="Q611" i="1"/>
  <c r="S611" i="1"/>
  <c r="T611" i="1"/>
  <c r="U611" i="1"/>
  <c r="Z611" i="1"/>
  <c r="AA611" i="1"/>
  <c r="D612" i="1"/>
  <c r="G612" i="1"/>
  <c r="I612" i="1"/>
  <c r="K612" i="1"/>
  <c r="Q612" i="1"/>
  <c r="S612" i="1"/>
  <c r="T612" i="1"/>
  <c r="U612" i="1"/>
  <c r="Z612" i="1"/>
  <c r="AA612" i="1"/>
  <c r="D613" i="1"/>
  <c r="G613" i="1"/>
  <c r="I613" i="1"/>
  <c r="K613" i="1"/>
  <c r="Q613" i="1"/>
  <c r="S613" i="1"/>
  <c r="T613" i="1"/>
  <c r="U613" i="1"/>
  <c r="Z613" i="1"/>
  <c r="AA613" i="1"/>
  <c r="D614" i="1"/>
  <c r="G614" i="1"/>
  <c r="I614" i="1"/>
  <c r="K614" i="1"/>
  <c r="Q614" i="1"/>
  <c r="S614" i="1"/>
  <c r="T614" i="1"/>
  <c r="U614" i="1"/>
  <c r="Z614" i="1"/>
  <c r="AA614" i="1"/>
  <c r="D615" i="1"/>
  <c r="G615" i="1"/>
  <c r="I615" i="1"/>
  <c r="K615" i="1"/>
  <c r="Q615" i="1"/>
  <c r="S615" i="1"/>
  <c r="T615" i="1"/>
  <c r="U615" i="1"/>
  <c r="Z615" i="1"/>
  <c r="AA615" i="1"/>
  <c r="D616" i="1"/>
  <c r="G616" i="1"/>
  <c r="I616" i="1"/>
  <c r="K616" i="1"/>
  <c r="Q616" i="1"/>
  <c r="S616" i="1"/>
  <c r="T616" i="1"/>
  <c r="U616" i="1"/>
  <c r="Z616" i="1"/>
  <c r="AA616" i="1"/>
  <c r="D617" i="1"/>
  <c r="G617" i="1"/>
  <c r="I617" i="1"/>
  <c r="K617" i="1"/>
  <c r="Q617" i="1"/>
  <c r="S617" i="1"/>
  <c r="T617" i="1"/>
  <c r="U617" i="1"/>
  <c r="Z617" i="1"/>
  <c r="AA617" i="1"/>
  <c r="D618" i="1"/>
  <c r="G618" i="1"/>
  <c r="I618" i="1"/>
  <c r="K618" i="1"/>
  <c r="Q618" i="1"/>
  <c r="S618" i="1"/>
  <c r="T618" i="1"/>
  <c r="U618" i="1"/>
  <c r="Z618" i="1"/>
  <c r="AA618" i="1"/>
  <c r="D619" i="1"/>
  <c r="G619" i="1"/>
  <c r="I619" i="1"/>
  <c r="K619" i="1"/>
  <c r="Q619" i="1"/>
  <c r="S619" i="1"/>
  <c r="T619" i="1"/>
  <c r="U619" i="1"/>
  <c r="Z619" i="1"/>
  <c r="AA619" i="1"/>
  <c r="D620" i="1"/>
  <c r="G620" i="1"/>
  <c r="I620" i="1"/>
  <c r="K620" i="1"/>
  <c r="Q620" i="1"/>
  <c r="S620" i="1"/>
  <c r="T620" i="1"/>
  <c r="U620" i="1"/>
  <c r="Z620" i="1"/>
  <c r="AA620" i="1"/>
  <c r="D621" i="1"/>
  <c r="G621" i="1"/>
  <c r="I621" i="1"/>
  <c r="K621" i="1"/>
  <c r="Q621" i="1"/>
  <c r="S621" i="1"/>
  <c r="T621" i="1"/>
  <c r="U621" i="1"/>
  <c r="Z621" i="1"/>
  <c r="AA621" i="1"/>
  <c r="D622" i="1"/>
  <c r="G622" i="1"/>
  <c r="I622" i="1"/>
  <c r="K622" i="1"/>
  <c r="Q622" i="1"/>
  <c r="S622" i="1"/>
  <c r="T622" i="1"/>
  <c r="U622" i="1"/>
  <c r="Z622" i="1"/>
  <c r="AA622" i="1"/>
  <c r="D623" i="1"/>
  <c r="G623" i="1"/>
  <c r="I623" i="1"/>
  <c r="K623" i="1"/>
  <c r="Q623" i="1"/>
  <c r="S623" i="1"/>
  <c r="T623" i="1"/>
  <c r="U623" i="1"/>
  <c r="Z623" i="1"/>
  <c r="AA623" i="1"/>
  <c r="D624" i="1"/>
  <c r="G624" i="1"/>
  <c r="I624" i="1"/>
  <c r="K624" i="1"/>
  <c r="Q624" i="1"/>
  <c r="S624" i="1"/>
  <c r="T624" i="1"/>
  <c r="U624" i="1"/>
  <c r="Z624" i="1"/>
  <c r="AA624" i="1"/>
  <c r="D625" i="1"/>
  <c r="G625" i="1"/>
  <c r="I625" i="1"/>
  <c r="K625" i="1"/>
  <c r="Q625" i="1"/>
  <c r="S625" i="1"/>
  <c r="T625" i="1"/>
  <c r="U625" i="1"/>
  <c r="Z625" i="1"/>
  <c r="AA625" i="1"/>
  <c r="D626" i="1"/>
  <c r="G626" i="1"/>
  <c r="I626" i="1"/>
  <c r="K626" i="1"/>
  <c r="Q626" i="1"/>
  <c r="S626" i="1"/>
  <c r="T626" i="1"/>
  <c r="U626" i="1"/>
  <c r="Z626" i="1"/>
  <c r="AA626" i="1"/>
  <c r="D627" i="1"/>
  <c r="G627" i="1"/>
  <c r="I627" i="1"/>
  <c r="K627" i="1"/>
  <c r="Q627" i="1"/>
  <c r="S627" i="1"/>
  <c r="T627" i="1"/>
  <c r="U627" i="1"/>
  <c r="Z627" i="1"/>
  <c r="AA627" i="1"/>
  <c r="D628" i="1"/>
  <c r="G628" i="1"/>
  <c r="I628" i="1"/>
  <c r="K628" i="1"/>
  <c r="Q628" i="1"/>
  <c r="S628" i="1"/>
  <c r="T628" i="1"/>
  <c r="U628" i="1"/>
  <c r="Z628" i="1"/>
  <c r="AA628" i="1"/>
  <c r="D629" i="1"/>
  <c r="G629" i="1"/>
  <c r="I629" i="1"/>
  <c r="K629" i="1"/>
  <c r="Q629" i="1"/>
  <c r="S629" i="1"/>
  <c r="T629" i="1"/>
  <c r="U629" i="1"/>
  <c r="Z629" i="1"/>
  <c r="AA629" i="1"/>
  <c r="D630" i="1"/>
  <c r="G630" i="1"/>
  <c r="I630" i="1"/>
  <c r="K630" i="1"/>
  <c r="Q630" i="1"/>
  <c r="S630" i="1"/>
  <c r="T630" i="1"/>
  <c r="U630" i="1"/>
  <c r="Z630" i="1"/>
  <c r="AA630" i="1"/>
  <c r="D631" i="1"/>
  <c r="G631" i="1"/>
  <c r="I631" i="1"/>
  <c r="K631" i="1"/>
  <c r="Q631" i="1"/>
  <c r="S631" i="1"/>
  <c r="T631" i="1"/>
  <c r="U631" i="1"/>
  <c r="Z631" i="1"/>
  <c r="AA631" i="1"/>
  <c r="D632" i="1"/>
  <c r="G632" i="1"/>
  <c r="I632" i="1"/>
  <c r="K632" i="1"/>
  <c r="Q632" i="1"/>
  <c r="S632" i="1"/>
  <c r="T632" i="1"/>
  <c r="U632" i="1"/>
  <c r="Z632" i="1"/>
  <c r="AA632" i="1"/>
  <c r="D633" i="1"/>
  <c r="G633" i="1"/>
  <c r="I633" i="1"/>
  <c r="K633" i="1"/>
  <c r="Q633" i="1"/>
  <c r="S633" i="1"/>
  <c r="T633" i="1"/>
  <c r="U633" i="1"/>
  <c r="Z633" i="1"/>
  <c r="AA633" i="1"/>
  <c r="D634" i="1"/>
  <c r="G634" i="1"/>
  <c r="I634" i="1"/>
  <c r="K634" i="1"/>
  <c r="Q634" i="1"/>
  <c r="S634" i="1"/>
  <c r="T634" i="1"/>
  <c r="U634" i="1"/>
  <c r="Z634" i="1"/>
  <c r="AA634" i="1"/>
  <c r="D635" i="1"/>
  <c r="G635" i="1"/>
  <c r="I635" i="1"/>
  <c r="K635" i="1"/>
  <c r="Q635" i="1"/>
  <c r="S635" i="1"/>
  <c r="T635" i="1"/>
  <c r="U635" i="1"/>
  <c r="Z635" i="1"/>
  <c r="AA635" i="1"/>
  <c r="D636" i="1"/>
  <c r="G636" i="1"/>
  <c r="I636" i="1"/>
  <c r="K636" i="1"/>
  <c r="Q636" i="1"/>
  <c r="S636" i="1"/>
  <c r="T636" i="1"/>
  <c r="U636" i="1"/>
  <c r="Z636" i="1"/>
  <c r="AA636" i="1"/>
  <c r="D637" i="1"/>
  <c r="G637" i="1"/>
  <c r="I637" i="1"/>
  <c r="K637" i="1"/>
  <c r="Q637" i="1"/>
  <c r="S637" i="1"/>
  <c r="T637" i="1"/>
  <c r="U637" i="1"/>
  <c r="Z637" i="1"/>
  <c r="AA637" i="1"/>
  <c r="D638" i="1"/>
  <c r="G638" i="1"/>
  <c r="I638" i="1"/>
  <c r="K638" i="1"/>
  <c r="Q638" i="1"/>
  <c r="S638" i="1"/>
  <c r="T638" i="1"/>
  <c r="U638" i="1"/>
  <c r="Z638" i="1"/>
  <c r="AA638" i="1"/>
  <c r="D639" i="1"/>
  <c r="G639" i="1"/>
  <c r="I639" i="1"/>
  <c r="K639" i="1"/>
  <c r="Q639" i="1"/>
  <c r="S639" i="1"/>
  <c r="T639" i="1"/>
  <c r="U639" i="1"/>
  <c r="Z639" i="1"/>
  <c r="AA639" i="1"/>
  <c r="D640" i="1"/>
  <c r="G640" i="1"/>
  <c r="I640" i="1"/>
  <c r="K640" i="1"/>
  <c r="Q640" i="1"/>
  <c r="S640" i="1"/>
  <c r="T640" i="1"/>
  <c r="U640" i="1"/>
  <c r="Z640" i="1"/>
  <c r="AA640" i="1"/>
  <c r="D641" i="1"/>
  <c r="G641" i="1"/>
  <c r="I641" i="1"/>
  <c r="K641" i="1"/>
  <c r="Q641" i="1"/>
  <c r="S641" i="1"/>
  <c r="T641" i="1"/>
  <c r="U641" i="1"/>
  <c r="Z641" i="1"/>
  <c r="AA641" i="1"/>
  <c r="D642" i="1"/>
  <c r="G642" i="1"/>
  <c r="I642" i="1"/>
  <c r="K642" i="1"/>
  <c r="Q642" i="1"/>
  <c r="S642" i="1"/>
  <c r="T642" i="1"/>
  <c r="U642" i="1"/>
  <c r="Z642" i="1"/>
  <c r="AA642" i="1"/>
  <c r="D643" i="1"/>
  <c r="G643" i="1"/>
  <c r="I643" i="1"/>
  <c r="K643" i="1"/>
  <c r="Q643" i="1"/>
  <c r="S643" i="1"/>
  <c r="T643" i="1"/>
  <c r="U643" i="1"/>
  <c r="Z643" i="1"/>
  <c r="AA643" i="1"/>
  <c r="D644" i="1"/>
  <c r="G644" i="1"/>
  <c r="I644" i="1"/>
  <c r="K644" i="1"/>
  <c r="Q644" i="1"/>
  <c r="S644" i="1"/>
  <c r="T644" i="1"/>
  <c r="U644" i="1"/>
  <c r="Z644" i="1"/>
  <c r="AA644" i="1"/>
  <c r="D645" i="1"/>
  <c r="G645" i="1"/>
  <c r="I645" i="1"/>
  <c r="K645" i="1"/>
  <c r="Q645" i="1"/>
  <c r="S645" i="1"/>
  <c r="T645" i="1"/>
  <c r="U645" i="1"/>
  <c r="Z645" i="1"/>
  <c r="AA645" i="1"/>
  <c r="D646" i="1"/>
  <c r="G646" i="1"/>
  <c r="I646" i="1"/>
  <c r="K646" i="1"/>
  <c r="Q646" i="1"/>
  <c r="S646" i="1"/>
  <c r="T646" i="1"/>
  <c r="U646" i="1"/>
  <c r="Z646" i="1"/>
  <c r="AA646" i="1"/>
  <c r="D647" i="1"/>
  <c r="G647" i="1"/>
  <c r="I647" i="1"/>
  <c r="K647" i="1"/>
  <c r="Q647" i="1"/>
  <c r="S647" i="1"/>
  <c r="T647" i="1"/>
  <c r="U647" i="1"/>
  <c r="Z647" i="1"/>
  <c r="AA647" i="1"/>
  <c r="D648" i="1"/>
  <c r="G648" i="1"/>
  <c r="I648" i="1"/>
  <c r="K648" i="1"/>
  <c r="Q648" i="1"/>
  <c r="S648" i="1"/>
  <c r="T648" i="1"/>
  <c r="U648" i="1"/>
  <c r="Z648" i="1"/>
  <c r="AA648" i="1"/>
  <c r="D649" i="1"/>
  <c r="G649" i="1"/>
  <c r="I649" i="1"/>
  <c r="K649" i="1"/>
  <c r="Q649" i="1"/>
  <c r="S649" i="1"/>
  <c r="T649" i="1"/>
  <c r="U649" i="1"/>
  <c r="Z649" i="1"/>
  <c r="AA649" i="1"/>
  <c r="D650" i="1"/>
  <c r="G650" i="1"/>
  <c r="I650" i="1"/>
  <c r="K650" i="1"/>
  <c r="Q650" i="1"/>
  <c r="S650" i="1"/>
  <c r="T650" i="1"/>
  <c r="U650" i="1"/>
  <c r="Z650" i="1"/>
  <c r="AA650" i="1"/>
  <c r="D651" i="1"/>
  <c r="G651" i="1"/>
  <c r="I651" i="1"/>
  <c r="K651" i="1"/>
  <c r="Q651" i="1"/>
  <c r="S651" i="1"/>
  <c r="T651" i="1"/>
  <c r="U651" i="1"/>
  <c r="Z651" i="1"/>
  <c r="AA651" i="1"/>
  <c r="D652" i="1"/>
  <c r="G652" i="1"/>
  <c r="I652" i="1"/>
  <c r="K652" i="1"/>
  <c r="Q652" i="1"/>
  <c r="S652" i="1"/>
  <c r="T652" i="1"/>
  <c r="U652" i="1"/>
  <c r="Z652" i="1"/>
  <c r="AA652" i="1"/>
  <c r="D653" i="1"/>
  <c r="G653" i="1"/>
  <c r="I653" i="1"/>
  <c r="K653" i="1"/>
  <c r="Q653" i="1"/>
  <c r="S653" i="1"/>
  <c r="T653" i="1"/>
  <c r="U653" i="1"/>
  <c r="Z653" i="1"/>
  <c r="AA653" i="1"/>
  <c r="D654" i="1"/>
  <c r="G654" i="1"/>
  <c r="I654" i="1"/>
  <c r="K654" i="1"/>
  <c r="Q654" i="1"/>
  <c r="S654" i="1"/>
  <c r="T654" i="1"/>
  <c r="U654" i="1"/>
  <c r="Z654" i="1"/>
  <c r="AA654" i="1"/>
  <c r="D655" i="1"/>
  <c r="G655" i="1"/>
  <c r="I655" i="1"/>
  <c r="K655" i="1"/>
  <c r="Q655" i="1"/>
  <c r="S655" i="1"/>
  <c r="T655" i="1"/>
  <c r="U655" i="1"/>
  <c r="Z655" i="1"/>
  <c r="AA655" i="1"/>
  <c r="D656" i="1"/>
  <c r="G656" i="1"/>
  <c r="I656" i="1"/>
  <c r="K656" i="1"/>
  <c r="Q656" i="1"/>
  <c r="S656" i="1"/>
  <c r="T656" i="1"/>
  <c r="U656" i="1"/>
  <c r="Z656" i="1"/>
  <c r="AA656" i="1"/>
  <c r="D657" i="1"/>
  <c r="G657" i="1"/>
  <c r="I657" i="1"/>
  <c r="K657" i="1"/>
  <c r="Q657" i="1"/>
  <c r="S657" i="1"/>
  <c r="T657" i="1"/>
  <c r="U657" i="1"/>
  <c r="Z657" i="1"/>
  <c r="AA657" i="1"/>
  <c r="D658" i="1"/>
  <c r="G658" i="1"/>
  <c r="I658" i="1"/>
  <c r="K658" i="1"/>
  <c r="Q658" i="1"/>
  <c r="S658" i="1"/>
  <c r="T658" i="1"/>
  <c r="U658" i="1"/>
  <c r="Z658" i="1"/>
  <c r="AA658" i="1"/>
  <c r="D659" i="1"/>
  <c r="G659" i="1"/>
  <c r="I659" i="1"/>
  <c r="K659" i="1"/>
  <c r="Q659" i="1"/>
  <c r="S659" i="1"/>
  <c r="T659" i="1"/>
  <c r="U659" i="1"/>
  <c r="Z659" i="1"/>
  <c r="AA659" i="1"/>
  <c r="D660" i="1"/>
  <c r="G660" i="1"/>
  <c r="I660" i="1"/>
  <c r="K660" i="1"/>
  <c r="Q660" i="1"/>
  <c r="S660" i="1"/>
  <c r="T660" i="1"/>
  <c r="U660" i="1"/>
  <c r="Z660" i="1"/>
  <c r="AA660" i="1"/>
  <c r="D661" i="1"/>
  <c r="G661" i="1"/>
  <c r="I661" i="1"/>
  <c r="K661" i="1"/>
  <c r="Q661" i="1"/>
  <c r="S661" i="1"/>
  <c r="T661" i="1"/>
  <c r="U661" i="1"/>
  <c r="Z661" i="1"/>
  <c r="AA661" i="1"/>
  <c r="D662" i="1"/>
  <c r="G662" i="1"/>
  <c r="I662" i="1"/>
  <c r="K662" i="1"/>
  <c r="Q662" i="1"/>
  <c r="S662" i="1"/>
  <c r="T662" i="1"/>
  <c r="U662" i="1"/>
  <c r="Z662" i="1"/>
  <c r="AA662" i="1"/>
  <c r="D663" i="1"/>
  <c r="G663" i="1"/>
  <c r="I663" i="1"/>
  <c r="K663" i="1"/>
  <c r="Q663" i="1"/>
  <c r="S663" i="1"/>
  <c r="T663" i="1"/>
  <c r="U663" i="1"/>
  <c r="Z663" i="1"/>
  <c r="AA663" i="1"/>
  <c r="D664" i="1"/>
  <c r="G664" i="1"/>
  <c r="I664" i="1"/>
  <c r="K664" i="1"/>
  <c r="Q664" i="1"/>
  <c r="S664" i="1"/>
  <c r="T664" i="1"/>
  <c r="U664" i="1"/>
  <c r="Z664" i="1"/>
  <c r="AA664" i="1"/>
  <c r="D665" i="1"/>
  <c r="G665" i="1"/>
  <c r="I665" i="1"/>
  <c r="K665" i="1"/>
  <c r="Q665" i="1"/>
  <c r="S665" i="1"/>
  <c r="T665" i="1"/>
  <c r="U665" i="1"/>
  <c r="Z665" i="1"/>
  <c r="AA665" i="1"/>
  <c r="D666" i="1"/>
  <c r="G666" i="1"/>
  <c r="I666" i="1"/>
  <c r="K666" i="1"/>
  <c r="Q666" i="1"/>
  <c r="S666" i="1"/>
  <c r="T666" i="1"/>
  <c r="U666" i="1"/>
  <c r="Z666" i="1"/>
  <c r="AA666" i="1"/>
  <c r="D667" i="1"/>
  <c r="G667" i="1"/>
  <c r="I667" i="1"/>
  <c r="K667" i="1"/>
  <c r="Q667" i="1"/>
  <c r="S667" i="1"/>
  <c r="T667" i="1"/>
  <c r="U667" i="1"/>
  <c r="Z667" i="1"/>
  <c r="AA667" i="1"/>
  <c r="D668" i="1"/>
  <c r="G668" i="1"/>
  <c r="I668" i="1"/>
  <c r="K668" i="1"/>
  <c r="Q668" i="1"/>
  <c r="S668" i="1"/>
  <c r="T668" i="1"/>
  <c r="U668" i="1"/>
  <c r="Z668" i="1"/>
  <c r="AA668" i="1"/>
  <c r="D669" i="1"/>
  <c r="G669" i="1"/>
  <c r="I669" i="1"/>
  <c r="K669" i="1"/>
  <c r="Q669" i="1"/>
  <c r="S669" i="1"/>
  <c r="T669" i="1"/>
  <c r="U669" i="1"/>
  <c r="Z669" i="1"/>
  <c r="AA669" i="1"/>
  <c r="D670" i="1"/>
  <c r="G670" i="1"/>
  <c r="I670" i="1"/>
  <c r="K670" i="1"/>
  <c r="Q670" i="1"/>
  <c r="S670" i="1"/>
  <c r="T670" i="1"/>
  <c r="U670" i="1"/>
  <c r="Z670" i="1"/>
  <c r="AA670" i="1"/>
  <c r="D671" i="1"/>
  <c r="G671" i="1"/>
  <c r="I671" i="1"/>
  <c r="K671" i="1"/>
  <c r="Q671" i="1"/>
  <c r="S671" i="1"/>
  <c r="T671" i="1"/>
  <c r="U671" i="1"/>
  <c r="Z671" i="1"/>
  <c r="AA671" i="1"/>
  <c r="D672" i="1"/>
  <c r="G672" i="1"/>
  <c r="I672" i="1"/>
  <c r="K672" i="1"/>
  <c r="Q672" i="1"/>
  <c r="S672" i="1"/>
  <c r="T672" i="1"/>
  <c r="U672" i="1"/>
  <c r="Z672" i="1"/>
  <c r="AA672" i="1"/>
  <c r="D673" i="1"/>
  <c r="G673" i="1"/>
  <c r="I673" i="1"/>
  <c r="K673" i="1"/>
  <c r="Q673" i="1"/>
  <c r="S673" i="1"/>
  <c r="T673" i="1"/>
  <c r="U673" i="1"/>
  <c r="Z673" i="1"/>
  <c r="AA673" i="1"/>
  <c r="D674" i="1"/>
  <c r="G674" i="1"/>
  <c r="I674" i="1"/>
  <c r="K674" i="1"/>
  <c r="Q674" i="1"/>
  <c r="S674" i="1"/>
  <c r="T674" i="1"/>
  <c r="U674" i="1"/>
  <c r="Z674" i="1"/>
  <c r="AA674" i="1"/>
  <c r="D675" i="1"/>
  <c r="G675" i="1"/>
  <c r="I675" i="1"/>
  <c r="K675" i="1"/>
  <c r="Q675" i="1"/>
  <c r="S675" i="1"/>
  <c r="T675" i="1"/>
  <c r="U675" i="1"/>
  <c r="Z675" i="1"/>
  <c r="AA675" i="1"/>
  <c r="D676" i="1"/>
  <c r="G676" i="1"/>
  <c r="I676" i="1"/>
  <c r="K676" i="1"/>
  <c r="Q676" i="1"/>
  <c r="S676" i="1"/>
  <c r="T676" i="1"/>
  <c r="U676" i="1"/>
  <c r="Z676" i="1"/>
  <c r="AA676" i="1"/>
  <c r="D677" i="1"/>
  <c r="G677" i="1"/>
  <c r="I677" i="1"/>
  <c r="K677" i="1"/>
  <c r="Q677" i="1"/>
  <c r="S677" i="1"/>
  <c r="T677" i="1"/>
  <c r="U677" i="1"/>
  <c r="Z677" i="1"/>
  <c r="AA677" i="1"/>
  <c r="D678" i="1"/>
  <c r="G678" i="1"/>
  <c r="I678" i="1"/>
  <c r="K678" i="1"/>
  <c r="Q678" i="1"/>
  <c r="S678" i="1"/>
  <c r="T678" i="1"/>
  <c r="U678" i="1"/>
  <c r="Z678" i="1"/>
  <c r="AA678" i="1"/>
  <c r="D679" i="1"/>
  <c r="G679" i="1"/>
  <c r="I679" i="1"/>
  <c r="K679" i="1"/>
  <c r="Q679" i="1"/>
  <c r="S679" i="1"/>
  <c r="T679" i="1"/>
  <c r="U679" i="1"/>
  <c r="Z679" i="1"/>
  <c r="AA679" i="1"/>
  <c r="D680" i="1"/>
  <c r="G680" i="1"/>
  <c r="I680" i="1"/>
  <c r="K680" i="1"/>
  <c r="Q680" i="1"/>
  <c r="S680" i="1"/>
  <c r="T680" i="1"/>
  <c r="U680" i="1"/>
  <c r="Z680" i="1"/>
  <c r="AA680" i="1"/>
  <c r="D681" i="1"/>
  <c r="G681" i="1"/>
  <c r="I681" i="1"/>
  <c r="K681" i="1"/>
  <c r="Q681" i="1"/>
  <c r="S681" i="1"/>
  <c r="T681" i="1"/>
  <c r="U681" i="1"/>
  <c r="Z681" i="1"/>
  <c r="AA681" i="1"/>
  <c r="D682" i="1"/>
  <c r="G682" i="1"/>
  <c r="I682" i="1"/>
  <c r="K682" i="1"/>
  <c r="Q682" i="1"/>
  <c r="S682" i="1"/>
  <c r="T682" i="1"/>
  <c r="U682" i="1"/>
  <c r="Z682" i="1"/>
  <c r="AA682" i="1"/>
  <c r="D683" i="1"/>
  <c r="G683" i="1"/>
  <c r="I683" i="1"/>
  <c r="K683" i="1"/>
  <c r="Q683" i="1"/>
  <c r="S683" i="1"/>
  <c r="T683" i="1"/>
  <c r="U683" i="1"/>
  <c r="Z683" i="1"/>
  <c r="AA683" i="1"/>
  <c r="D684" i="1"/>
  <c r="G684" i="1"/>
  <c r="I684" i="1"/>
  <c r="K684" i="1"/>
  <c r="Q684" i="1"/>
  <c r="S684" i="1"/>
  <c r="T684" i="1"/>
  <c r="U684" i="1"/>
  <c r="Z684" i="1"/>
  <c r="AA684" i="1"/>
  <c r="D685" i="1"/>
  <c r="G685" i="1"/>
  <c r="I685" i="1"/>
  <c r="K685" i="1"/>
  <c r="Q685" i="1"/>
  <c r="S685" i="1"/>
  <c r="T685" i="1"/>
  <c r="U685" i="1"/>
  <c r="Z685" i="1"/>
  <c r="AA685" i="1"/>
  <c r="D686" i="1"/>
  <c r="G686" i="1"/>
  <c r="I686" i="1"/>
  <c r="K686" i="1"/>
  <c r="Q686" i="1"/>
  <c r="S686" i="1"/>
  <c r="T686" i="1"/>
  <c r="U686" i="1"/>
  <c r="Z686" i="1"/>
  <c r="AA686" i="1"/>
  <c r="D687" i="1"/>
  <c r="G687" i="1"/>
  <c r="I687" i="1"/>
  <c r="K687" i="1"/>
  <c r="Q687" i="1"/>
  <c r="S687" i="1"/>
  <c r="T687" i="1"/>
  <c r="U687" i="1"/>
  <c r="Z687" i="1"/>
  <c r="AA687" i="1"/>
  <c r="D688" i="1"/>
  <c r="G688" i="1"/>
  <c r="I688" i="1"/>
  <c r="K688" i="1"/>
  <c r="Q688" i="1"/>
  <c r="S688" i="1"/>
  <c r="T688" i="1"/>
  <c r="U688" i="1"/>
  <c r="Z688" i="1"/>
  <c r="AA688" i="1"/>
  <c r="D689" i="1"/>
  <c r="G689" i="1"/>
  <c r="I689" i="1"/>
  <c r="K689" i="1"/>
  <c r="Q689" i="1"/>
  <c r="S689" i="1"/>
  <c r="T689" i="1"/>
  <c r="U689" i="1"/>
  <c r="Z689" i="1"/>
  <c r="AA689" i="1"/>
  <c r="D690" i="1"/>
  <c r="G690" i="1"/>
  <c r="I690" i="1"/>
  <c r="K690" i="1"/>
  <c r="Q690" i="1"/>
  <c r="S690" i="1"/>
  <c r="T690" i="1"/>
  <c r="U690" i="1"/>
  <c r="Z690" i="1"/>
  <c r="AA690" i="1"/>
  <c r="D691" i="1"/>
  <c r="G691" i="1"/>
  <c r="I691" i="1"/>
  <c r="K691" i="1"/>
  <c r="Q691" i="1"/>
  <c r="S691" i="1"/>
  <c r="T691" i="1"/>
  <c r="U691" i="1"/>
  <c r="Z691" i="1"/>
  <c r="AA691" i="1"/>
  <c r="D692" i="1"/>
  <c r="G692" i="1"/>
  <c r="I692" i="1"/>
  <c r="K692" i="1"/>
  <c r="Q692" i="1"/>
  <c r="S692" i="1"/>
  <c r="T692" i="1"/>
  <c r="U692" i="1"/>
  <c r="Z692" i="1"/>
  <c r="AA692" i="1"/>
  <c r="D693" i="1"/>
  <c r="G693" i="1"/>
  <c r="I693" i="1"/>
  <c r="K693" i="1"/>
  <c r="Q693" i="1"/>
  <c r="S693" i="1"/>
  <c r="T693" i="1"/>
  <c r="U693" i="1"/>
  <c r="Z693" i="1"/>
  <c r="AA693" i="1"/>
  <c r="D694" i="1"/>
  <c r="G694" i="1"/>
  <c r="I694" i="1"/>
  <c r="K694" i="1"/>
  <c r="Q694" i="1"/>
  <c r="S694" i="1"/>
  <c r="T694" i="1"/>
  <c r="U694" i="1"/>
  <c r="Z694" i="1"/>
  <c r="AA694" i="1"/>
  <c r="D695" i="1"/>
  <c r="G695" i="1"/>
  <c r="I695" i="1"/>
  <c r="K695" i="1"/>
  <c r="Q695" i="1"/>
  <c r="S695" i="1"/>
  <c r="T695" i="1"/>
  <c r="U695" i="1"/>
  <c r="Z695" i="1"/>
  <c r="AA695" i="1"/>
  <c r="D696" i="1"/>
  <c r="G696" i="1"/>
  <c r="I696" i="1"/>
  <c r="K696" i="1"/>
  <c r="Q696" i="1"/>
  <c r="S696" i="1"/>
  <c r="T696" i="1"/>
  <c r="U696" i="1"/>
  <c r="Z696" i="1"/>
  <c r="AA696" i="1"/>
  <c r="D697" i="1"/>
  <c r="G697" i="1"/>
  <c r="I697" i="1"/>
  <c r="K697" i="1"/>
  <c r="Q697" i="1"/>
  <c r="S697" i="1"/>
  <c r="T697" i="1"/>
  <c r="U697" i="1"/>
  <c r="Z697" i="1"/>
  <c r="AA697" i="1"/>
  <c r="D698" i="1"/>
  <c r="G698" i="1"/>
  <c r="I698" i="1"/>
  <c r="K698" i="1"/>
  <c r="Q698" i="1"/>
  <c r="S698" i="1"/>
  <c r="T698" i="1"/>
  <c r="U698" i="1"/>
  <c r="Z698" i="1"/>
  <c r="AA698" i="1"/>
  <c r="D699" i="1"/>
  <c r="G699" i="1"/>
  <c r="I699" i="1"/>
  <c r="K699" i="1"/>
  <c r="Q699" i="1"/>
  <c r="S699" i="1"/>
  <c r="T699" i="1"/>
  <c r="U699" i="1"/>
  <c r="Z699" i="1"/>
  <c r="AA699" i="1"/>
  <c r="D700" i="1"/>
  <c r="G700" i="1"/>
  <c r="I700" i="1"/>
  <c r="K700" i="1"/>
  <c r="Q700" i="1"/>
  <c r="S700" i="1"/>
  <c r="T700" i="1"/>
  <c r="U700" i="1"/>
  <c r="Z700" i="1"/>
  <c r="AA700" i="1"/>
  <c r="D701" i="1"/>
  <c r="G701" i="1"/>
  <c r="I701" i="1"/>
  <c r="K701" i="1"/>
  <c r="Q701" i="1"/>
  <c r="S701" i="1"/>
  <c r="T701" i="1"/>
  <c r="U701" i="1"/>
  <c r="Z701" i="1"/>
  <c r="AA701" i="1"/>
  <c r="D702" i="1"/>
  <c r="G702" i="1"/>
  <c r="I702" i="1"/>
  <c r="K702" i="1"/>
  <c r="Q702" i="1"/>
  <c r="S702" i="1"/>
  <c r="T702" i="1"/>
  <c r="U702" i="1"/>
  <c r="Z702" i="1"/>
  <c r="AA702" i="1"/>
  <c r="D703" i="1"/>
  <c r="G703" i="1"/>
  <c r="I703" i="1"/>
  <c r="K703" i="1"/>
  <c r="Q703" i="1"/>
  <c r="S703" i="1"/>
  <c r="T703" i="1"/>
  <c r="U703" i="1"/>
  <c r="Z703" i="1"/>
  <c r="AA703" i="1"/>
  <c r="D704" i="1"/>
  <c r="G704" i="1"/>
  <c r="I704" i="1"/>
  <c r="K704" i="1"/>
  <c r="Q704" i="1"/>
  <c r="S704" i="1"/>
  <c r="T704" i="1"/>
  <c r="U704" i="1"/>
  <c r="Z704" i="1"/>
  <c r="AA704" i="1"/>
  <c r="D705" i="1"/>
  <c r="G705" i="1"/>
  <c r="I705" i="1"/>
  <c r="K705" i="1"/>
  <c r="Q705" i="1"/>
  <c r="S705" i="1"/>
  <c r="T705" i="1"/>
  <c r="U705" i="1"/>
  <c r="Z705" i="1"/>
  <c r="AA705" i="1"/>
  <c r="D706" i="1"/>
  <c r="G706" i="1"/>
  <c r="I706" i="1"/>
  <c r="K706" i="1"/>
  <c r="Q706" i="1"/>
  <c r="S706" i="1"/>
  <c r="T706" i="1"/>
  <c r="U706" i="1"/>
  <c r="Z706" i="1"/>
  <c r="AA706" i="1"/>
  <c r="D707" i="1"/>
  <c r="G707" i="1"/>
  <c r="I707" i="1"/>
  <c r="K707" i="1"/>
  <c r="Q707" i="1"/>
  <c r="S707" i="1"/>
  <c r="T707" i="1"/>
  <c r="U707" i="1"/>
  <c r="Z707" i="1"/>
  <c r="AA707" i="1"/>
  <c r="D708" i="1"/>
  <c r="G708" i="1"/>
  <c r="I708" i="1"/>
  <c r="K708" i="1"/>
  <c r="Q708" i="1"/>
  <c r="S708" i="1"/>
  <c r="T708" i="1"/>
  <c r="U708" i="1"/>
  <c r="Z708" i="1"/>
  <c r="AA708" i="1"/>
  <c r="D709" i="1"/>
  <c r="G709" i="1"/>
  <c r="I709" i="1"/>
  <c r="K709" i="1"/>
  <c r="Q709" i="1"/>
  <c r="S709" i="1"/>
  <c r="T709" i="1"/>
  <c r="U709" i="1"/>
  <c r="Z709" i="1"/>
  <c r="AA709" i="1"/>
  <c r="D710" i="1"/>
  <c r="G710" i="1"/>
  <c r="I710" i="1"/>
  <c r="K710" i="1"/>
  <c r="Q710" i="1"/>
  <c r="S710" i="1"/>
  <c r="T710" i="1"/>
  <c r="U710" i="1"/>
  <c r="Z710" i="1"/>
  <c r="AA710" i="1"/>
  <c r="D711" i="1"/>
  <c r="G711" i="1"/>
  <c r="I711" i="1"/>
  <c r="K711" i="1"/>
  <c r="Q711" i="1"/>
  <c r="S711" i="1"/>
  <c r="T711" i="1"/>
  <c r="U711" i="1"/>
  <c r="Z711" i="1"/>
  <c r="AA711" i="1"/>
  <c r="D712" i="1"/>
  <c r="G712" i="1"/>
  <c r="I712" i="1"/>
  <c r="K712" i="1"/>
  <c r="Q712" i="1"/>
  <c r="S712" i="1"/>
  <c r="T712" i="1"/>
  <c r="U712" i="1"/>
  <c r="Z712" i="1"/>
  <c r="AA712" i="1"/>
  <c r="D713" i="1"/>
  <c r="G713" i="1"/>
  <c r="I713" i="1"/>
  <c r="K713" i="1"/>
  <c r="Q713" i="1"/>
  <c r="S713" i="1"/>
  <c r="T713" i="1"/>
  <c r="U713" i="1"/>
  <c r="Z713" i="1"/>
  <c r="AA713" i="1"/>
  <c r="D714" i="1"/>
  <c r="G714" i="1"/>
  <c r="I714" i="1"/>
  <c r="K714" i="1"/>
  <c r="Q714" i="1"/>
  <c r="S714" i="1"/>
  <c r="T714" i="1"/>
  <c r="U714" i="1"/>
  <c r="Z714" i="1"/>
  <c r="AA714" i="1"/>
  <c r="D715" i="1"/>
  <c r="G715" i="1"/>
  <c r="I715" i="1"/>
  <c r="K715" i="1"/>
  <c r="Q715" i="1"/>
  <c r="S715" i="1"/>
  <c r="T715" i="1"/>
  <c r="U715" i="1"/>
  <c r="Z715" i="1"/>
  <c r="AA715" i="1"/>
  <c r="D716" i="1"/>
  <c r="G716" i="1"/>
  <c r="I716" i="1"/>
  <c r="K716" i="1"/>
  <c r="Q716" i="1"/>
  <c r="S716" i="1"/>
  <c r="T716" i="1"/>
  <c r="U716" i="1"/>
  <c r="Z716" i="1"/>
  <c r="AA716" i="1"/>
  <c r="D717" i="1"/>
  <c r="G717" i="1"/>
  <c r="I717" i="1"/>
  <c r="K717" i="1"/>
  <c r="Q717" i="1"/>
  <c r="S717" i="1"/>
  <c r="T717" i="1"/>
  <c r="U717" i="1"/>
  <c r="Z717" i="1"/>
  <c r="AA717" i="1"/>
  <c r="D718" i="1"/>
  <c r="G718" i="1"/>
  <c r="I718" i="1"/>
  <c r="K718" i="1"/>
  <c r="Q718" i="1"/>
  <c r="S718" i="1"/>
  <c r="T718" i="1"/>
  <c r="U718" i="1"/>
  <c r="Z718" i="1"/>
  <c r="AA718" i="1"/>
  <c r="D719" i="1"/>
  <c r="G719" i="1"/>
  <c r="I719" i="1"/>
  <c r="K719" i="1"/>
  <c r="Q719" i="1"/>
  <c r="S719" i="1"/>
  <c r="T719" i="1"/>
  <c r="U719" i="1"/>
  <c r="Z719" i="1"/>
  <c r="AA719" i="1"/>
  <c r="D720" i="1"/>
  <c r="G720" i="1"/>
  <c r="I720" i="1"/>
  <c r="K720" i="1"/>
  <c r="Q720" i="1"/>
  <c r="S720" i="1"/>
  <c r="T720" i="1"/>
  <c r="U720" i="1"/>
  <c r="Z720" i="1"/>
  <c r="AA720" i="1"/>
  <c r="D721" i="1"/>
  <c r="G721" i="1"/>
  <c r="I721" i="1"/>
  <c r="K721" i="1"/>
  <c r="Q721" i="1"/>
  <c r="S721" i="1"/>
  <c r="T721" i="1"/>
  <c r="U721" i="1"/>
  <c r="Z721" i="1"/>
  <c r="AA721" i="1"/>
  <c r="D722" i="1"/>
  <c r="G722" i="1"/>
  <c r="I722" i="1"/>
  <c r="K722" i="1"/>
  <c r="Q722" i="1"/>
  <c r="S722" i="1"/>
  <c r="T722" i="1"/>
  <c r="U722" i="1"/>
  <c r="Z722" i="1"/>
  <c r="AA722" i="1"/>
  <c r="D723" i="1"/>
  <c r="G723" i="1"/>
  <c r="I723" i="1"/>
  <c r="K723" i="1"/>
  <c r="Q723" i="1"/>
  <c r="S723" i="1"/>
  <c r="T723" i="1"/>
  <c r="U723" i="1"/>
  <c r="Z723" i="1"/>
  <c r="AA723" i="1"/>
  <c r="D724" i="1"/>
  <c r="G724" i="1"/>
  <c r="I724" i="1"/>
  <c r="K724" i="1"/>
  <c r="Q724" i="1"/>
  <c r="S724" i="1"/>
  <c r="T724" i="1"/>
  <c r="U724" i="1"/>
  <c r="Z724" i="1"/>
  <c r="AA724" i="1"/>
  <c r="D725" i="1"/>
  <c r="G725" i="1"/>
  <c r="I725" i="1"/>
  <c r="K725" i="1"/>
  <c r="Q725" i="1"/>
  <c r="S725" i="1"/>
  <c r="T725" i="1"/>
  <c r="U725" i="1"/>
  <c r="Z725" i="1"/>
  <c r="AA725" i="1"/>
  <c r="D726" i="1"/>
  <c r="G726" i="1"/>
  <c r="I726" i="1"/>
  <c r="K726" i="1"/>
  <c r="Q726" i="1"/>
  <c r="S726" i="1"/>
  <c r="T726" i="1"/>
  <c r="U726" i="1"/>
  <c r="Z726" i="1"/>
  <c r="AA726" i="1"/>
  <c r="D727" i="1"/>
  <c r="G727" i="1"/>
  <c r="I727" i="1"/>
  <c r="K727" i="1"/>
  <c r="Q727" i="1"/>
  <c r="S727" i="1"/>
  <c r="T727" i="1"/>
  <c r="U727" i="1"/>
  <c r="Z727" i="1"/>
  <c r="AA727" i="1"/>
  <c r="D728" i="1"/>
  <c r="G728" i="1"/>
  <c r="I728" i="1"/>
  <c r="K728" i="1"/>
  <c r="Q728" i="1"/>
  <c r="S728" i="1"/>
  <c r="T728" i="1"/>
  <c r="U728" i="1"/>
  <c r="Z728" i="1"/>
  <c r="AA728" i="1"/>
  <c r="D729" i="1"/>
  <c r="G729" i="1"/>
  <c r="I729" i="1"/>
  <c r="K729" i="1"/>
  <c r="Q729" i="1"/>
  <c r="S729" i="1"/>
  <c r="T729" i="1"/>
  <c r="U729" i="1"/>
  <c r="Z729" i="1"/>
  <c r="AA729" i="1"/>
  <c r="D730" i="1"/>
  <c r="G730" i="1"/>
  <c r="I730" i="1"/>
  <c r="K730" i="1"/>
  <c r="Q730" i="1"/>
  <c r="S730" i="1"/>
  <c r="T730" i="1"/>
  <c r="U730" i="1"/>
  <c r="Z730" i="1"/>
  <c r="AA730" i="1"/>
  <c r="D731" i="1"/>
  <c r="G731" i="1"/>
  <c r="I731" i="1"/>
  <c r="K731" i="1"/>
  <c r="Q731" i="1"/>
  <c r="S731" i="1"/>
  <c r="T731" i="1"/>
  <c r="U731" i="1"/>
  <c r="Z731" i="1"/>
  <c r="AA731" i="1"/>
  <c r="D732" i="1"/>
  <c r="G732" i="1"/>
  <c r="I732" i="1"/>
  <c r="K732" i="1"/>
  <c r="Q732" i="1"/>
  <c r="S732" i="1"/>
  <c r="T732" i="1"/>
  <c r="U732" i="1"/>
  <c r="Z732" i="1"/>
  <c r="AA732" i="1"/>
  <c r="D733" i="1"/>
  <c r="G733" i="1"/>
  <c r="I733" i="1"/>
  <c r="K733" i="1"/>
  <c r="Q733" i="1"/>
  <c r="S733" i="1"/>
  <c r="T733" i="1"/>
  <c r="U733" i="1"/>
  <c r="Z733" i="1"/>
  <c r="AA733" i="1"/>
  <c r="D734" i="1"/>
  <c r="G734" i="1"/>
  <c r="I734" i="1"/>
  <c r="K734" i="1"/>
  <c r="Q734" i="1"/>
  <c r="S734" i="1"/>
  <c r="T734" i="1"/>
  <c r="U734" i="1"/>
  <c r="Z734" i="1"/>
  <c r="AA734" i="1"/>
  <c r="D735" i="1"/>
  <c r="G735" i="1"/>
  <c r="I735" i="1"/>
  <c r="K735" i="1"/>
  <c r="Q735" i="1"/>
  <c r="S735" i="1"/>
  <c r="T735" i="1"/>
  <c r="U735" i="1"/>
  <c r="Z735" i="1"/>
  <c r="AA735" i="1"/>
  <c r="D736" i="1"/>
  <c r="G736" i="1"/>
  <c r="I736" i="1"/>
  <c r="K736" i="1"/>
  <c r="Q736" i="1"/>
  <c r="S736" i="1"/>
  <c r="T736" i="1"/>
  <c r="U736" i="1"/>
  <c r="Z736" i="1"/>
  <c r="AA736" i="1"/>
  <c r="D737" i="1"/>
  <c r="G737" i="1"/>
  <c r="I737" i="1"/>
  <c r="K737" i="1"/>
  <c r="Q737" i="1"/>
  <c r="S737" i="1"/>
  <c r="T737" i="1"/>
  <c r="U737" i="1"/>
  <c r="Z737" i="1"/>
  <c r="AA737" i="1"/>
  <c r="D738" i="1"/>
  <c r="G738" i="1"/>
  <c r="I738" i="1"/>
  <c r="K738" i="1"/>
  <c r="Q738" i="1"/>
  <c r="S738" i="1"/>
  <c r="T738" i="1"/>
  <c r="U738" i="1"/>
  <c r="Z738" i="1"/>
  <c r="AA738" i="1"/>
  <c r="D739" i="1"/>
  <c r="G739" i="1"/>
  <c r="I739" i="1"/>
  <c r="K739" i="1"/>
  <c r="Q739" i="1"/>
  <c r="S739" i="1"/>
  <c r="T739" i="1"/>
  <c r="U739" i="1"/>
  <c r="Z739" i="1"/>
  <c r="AA739" i="1"/>
  <c r="D740" i="1"/>
  <c r="G740" i="1"/>
  <c r="I740" i="1"/>
  <c r="K740" i="1"/>
  <c r="Q740" i="1"/>
  <c r="S740" i="1"/>
  <c r="T740" i="1"/>
  <c r="U740" i="1"/>
  <c r="Z740" i="1"/>
  <c r="AA740" i="1"/>
  <c r="D741" i="1"/>
  <c r="G741" i="1"/>
  <c r="I741" i="1"/>
  <c r="K741" i="1"/>
  <c r="Q741" i="1"/>
  <c r="S741" i="1"/>
  <c r="T741" i="1"/>
  <c r="U741" i="1"/>
  <c r="Z741" i="1"/>
  <c r="AA741" i="1"/>
  <c r="D742" i="1"/>
  <c r="G742" i="1"/>
  <c r="I742" i="1"/>
  <c r="K742" i="1"/>
  <c r="Q742" i="1"/>
  <c r="S742" i="1"/>
  <c r="T742" i="1"/>
  <c r="U742" i="1"/>
  <c r="Z742" i="1"/>
  <c r="AA742" i="1"/>
  <c r="D743" i="1"/>
  <c r="G743" i="1"/>
  <c r="I743" i="1"/>
  <c r="K743" i="1"/>
  <c r="Q743" i="1"/>
  <c r="S743" i="1"/>
  <c r="T743" i="1"/>
  <c r="U743" i="1"/>
  <c r="Z743" i="1"/>
  <c r="AA743" i="1"/>
  <c r="D744" i="1"/>
  <c r="G744" i="1"/>
  <c r="I744" i="1"/>
  <c r="K744" i="1"/>
  <c r="Q744" i="1"/>
  <c r="S744" i="1"/>
  <c r="T744" i="1"/>
  <c r="U744" i="1"/>
  <c r="Z744" i="1"/>
  <c r="AA744" i="1"/>
  <c r="D745" i="1"/>
  <c r="G745" i="1"/>
  <c r="I745" i="1"/>
  <c r="K745" i="1"/>
  <c r="Q745" i="1"/>
  <c r="S745" i="1"/>
  <c r="T745" i="1"/>
  <c r="U745" i="1"/>
  <c r="Z745" i="1"/>
  <c r="AA745" i="1"/>
  <c r="D746" i="1"/>
  <c r="G746" i="1"/>
  <c r="I746" i="1"/>
  <c r="K746" i="1"/>
  <c r="Q746" i="1"/>
  <c r="S746" i="1"/>
  <c r="T746" i="1"/>
  <c r="U746" i="1"/>
  <c r="Z746" i="1"/>
  <c r="AA746" i="1"/>
  <c r="D747" i="1"/>
  <c r="G747" i="1"/>
  <c r="I747" i="1"/>
  <c r="K747" i="1"/>
  <c r="Q747" i="1"/>
  <c r="S747" i="1"/>
  <c r="T747" i="1"/>
  <c r="U747" i="1"/>
  <c r="Z747" i="1"/>
  <c r="AA747" i="1"/>
  <c r="D748" i="1"/>
  <c r="G748" i="1"/>
  <c r="I748" i="1"/>
  <c r="K748" i="1"/>
  <c r="Q748" i="1"/>
  <c r="S748" i="1"/>
  <c r="T748" i="1"/>
  <c r="U748" i="1"/>
  <c r="Z748" i="1"/>
  <c r="AA748" i="1"/>
  <c r="D749" i="1"/>
  <c r="G749" i="1"/>
  <c r="I749" i="1"/>
  <c r="K749" i="1"/>
  <c r="Q749" i="1"/>
  <c r="S749" i="1"/>
  <c r="T749" i="1"/>
  <c r="U749" i="1"/>
  <c r="Z749" i="1"/>
  <c r="AA749" i="1"/>
  <c r="D750" i="1"/>
  <c r="G750" i="1"/>
  <c r="I750" i="1"/>
  <c r="K750" i="1"/>
  <c r="Q750" i="1"/>
  <c r="S750" i="1"/>
  <c r="T750" i="1"/>
  <c r="U750" i="1"/>
  <c r="Z750" i="1"/>
  <c r="AA750" i="1"/>
  <c r="D751" i="1"/>
  <c r="G751" i="1"/>
  <c r="I751" i="1"/>
  <c r="K751" i="1"/>
  <c r="Q751" i="1"/>
  <c r="S751" i="1"/>
  <c r="T751" i="1"/>
  <c r="U751" i="1"/>
  <c r="Z751" i="1"/>
  <c r="AA751" i="1"/>
  <c r="D752" i="1"/>
  <c r="G752" i="1"/>
  <c r="I752" i="1"/>
  <c r="K752" i="1"/>
  <c r="Q752" i="1"/>
  <c r="S752" i="1"/>
  <c r="T752" i="1"/>
  <c r="U752" i="1"/>
  <c r="Z752" i="1"/>
  <c r="AA752" i="1"/>
  <c r="D753" i="1"/>
  <c r="G753" i="1"/>
  <c r="I753" i="1"/>
  <c r="K753" i="1"/>
  <c r="Q753" i="1"/>
  <c r="S753" i="1"/>
  <c r="T753" i="1"/>
  <c r="U753" i="1"/>
  <c r="Z753" i="1"/>
  <c r="AA753" i="1"/>
  <c r="D754" i="1"/>
  <c r="G754" i="1"/>
  <c r="I754" i="1"/>
  <c r="K754" i="1"/>
  <c r="Q754" i="1"/>
  <c r="S754" i="1"/>
  <c r="T754" i="1"/>
  <c r="U754" i="1"/>
  <c r="Z754" i="1"/>
  <c r="AA754" i="1"/>
  <c r="D755" i="1"/>
  <c r="G755" i="1"/>
  <c r="I755" i="1"/>
  <c r="K755" i="1"/>
  <c r="Q755" i="1"/>
  <c r="S755" i="1"/>
  <c r="T755" i="1"/>
  <c r="U755" i="1"/>
  <c r="Z755" i="1"/>
  <c r="AA755" i="1"/>
  <c r="D756" i="1"/>
  <c r="G756" i="1"/>
  <c r="I756" i="1"/>
  <c r="K756" i="1"/>
  <c r="Q756" i="1"/>
  <c r="S756" i="1"/>
  <c r="T756" i="1"/>
  <c r="U756" i="1"/>
  <c r="Z756" i="1"/>
  <c r="AA756" i="1"/>
  <c r="D757" i="1"/>
  <c r="G757" i="1"/>
  <c r="I757" i="1"/>
  <c r="K757" i="1"/>
  <c r="Q757" i="1"/>
  <c r="S757" i="1"/>
  <c r="T757" i="1"/>
  <c r="U757" i="1"/>
  <c r="Z757" i="1"/>
  <c r="AA757" i="1"/>
  <c r="D758" i="1"/>
  <c r="G758" i="1"/>
  <c r="I758" i="1"/>
  <c r="K758" i="1"/>
  <c r="Q758" i="1"/>
  <c r="S758" i="1"/>
  <c r="T758" i="1"/>
  <c r="U758" i="1"/>
  <c r="Z758" i="1"/>
  <c r="AA758" i="1"/>
  <c r="D759" i="1"/>
  <c r="G759" i="1"/>
  <c r="I759" i="1"/>
  <c r="K759" i="1"/>
  <c r="Q759" i="1"/>
  <c r="S759" i="1"/>
  <c r="T759" i="1"/>
  <c r="U759" i="1"/>
  <c r="Z759" i="1"/>
  <c r="AA759" i="1"/>
  <c r="D760" i="1"/>
  <c r="G760" i="1"/>
  <c r="I760" i="1"/>
  <c r="K760" i="1"/>
  <c r="Q760" i="1"/>
  <c r="S760" i="1"/>
  <c r="T760" i="1"/>
  <c r="U760" i="1"/>
  <c r="Z760" i="1"/>
  <c r="AA760" i="1"/>
  <c r="D761" i="1"/>
  <c r="G761" i="1"/>
  <c r="I761" i="1"/>
  <c r="K761" i="1"/>
  <c r="Q761" i="1"/>
  <c r="S761" i="1"/>
  <c r="T761" i="1"/>
  <c r="U761" i="1"/>
  <c r="Z761" i="1"/>
  <c r="AA761" i="1"/>
  <c r="D762" i="1"/>
  <c r="G762" i="1"/>
  <c r="I762" i="1"/>
  <c r="K762" i="1"/>
  <c r="Q762" i="1"/>
  <c r="S762" i="1"/>
  <c r="T762" i="1"/>
  <c r="U762" i="1"/>
  <c r="Z762" i="1"/>
  <c r="AA762" i="1"/>
  <c r="D763" i="1"/>
  <c r="G763" i="1"/>
  <c r="I763" i="1"/>
  <c r="K763" i="1"/>
  <c r="Q763" i="1"/>
  <c r="S763" i="1"/>
  <c r="T763" i="1"/>
  <c r="U763" i="1"/>
  <c r="Z763" i="1"/>
  <c r="AA763" i="1"/>
  <c r="D764" i="1"/>
  <c r="G764" i="1"/>
  <c r="I764" i="1"/>
  <c r="K764" i="1"/>
  <c r="Q764" i="1"/>
  <c r="S764" i="1"/>
  <c r="T764" i="1"/>
  <c r="U764" i="1"/>
  <c r="Z764" i="1"/>
  <c r="AA764" i="1"/>
  <c r="D765" i="1"/>
  <c r="G765" i="1"/>
  <c r="I765" i="1"/>
  <c r="K765" i="1"/>
  <c r="Q765" i="1"/>
  <c r="S765" i="1"/>
  <c r="T765" i="1"/>
  <c r="U765" i="1"/>
  <c r="Z765" i="1"/>
  <c r="AA765" i="1"/>
  <c r="D766" i="1"/>
  <c r="G766" i="1"/>
  <c r="I766" i="1"/>
  <c r="K766" i="1"/>
  <c r="Q766" i="1"/>
  <c r="S766" i="1"/>
  <c r="T766" i="1"/>
  <c r="U766" i="1"/>
  <c r="Z766" i="1"/>
  <c r="AA766" i="1"/>
  <c r="D767" i="1"/>
  <c r="G767" i="1"/>
  <c r="I767" i="1"/>
  <c r="K767" i="1"/>
  <c r="Q767" i="1"/>
  <c r="S767" i="1"/>
  <c r="T767" i="1"/>
  <c r="U767" i="1"/>
  <c r="Z767" i="1"/>
  <c r="AA767" i="1"/>
  <c r="D768" i="1"/>
  <c r="G768" i="1"/>
  <c r="I768" i="1"/>
  <c r="K768" i="1"/>
  <c r="Q768" i="1"/>
  <c r="S768" i="1"/>
  <c r="T768" i="1"/>
  <c r="U768" i="1"/>
  <c r="Z768" i="1"/>
  <c r="AA768" i="1"/>
  <c r="D769" i="1"/>
  <c r="G769" i="1"/>
  <c r="I769" i="1"/>
  <c r="K769" i="1"/>
  <c r="Q769" i="1"/>
  <c r="S769" i="1"/>
  <c r="T769" i="1"/>
  <c r="U769" i="1"/>
  <c r="Z769" i="1"/>
  <c r="AA769" i="1"/>
  <c r="D770" i="1"/>
  <c r="G770" i="1"/>
  <c r="I770" i="1"/>
  <c r="K770" i="1"/>
  <c r="Q770" i="1"/>
  <c r="S770" i="1"/>
  <c r="T770" i="1"/>
  <c r="U770" i="1"/>
  <c r="Z770" i="1"/>
  <c r="AA770" i="1"/>
  <c r="D771" i="1"/>
  <c r="G771" i="1"/>
  <c r="I771" i="1"/>
  <c r="K771" i="1"/>
  <c r="Q771" i="1"/>
  <c r="S771" i="1"/>
  <c r="T771" i="1"/>
  <c r="U771" i="1"/>
  <c r="Z771" i="1"/>
  <c r="AA771" i="1"/>
  <c r="D772" i="1"/>
  <c r="G772" i="1"/>
  <c r="I772" i="1"/>
  <c r="K772" i="1"/>
  <c r="Q772" i="1"/>
  <c r="S772" i="1"/>
  <c r="T772" i="1"/>
  <c r="U772" i="1"/>
  <c r="Z772" i="1"/>
  <c r="AA772" i="1"/>
  <c r="D773" i="1"/>
  <c r="G773" i="1"/>
  <c r="I773" i="1"/>
  <c r="K773" i="1"/>
  <c r="Q773" i="1"/>
  <c r="S773" i="1"/>
  <c r="T773" i="1"/>
  <c r="U773" i="1"/>
  <c r="Z773" i="1"/>
  <c r="AA773" i="1"/>
  <c r="D774" i="1"/>
  <c r="G774" i="1"/>
  <c r="I774" i="1"/>
  <c r="K774" i="1"/>
  <c r="Q774" i="1"/>
  <c r="S774" i="1"/>
  <c r="T774" i="1"/>
  <c r="U774" i="1"/>
  <c r="Z774" i="1"/>
  <c r="AA774" i="1"/>
  <c r="D775" i="1"/>
  <c r="G775" i="1"/>
  <c r="I775" i="1"/>
  <c r="K775" i="1"/>
  <c r="Q775" i="1"/>
  <c r="S775" i="1"/>
  <c r="T775" i="1"/>
  <c r="U775" i="1"/>
  <c r="Z775" i="1"/>
  <c r="AA775" i="1"/>
  <c r="D776" i="1"/>
  <c r="G776" i="1"/>
  <c r="I776" i="1"/>
  <c r="K776" i="1"/>
  <c r="Q776" i="1"/>
  <c r="S776" i="1"/>
  <c r="T776" i="1"/>
  <c r="U776" i="1"/>
  <c r="Z776" i="1"/>
  <c r="AA776" i="1"/>
  <c r="D777" i="1"/>
  <c r="G777" i="1"/>
  <c r="I777" i="1"/>
  <c r="K777" i="1"/>
  <c r="Q777" i="1"/>
  <c r="S777" i="1"/>
  <c r="T777" i="1"/>
  <c r="U777" i="1"/>
  <c r="Z777" i="1"/>
  <c r="AA777" i="1"/>
  <c r="D778" i="1"/>
  <c r="G778" i="1"/>
  <c r="I778" i="1"/>
  <c r="K778" i="1"/>
  <c r="Q778" i="1"/>
  <c r="S778" i="1"/>
  <c r="T778" i="1"/>
  <c r="U778" i="1"/>
  <c r="Z778" i="1"/>
  <c r="AA778" i="1"/>
  <c r="D779" i="1"/>
  <c r="G779" i="1"/>
  <c r="I779" i="1"/>
  <c r="K779" i="1"/>
  <c r="Q779" i="1"/>
  <c r="S779" i="1"/>
  <c r="T779" i="1"/>
  <c r="U779" i="1"/>
  <c r="Z779" i="1"/>
  <c r="AA779" i="1"/>
  <c r="D780" i="1"/>
  <c r="G780" i="1"/>
  <c r="I780" i="1"/>
  <c r="K780" i="1"/>
  <c r="Q780" i="1"/>
  <c r="S780" i="1"/>
  <c r="T780" i="1"/>
  <c r="U780" i="1"/>
  <c r="Z780" i="1"/>
  <c r="AA780" i="1"/>
  <c r="D781" i="1"/>
  <c r="G781" i="1"/>
  <c r="I781" i="1"/>
  <c r="K781" i="1"/>
  <c r="Q781" i="1"/>
  <c r="S781" i="1"/>
  <c r="T781" i="1"/>
  <c r="U781" i="1"/>
  <c r="Z781" i="1"/>
  <c r="AA781" i="1"/>
  <c r="D782" i="1"/>
  <c r="G782" i="1"/>
  <c r="I782" i="1"/>
  <c r="K782" i="1"/>
  <c r="Q782" i="1"/>
  <c r="S782" i="1"/>
  <c r="T782" i="1"/>
  <c r="U782" i="1"/>
  <c r="Z782" i="1"/>
  <c r="AA782" i="1"/>
  <c r="D783" i="1"/>
  <c r="G783" i="1"/>
  <c r="I783" i="1"/>
  <c r="K783" i="1"/>
  <c r="Q783" i="1"/>
  <c r="S783" i="1"/>
  <c r="T783" i="1"/>
  <c r="U783" i="1"/>
  <c r="Z783" i="1"/>
  <c r="AA783" i="1"/>
  <c r="D784" i="1"/>
  <c r="G784" i="1"/>
  <c r="I784" i="1"/>
  <c r="K784" i="1"/>
  <c r="Q784" i="1"/>
  <c r="S784" i="1"/>
  <c r="T784" i="1"/>
  <c r="U784" i="1"/>
  <c r="Z784" i="1"/>
  <c r="AA784" i="1"/>
  <c r="D785" i="1"/>
  <c r="G785" i="1"/>
  <c r="I785" i="1"/>
  <c r="K785" i="1"/>
  <c r="Q785" i="1"/>
  <c r="S785" i="1"/>
  <c r="T785" i="1"/>
  <c r="U785" i="1"/>
  <c r="Z785" i="1"/>
  <c r="AA785" i="1"/>
  <c r="D786" i="1"/>
  <c r="G786" i="1"/>
  <c r="I786" i="1"/>
  <c r="K786" i="1"/>
  <c r="Q786" i="1"/>
  <c r="S786" i="1"/>
  <c r="T786" i="1"/>
  <c r="U786" i="1"/>
  <c r="Z786" i="1"/>
  <c r="AA786" i="1"/>
  <c r="D787" i="1"/>
  <c r="G787" i="1"/>
  <c r="I787" i="1"/>
  <c r="K787" i="1"/>
  <c r="Q787" i="1"/>
  <c r="S787" i="1"/>
  <c r="T787" i="1"/>
  <c r="U787" i="1"/>
  <c r="Z787" i="1"/>
  <c r="AA787" i="1"/>
  <c r="D788" i="1"/>
  <c r="G788" i="1"/>
  <c r="I788" i="1"/>
  <c r="K788" i="1"/>
  <c r="Q788" i="1"/>
  <c r="S788" i="1"/>
  <c r="T788" i="1"/>
  <c r="U788" i="1"/>
  <c r="Z788" i="1"/>
  <c r="AA788" i="1"/>
  <c r="D789" i="1"/>
  <c r="G789" i="1"/>
  <c r="I789" i="1"/>
  <c r="K789" i="1"/>
  <c r="Q789" i="1"/>
  <c r="S789" i="1"/>
  <c r="T789" i="1"/>
  <c r="U789" i="1"/>
  <c r="Z789" i="1"/>
  <c r="AA789" i="1"/>
  <c r="D790" i="1"/>
  <c r="G790" i="1"/>
  <c r="I790" i="1"/>
  <c r="K790" i="1"/>
  <c r="Q790" i="1"/>
  <c r="S790" i="1"/>
  <c r="T790" i="1"/>
  <c r="U790" i="1"/>
  <c r="Z790" i="1"/>
  <c r="AA790" i="1"/>
  <c r="D791" i="1"/>
  <c r="G791" i="1"/>
  <c r="I791" i="1"/>
  <c r="K791" i="1"/>
  <c r="Q791" i="1"/>
  <c r="S791" i="1"/>
  <c r="T791" i="1"/>
  <c r="U791" i="1"/>
  <c r="Z791" i="1"/>
  <c r="AA791" i="1"/>
  <c r="D792" i="1"/>
  <c r="G792" i="1"/>
  <c r="I792" i="1"/>
  <c r="K792" i="1"/>
  <c r="Q792" i="1"/>
  <c r="S792" i="1"/>
  <c r="T792" i="1"/>
  <c r="U792" i="1"/>
  <c r="Z792" i="1"/>
  <c r="AA792" i="1"/>
  <c r="D793" i="1"/>
  <c r="G793" i="1"/>
  <c r="I793" i="1"/>
  <c r="K793" i="1"/>
  <c r="Q793" i="1"/>
  <c r="S793" i="1"/>
  <c r="T793" i="1"/>
  <c r="U793" i="1"/>
  <c r="Z793" i="1"/>
  <c r="AA793" i="1"/>
  <c r="D794" i="1"/>
  <c r="G794" i="1"/>
  <c r="I794" i="1"/>
  <c r="K794" i="1"/>
  <c r="Q794" i="1"/>
  <c r="S794" i="1"/>
  <c r="T794" i="1"/>
  <c r="U794" i="1"/>
  <c r="Z794" i="1"/>
  <c r="AA794" i="1"/>
  <c r="D795" i="1"/>
  <c r="G795" i="1"/>
  <c r="I795" i="1"/>
  <c r="K795" i="1"/>
  <c r="Q795" i="1"/>
  <c r="S795" i="1"/>
  <c r="T795" i="1"/>
  <c r="U795" i="1"/>
  <c r="Z795" i="1"/>
  <c r="AA795" i="1"/>
  <c r="D796" i="1"/>
  <c r="G796" i="1"/>
  <c r="I796" i="1"/>
  <c r="K796" i="1"/>
  <c r="Q796" i="1"/>
  <c r="S796" i="1"/>
  <c r="T796" i="1"/>
  <c r="U796" i="1"/>
  <c r="Z796" i="1"/>
  <c r="AA796" i="1"/>
  <c r="D797" i="1"/>
  <c r="G797" i="1"/>
  <c r="I797" i="1"/>
  <c r="K797" i="1"/>
  <c r="Q797" i="1"/>
  <c r="S797" i="1"/>
  <c r="T797" i="1"/>
  <c r="U797" i="1"/>
  <c r="Z797" i="1"/>
  <c r="AA797" i="1"/>
  <c r="D798" i="1"/>
  <c r="G798" i="1"/>
  <c r="I798" i="1"/>
  <c r="K798" i="1"/>
  <c r="Q798" i="1"/>
  <c r="S798" i="1"/>
  <c r="T798" i="1"/>
  <c r="U798" i="1"/>
  <c r="Z798" i="1"/>
  <c r="AA798" i="1"/>
  <c r="D799" i="1"/>
  <c r="G799" i="1"/>
  <c r="I799" i="1"/>
  <c r="K799" i="1"/>
  <c r="Q799" i="1"/>
  <c r="S799" i="1"/>
  <c r="T799" i="1"/>
  <c r="U799" i="1"/>
  <c r="Z799" i="1"/>
  <c r="AA799" i="1"/>
  <c r="D800" i="1"/>
  <c r="G800" i="1"/>
  <c r="I800" i="1"/>
  <c r="K800" i="1"/>
  <c r="Q800" i="1"/>
  <c r="S800" i="1"/>
  <c r="T800" i="1"/>
  <c r="U800" i="1"/>
  <c r="Z800" i="1"/>
  <c r="AA800" i="1"/>
  <c r="D801" i="1"/>
  <c r="G801" i="1"/>
  <c r="I801" i="1"/>
  <c r="K801" i="1"/>
  <c r="Q801" i="1"/>
  <c r="S801" i="1"/>
  <c r="T801" i="1"/>
  <c r="U801" i="1"/>
  <c r="Z801" i="1"/>
  <c r="AA801" i="1"/>
  <c r="D802" i="1"/>
  <c r="G802" i="1"/>
  <c r="I802" i="1"/>
  <c r="K802" i="1"/>
  <c r="Q802" i="1"/>
  <c r="S802" i="1"/>
  <c r="T802" i="1"/>
  <c r="U802" i="1"/>
  <c r="Z802" i="1"/>
  <c r="AA802" i="1"/>
  <c r="D803" i="1"/>
  <c r="G803" i="1"/>
  <c r="I803" i="1"/>
  <c r="K803" i="1"/>
  <c r="Q803" i="1"/>
  <c r="S803" i="1"/>
  <c r="T803" i="1"/>
  <c r="U803" i="1"/>
  <c r="Z803" i="1"/>
  <c r="AA803" i="1"/>
  <c r="D804" i="1"/>
  <c r="G804" i="1"/>
  <c r="I804" i="1"/>
  <c r="K804" i="1"/>
  <c r="Q804" i="1"/>
  <c r="S804" i="1"/>
  <c r="T804" i="1"/>
  <c r="U804" i="1"/>
  <c r="Z804" i="1"/>
  <c r="AA804" i="1"/>
  <c r="D805" i="1"/>
  <c r="G805" i="1"/>
  <c r="I805" i="1"/>
  <c r="K805" i="1"/>
  <c r="Q805" i="1"/>
  <c r="S805" i="1"/>
  <c r="T805" i="1"/>
  <c r="U805" i="1"/>
  <c r="Z805" i="1"/>
  <c r="AA805" i="1"/>
  <c r="D806" i="1"/>
  <c r="G806" i="1"/>
  <c r="I806" i="1"/>
  <c r="K806" i="1"/>
  <c r="Q806" i="1"/>
  <c r="S806" i="1"/>
  <c r="T806" i="1"/>
  <c r="U806" i="1"/>
  <c r="Z806" i="1"/>
  <c r="AA806" i="1"/>
  <c r="D807" i="1"/>
  <c r="G807" i="1"/>
  <c r="I807" i="1"/>
  <c r="K807" i="1"/>
  <c r="Q807" i="1"/>
  <c r="S807" i="1"/>
  <c r="T807" i="1"/>
  <c r="U807" i="1"/>
  <c r="Z807" i="1"/>
  <c r="AA807" i="1"/>
  <c r="D808" i="1"/>
  <c r="G808" i="1"/>
  <c r="I808" i="1"/>
  <c r="K808" i="1"/>
  <c r="Q808" i="1"/>
  <c r="S808" i="1"/>
  <c r="T808" i="1"/>
  <c r="U808" i="1"/>
  <c r="Z808" i="1"/>
  <c r="AA808" i="1"/>
  <c r="D809" i="1"/>
  <c r="G809" i="1"/>
  <c r="I809" i="1"/>
  <c r="K809" i="1"/>
  <c r="Q809" i="1"/>
  <c r="S809" i="1"/>
  <c r="T809" i="1"/>
  <c r="U809" i="1"/>
  <c r="Z809" i="1"/>
  <c r="AA809" i="1"/>
  <c r="D810" i="1"/>
  <c r="G810" i="1"/>
  <c r="I810" i="1"/>
  <c r="K810" i="1"/>
  <c r="Q810" i="1"/>
  <c r="S810" i="1"/>
  <c r="T810" i="1"/>
  <c r="U810" i="1"/>
  <c r="Z810" i="1"/>
  <c r="AA810" i="1"/>
  <c r="D811" i="1"/>
  <c r="G811" i="1"/>
  <c r="I811" i="1"/>
  <c r="K811" i="1"/>
  <c r="Q811" i="1"/>
  <c r="S811" i="1"/>
  <c r="T811" i="1"/>
  <c r="U811" i="1"/>
  <c r="Z811" i="1"/>
  <c r="AA811" i="1"/>
  <c r="D812" i="1"/>
  <c r="G812" i="1"/>
  <c r="I812" i="1"/>
  <c r="K812" i="1"/>
  <c r="Q812" i="1"/>
  <c r="S812" i="1"/>
  <c r="T812" i="1"/>
  <c r="U812" i="1"/>
  <c r="Z812" i="1"/>
  <c r="AA812" i="1"/>
  <c r="D813" i="1"/>
  <c r="G813" i="1"/>
  <c r="I813" i="1"/>
  <c r="K813" i="1"/>
  <c r="Q813" i="1"/>
  <c r="S813" i="1"/>
  <c r="T813" i="1"/>
  <c r="U813" i="1"/>
  <c r="Z813" i="1"/>
  <c r="AA813" i="1"/>
  <c r="D814" i="1"/>
  <c r="G814" i="1"/>
  <c r="I814" i="1"/>
  <c r="K814" i="1"/>
  <c r="Q814" i="1"/>
  <c r="S814" i="1"/>
  <c r="T814" i="1"/>
  <c r="U814" i="1"/>
  <c r="Z814" i="1"/>
  <c r="AA814" i="1"/>
  <c r="D815" i="1"/>
  <c r="G815" i="1"/>
  <c r="I815" i="1"/>
  <c r="K815" i="1"/>
  <c r="Q815" i="1"/>
  <c r="S815" i="1"/>
  <c r="T815" i="1"/>
  <c r="U815" i="1"/>
  <c r="Z815" i="1"/>
  <c r="AA815" i="1"/>
  <c r="D816" i="1"/>
  <c r="G816" i="1"/>
  <c r="I816" i="1"/>
  <c r="K816" i="1"/>
  <c r="Q816" i="1"/>
  <c r="S816" i="1"/>
  <c r="T816" i="1"/>
  <c r="U816" i="1"/>
  <c r="Z816" i="1"/>
  <c r="AA816" i="1"/>
  <c r="D817" i="1"/>
  <c r="G817" i="1"/>
  <c r="I817" i="1"/>
  <c r="K817" i="1"/>
  <c r="Q817" i="1"/>
  <c r="S817" i="1"/>
  <c r="T817" i="1"/>
  <c r="U817" i="1"/>
  <c r="Z817" i="1"/>
  <c r="AA817" i="1"/>
  <c r="D818" i="1"/>
  <c r="G818" i="1"/>
  <c r="I818" i="1"/>
  <c r="K818" i="1"/>
  <c r="Q818" i="1"/>
  <c r="S818" i="1"/>
  <c r="T818" i="1"/>
  <c r="U818" i="1"/>
  <c r="Z818" i="1"/>
  <c r="AA818" i="1"/>
  <c r="D819" i="1"/>
  <c r="G819" i="1"/>
  <c r="I819" i="1"/>
  <c r="K819" i="1"/>
  <c r="Q819" i="1"/>
  <c r="S819" i="1"/>
  <c r="T819" i="1"/>
  <c r="U819" i="1"/>
  <c r="Z819" i="1"/>
  <c r="AA819" i="1"/>
  <c r="D820" i="1"/>
  <c r="G820" i="1"/>
  <c r="I820" i="1"/>
  <c r="K820" i="1"/>
  <c r="Q820" i="1"/>
  <c r="S820" i="1"/>
  <c r="T820" i="1"/>
  <c r="U820" i="1"/>
  <c r="Z820" i="1"/>
  <c r="AA820" i="1"/>
  <c r="D821" i="1"/>
  <c r="G821" i="1"/>
  <c r="I821" i="1"/>
  <c r="K821" i="1"/>
  <c r="Q821" i="1"/>
  <c r="S821" i="1"/>
  <c r="T821" i="1"/>
  <c r="U821" i="1"/>
  <c r="Z821" i="1"/>
  <c r="AA821" i="1"/>
  <c r="D822" i="1"/>
  <c r="G822" i="1"/>
  <c r="I822" i="1"/>
  <c r="K822" i="1"/>
  <c r="Q822" i="1"/>
  <c r="S822" i="1"/>
  <c r="T822" i="1"/>
  <c r="U822" i="1"/>
  <c r="Z822" i="1"/>
  <c r="AA822" i="1"/>
  <c r="D823" i="1"/>
  <c r="G823" i="1"/>
  <c r="I823" i="1"/>
  <c r="K823" i="1"/>
  <c r="Q823" i="1"/>
  <c r="S823" i="1"/>
  <c r="T823" i="1"/>
  <c r="U823" i="1"/>
  <c r="Z823" i="1"/>
  <c r="AA823" i="1"/>
  <c r="D824" i="1"/>
  <c r="G824" i="1"/>
  <c r="I824" i="1"/>
  <c r="K824" i="1"/>
  <c r="Q824" i="1"/>
  <c r="S824" i="1"/>
  <c r="T824" i="1"/>
  <c r="U824" i="1"/>
  <c r="Z824" i="1"/>
  <c r="AA824" i="1"/>
  <c r="D825" i="1"/>
  <c r="G825" i="1"/>
  <c r="I825" i="1"/>
  <c r="K825" i="1"/>
  <c r="Q825" i="1"/>
  <c r="S825" i="1"/>
  <c r="T825" i="1"/>
  <c r="U825" i="1"/>
  <c r="Z825" i="1"/>
  <c r="AA825" i="1"/>
  <c r="D826" i="1"/>
  <c r="G826" i="1"/>
  <c r="I826" i="1"/>
  <c r="K826" i="1"/>
  <c r="Q826" i="1"/>
  <c r="S826" i="1"/>
  <c r="T826" i="1"/>
  <c r="U826" i="1"/>
  <c r="Z826" i="1"/>
  <c r="AA826" i="1"/>
  <c r="D827" i="1"/>
  <c r="G827" i="1"/>
  <c r="I827" i="1"/>
  <c r="K827" i="1"/>
  <c r="Q827" i="1"/>
  <c r="S827" i="1"/>
  <c r="T827" i="1"/>
  <c r="U827" i="1"/>
  <c r="Z827" i="1"/>
  <c r="AA827" i="1"/>
  <c r="D828" i="1"/>
  <c r="G828" i="1"/>
  <c r="I828" i="1"/>
  <c r="K828" i="1"/>
  <c r="Q828" i="1"/>
  <c r="S828" i="1"/>
  <c r="T828" i="1"/>
  <c r="U828" i="1"/>
  <c r="Z828" i="1"/>
  <c r="AA828" i="1"/>
  <c r="D829" i="1"/>
  <c r="G829" i="1"/>
  <c r="I829" i="1"/>
  <c r="K829" i="1"/>
  <c r="Q829" i="1"/>
  <c r="S829" i="1"/>
  <c r="T829" i="1"/>
  <c r="U829" i="1"/>
  <c r="Z829" i="1"/>
  <c r="AA829" i="1"/>
  <c r="D830" i="1"/>
  <c r="G830" i="1"/>
  <c r="I830" i="1"/>
  <c r="K830" i="1"/>
  <c r="Q830" i="1"/>
  <c r="S830" i="1"/>
  <c r="T830" i="1"/>
  <c r="U830" i="1"/>
  <c r="Z830" i="1"/>
  <c r="AA830" i="1"/>
  <c r="D831" i="1"/>
  <c r="G831" i="1"/>
  <c r="I831" i="1"/>
  <c r="K831" i="1"/>
  <c r="Q831" i="1"/>
  <c r="S831" i="1"/>
  <c r="T831" i="1"/>
  <c r="U831" i="1"/>
  <c r="Z831" i="1"/>
  <c r="AA831" i="1"/>
  <c r="D832" i="1"/>
  <c r="G832" i="1"/>
  <c r="I832" i="1"/>
  <c r="K832" i="1"/>
  <c r="Q832" i="1"/>
  <c r="S832" i="1"/>
  <c r="T832" i="1"/>
  <c r="U832" i="1"/>
  <c r="Z832" i="1"/>
  <c r="AA832" i="1"/>
  <c r="D833" i="1"/>
  <c r="G833" i="1"/>
  <c r="I833" i="1"/>
  <c r="K833" i="1"/>
  <c r="Q833" i="1"/>
  <c r="S833" i="1"/>
  <c r="T833" i="1"/>
  <c r="U833" i="1"/>
  <c r="Z833" i="1"/>
  <c r="AA833" i="1"/>
  <c r="D834" i="1"/>
  <c r="G834" i="1"/>
  <c r="I834" i="1"/>
  <c r="K834" i="1"/>
  <c r="Q834" i="1"/>
  <c r="S834" i="1"/>
  <c r="T834" i="1"/>
  <c r="U834" i="1"/>
  <c r="Z834" i="1"/>
  <c r="AA834" i="1"/>
  <c r="D835" i="1"/>
  <c r="G835" i="1"/>
  <c r="I835" i="1"/>
  <c r="K835" i="1"/>
  <c r="Q835" i="1"/>
  <c r="S835" i="1"/>
  <c r="T835" i="1"/>
  <c r="U835" i="1"/>
  <c r="Z835" i="1"/>
  <c r="AA835" i="1"/>
  <c r="D836" i="1"/>
  <c r="G836" i="1"/>
  <c r="I836" i="1"/>
  <c r="K836" i="1"/>
  <c r="Q836" i="1"/>
  <c r="S836" i="1"/>
  <c r="T836" i="1"/>
  <c r="U836" i="1"/>
  <c r="Z836" i="1"/>
  <c r="AA836" i="1"/>
  <c r="D837" i="1"/>
  <c r="G837" i="1"/>
  <c r="I837" i="1"/>
  <c r="K837" i="1"/>
  <c r="Q837" i="1"/>
  <c r="S837" i="1"/>
  <c r="T837" i="1"/>
  <c r="U837" i="1"/>
  <c r="Z837" i="1"/>
  <c r="AA837" i="1"/>
  <c r="D838" i="1"/>
  <c r="G838" i="1"/>
  <c r="I838" i="1"/>
  <c r="K838" i="1"/>
  <c r="Q838" i="1"/>
  <c r="S838" i="1"/>
  <c r="T838" i="1"/>
  <c r="U838" i="1"/>
  <c r="Z838" i="1"/>
  <c r="AA838" i="1"/>
  <c r="D839" i="1"/>
  <c r="G839" i="1"/>
  <c r="I839" i="1"/>
  <c r="K839" i="1"/>
  <c r="Q839" i="1"/>
  <c r="S839" i="1"/>
  <c r="T839" i="1"/>
  <c r="U839" i="1"/>
  <c r="Z839" i="1"/>
  <c r="AA839" i="1"/>
  <c r="D840" i="1"/>
  <c r="G840" i="1"/>
  <c r="I840" i="1"/>
  <c r="K840" i="1"/>
  <c r="Q840" i="1"/>
  <c r="S840" i="1"/>
  <c r="T840" i="1"/>
  <c r="U840" i="1"/>
  <c r="Z840" i="1"/>
  <c r="AA840" i="1"/>
  <c r="D841" i="1"/>
  <c r="G841" i="1"/>
  <c r="I841" i="1"/>
  <c r="K841" i="1"/>
  <c r="Q841" i="1"/>
  <c r="S841" i="1"/>
  <c r="T841" i="1"/>
  <c r="U841" i="1"/>
  <c r="Z841" i="1"/>
  <c r="AA841" i="1"/>
  <c r="D842" i="1"/>
  <c r="G842" i="1"/>
  <c r="I842" i="1"/>
  <c r="K842" i="1"/>
  <c r="Q842" i="1"/>
  <c r="S842" i="1"/>
  <c r="T842" i="1"/>
  <c r="U842" i="1"/>
  <c r="Z842" i="1"/>
  <c r="AA842" i="1"/>
  <c r="D843" i="1"/>
  <c r="G843" i="1"/>
  <c r="I843" i="1"/>
  <c r="K843" i="1"/>
  <c r="Q843" i="1"/>
  <c r="S843" i="1"/>
  <c r="T843" i="1"/>
  <c r="U843" i="1"/>
  <c r="Z843" i="1"/>
  <c r="AA843" i="1"/>
  <c r="D844" i="1"/>
  <c r="G844" i="1"/>
  <c r="I844" i="1"/>
  <c r="K844" i="1"/>
  <c r="Q844" i="1"/>
  <c r="S844" i="1"/>
  <c r="T844" i="1"/>
  <c r="U844" i="1"/>
  <c r="Z844" i="1"/>
  <c r="AA844" i="1"/>
  <c r="D845" i="1"/>
  <c r="G845" i="1"/>
  <c r="I845" i="1"/>
  <c r="K845" i="1"/>
  <c r="Q845" i="1"/>
  <c r="S845" i="1"/>
  <c r="T845" i="1"/>
  <c r="U845" i="1"/>
  <c r="Z845" i="1"/>
  <c r="AA845" i="1"/>
  <c r="D846" i="1"/>
  <c r="G846" i="1"/>
  <c r="I846" i="1"/>
  <c r="K846" i="1"/>
  <c r="Q846" i="1"/>
  <c r="S846" i="1"/>
  <c r="T846" i="1"/>
  <c r="U846" i="1"/>
  <c r="Z846" i="1"/>
  <c r="AA846" i="1"/>
  <c r="D847" i="1"/>
  <c r="G847" i="1"/>
  <c r="I847" i="1"/>
  <c r="K847" i="1"/>
  <c r="Q847" i="1"/>
  <c r="S847" i="1"/>
  <c r="T847" i="1"/>
  <c r="U847" i="1"/>
  <c r="Z847" i="1"/>
  <c r="AA847" i="1"/>
  <c r="D848" i="1"/>
  <c r="G848" i="1"/>
  <c r="I848" i="1"/>
  <c r="K848" i="1"/>
  <c r="Q848" i="1"/>
  <c r="S848" i="1"/>
  <c r="T848" i="1"/>
  <c r="U848" i="1"/>
  <c r="Z848" i="1"/>
  <c r="AA848" i="1"/>
  <c r="D849" i="1"/>
  <c r="G849" i="1"/>
  <c r="I849" i="1"/>
  <c r="K849" i="1"/>
  <c r="Q849" i="1"/>
  <c r="S849" i="1"/>
  <c r="T849" i="1"/>
  <c r="U849" i="1"/>
  <c r="Z849" i="1"/>
  <c r="AA849" i="1"/>
  <c r="D850" i="1"/>
  <c r="G850" i="1"/>
  <c r="I850" i="1"/>
  <c r="K850" i="1"/>
  <c r="Q850" i="1"/>
  <c r="S850" i="1"/>
  <c r="T850" i="1"/>
  <c r="U850" i="1"/>
  <c r="Z850" i="1"/>
  <c r="AA850" i="1"/>
  <c r="D851" i="1"/>
  <c r="G851" i="1"/>
  <c r="I851" i="1"/>
  <c r="K851" i="1"/>
  <c r="Q851" i="1"/>
  <c r="S851" i="1"/>
  <c r="T851" i="1"/>
  <c r="U851" i="1"/>
  <c r="Z851" i="1"/>
  <c r="AA851" i="1"/>
  <c r="D852" i="1"/>
  <c r="G852" i="1"/>
  <c r="I852" i="1"/>
  <c r="K852" i="1"/>
  <c r="Q852" i="1"/>
  <c r="S852" i="1"/>
  <c r="T852" i="1"/>
  <c r="U852" i="1"/>
  <c r="Z852" i="1"/>
  <c r="AA852" i="1"/>
  <c r="D853" i="1"/>
  <c r="G853" i="1"/>
  <c r="I853" i="1"/>
  <c r="K853" i="1"/>
  <c r="Q853" i="1"/>
  <c r="S853" i="1"/>
  <c r="T853" i="1"/>
  <c r="U853" i="1"/>
  <c r="Z853" i="1"/>
  <c r="AA853" i="1"/>
  <c r="D854" i="1"/>
  <c r="G854" i="1"/>
  <c r="I854" i="1"/>
  <c r="K854" i="1"/>
  <c r="Q854" i="1"/>
  <c r="S854" i="1"/>
  <c r="T854" i="1"/>
  <c r="U854" i="1"/>
  <c r="Z854" i="1"/>
  <c r="AA854" i="1"/>
  <c r="D855" i="1"/>
  <c r="G855" i="1"/>
  <c r="I855" i="1"/>
  <c r="K855" i="1"/>
  <c r="Q855" i="1"/>
  <c r="S855" i="1"/>
  <c r="T855" i="1"/>
  <c r="U855" i="1"/>
  <c r="Z855" i="1"/>
  <c r="AA855" i="1"/>
  <c r="D856" i="1"/>
  <c r="G856" i="1"/>
  <c r="I856" i="1"/>
  <c r="K856" i="1"/>
  <c r="Q856" i="1"/>
  <c r="S856" i="1"/>
  <c r="T856" i="1"/>
  <c r="U856" i="1"/>
  <c r="Z856" i="1"/>
  <c r="AA856" i="1"/>
  <c r="D857" i="1"/>
  <c r="G857" i="1"/>
  <c r="I857" i="1"/>
  <c r="K857" i="1"/>
  <c r="Q857" i="1"/>
  <c r="S857" i="1"/>
  <c r="T857" i="1"/>
  <c r="U857" i="1"/>
  <c r="Z857" i="1"/>
  <c r="AA857" i="1"/>
  <c r="D858" i="1"/>
  <c r="G858" i="1"/>
  <c r="I858" i="1"/>
  <c r="K858" i="1"/>
  <c r="Q858" i="1"/>
  <c r="S858" i="1"/>
  <c r="T858" i="1"/>
  <c r="U858" i="1"/>
  <c r="Z858" i="1"/>
  <c r="AA858" i="1"/>
  <c r="D859" i="1"/>
  <c r="G859" i="1"/>
  <c r="I859" i="1"/>
  <c r="K859" i="1"/>
  <c r="Q859" i="1"/>
  <c r="S859" i="1"/>
  <c r="T859" i="1"/>
  <c r="U859" i="1"/>
  <c r="Z859" i="1"/>
  <c r="AA859" i="1"/>
  <c r="D860" i="1"/>
  <c r="G860" i="1"/>
  <c r="I860" i="1"/>
  <c r="K860" i="1"/>
  <c r="Q860" i="1"/>
  <c r="S860" i="1"/>
  <c r="T860" i="1"/>
  <c r="U860" i="1"/>
  <c r="Z860" i="1"/>
  <c r="AA860" i="1"/>
  <c r="D861" i="1"/>
  <c r="G861" i="1"/>
  <c r="I861" i="1"/>
  <c r="K861" i="1"/>
  <c r="Q861" i="1"/>
  <c r="S861" i="1"/>
  <c r="T861" i="1"/>
  <c r="U861" i="1"/>
  <c r="Z861" i="1"/>
  <c r="AA861" i="1"/>
  <c r="D862" i="1"/>
  <c r="G862" i="1"/>
  <c r="I862" i="1"/>
  <c r="K862" i="1"/>
  <c r="Q862" i="1"/>
  <c r="S862" i="1"/>
  <c r="T862" i="1"/>
  <c r="U862" i="1"/>
  <c r="Z862" i="1"/>
  <c r="AA862" i="1"/>
  <c r="D863" i="1"/>
  <c r="G863" i="1"/>
  <c r="I863" i="1"/>
  <c r="K863" i="1"/>
  <c r="Q863" i="1"/>
  <c r="S863" i="1"/>
  <c r="T863" i="1"/>
  <c r="U863" i="1"/>
  <c r="Z863" i="1"/>
  <c r="AA863" i="1"/>
  <c r="D864" i="1"/>
  <c r="G864" i="1"/>
  <c r="I864" i="1"/>
  <c r="K864" i="1"/>
  <c r="Q864" i="1"/>
  <c r="S864" i="1"/>
  <c r="T864" i="1"/>
  <c r="U864" i="1"/>
  <c r="Z864" i="1"/>
  <c r="AA864" i="1"/>
  <c r="D865" i="1"/>
  <c r="G865" i="1"/>
  <c r="I865" i="1"/>
  <c r="K865" i="1"/>
  <c r="Q865" i="1"/>
  <c r="S865" i="1"/>
  <c r="T865" i="1"/>
  <c r="U865" i="1"/>
  <c r="Z865" i="1"/>
  <c r="AA865" i="1"/>
  <c r="D866" i="1"/>
  <c r="G866" i="1"/>
  <c r="I866" i="1"/>
  <c r="K866" i="1"/>
  <c r="Q866" i="1"/>
  <c r="S866" i="1"/>
  <c r="T866" i="1"/>
  <c r="U866" i="1"/>
  <c r="Z866" i="1"/>
  <c r="AA866" i="1"/>
  <c r="D867" i="1"/>
  <c r="G867" i="1"/>
  <c r="I867" i="1"/>
  <c r="K867" i="1"/>
  <c r="Q867" i="1"/>
  <c r="S867" i="1"/>
  <c r="T867" i="1"/>
  <c r="U867" i="1"/>
  <c r="Z867" i="1"/>
  <c r="AA867" i="1"/>
  <c r="D868" i="1"/>
  <c r="G868" i="1"/>
  <c r="I868" i="1"/>
  <c r="K868" i="1"/>
  <c r="Q868" i="1"/>
  <c r="S868" i="1"/>
  <c r="T868" i="1"/>
  <c r="U868" i="1"/>
  <c r="Z868" i="1"/>
  <c r="AA868" i="1"/>
  <c r="D869" i="1"/>
  <c r="G869" i="1"/>
  <c r="I869" i="1"/>
  <c r="K869" i="1"/>
  <c r="Q869" i="1"/>
  <c r="S869" i="1"/>
  <c r="T869" i="1"/>
  <c r="U869" i="1"/>
  <c r="Z869" i="1"/>
  <c r="AA869" i="1"/>
  <c r="D870" i="1"/>
  <c r="G870" i="1"/>
  <c r="I870" i="1"/>
  <c r="K870" i="1"/>
  <c r="Q870" i="1"/>
  <c r="S870" i="1"/>
  <c r="T870" i="1"/>
  <c r="U870" i="1"/>
  <c r="Z870" i="1"/>
  <c r="AA870" i="1"/>
  <c r="D871" i="1"/>
  <c r="G871" i="1"/>
  <c r="I871" i="1"/>
  <c r="K871" i="1"/>
  <c r="Q871" i="1"/>
  <c r="S871" i="1"/>
  <c r="T871" i="1"/>
  <c r="U871" i="1"/>
  <c r="Z871" i="1"/>
  <c r="AA871" i="1"/>
  <c r="D872" i="1"/>
  <c r="G872" i="1"/>
  <c r="I872" i="1"/>
  <c r="K872" i="1"/>
  <c r="Q872" i="1"/>
  <c r="S872" i="1"/>
  <c r="T872" i="1"/>
  <c r="U872" i="1"/>
  <c r="Z872" i="1"/>
  <c r="AA872" i="1"/>
  <c r="D873" i="1"/>
  <c r="G873" i="1"/>
  <c r="I873" i="1"/>
  <c r="K873" i="1"/>
  <c r="Q873" i="1"/>
  <c r="S873" i="1"/>
  <c r="T873" i="1"/>
  <c r="U873" i="1"/>
  <c r="Z873" i="1"/>
  <c r="AA873" i="1"/>
  <c r="D874" i="1"/>
  <c r="G874" i="1"/>
  <c r="I874" i="1"/>
  <c r="K874" i="1"/>
  <c r="Q874" i="1"/>
  <c r="S874" i="1"/>
  <c r="T874" i="1"/>
  <c r="U874" i="1"/>
  <c r="Z874" i="1"/>
  <c r="AA874" i="1"/>
  <c r="D875" i="1"/>
  <c r="G875" i="1"/>
  <c r="I875" i="1"/>
  <c r="K875" i="1"/>
  <c r="Q875" i="1"/>
  <c r="S875" i="1"/>
  <c r="T875" i="1"/>
  <c r="U875" i="1"/>
  <c r="Z875" i="1"/>
  <c r="AA875" i="1"/>
  <c r="D876" i="1"/>
  <c r="G876" i="1"/>
  <c r="I876" i="1"/>
  <c r="K876" i="1"/>
  <c r="Q876" i="1"/>
  <c r="S876" i="1"/>
  <c r="T876" i="1"/>
  <c r="U876" i="1"/>
  <c r="Z876" i="1"/>
  <c r="AA876" i="1"/>
  <c r="D877" i="1"/>
  <c r="G877" i="1"/>
  <c r="I877" i="1"/>
  <c r="K877" i="1"/>
  <c r="Q877" i="1"/>
  <c r="S877" i="1"/>
  <c r="T877" i="1"/>
  <c r="U877" i="1"/>
  <c r="Z877" i="1"/>
  <c r="AA877" i="1"/>
  <c r="D878" i="1"/>
  <c r="G878" i="1"/>
  <c r="I878" i="1"/>
  <c r="K878" i="1"/>
  <c r="Q878" i="1"/>
  <c r="S878" i="1"/>
  <c r="T878" i="1"/>
  <c r="U878" i="1"/>
  <c r="Z878" i="1"/>
  <c r="AA878" i="1"/>
  <c r="D879" i="1"/>
  <c r="G879" i="1"/>
  <c r="I879" i="1"/>
  <c r="K879" i="1"/>
  <c r="Q879" i="1"/>
  <c r="S879" i="1"/>
  <c r="T879" i="1"/>
  <c r="U879" i="1"/>
  <c r="Z879" i="1"/>
  <c r="AA879" i="1"/>
  <c r="D880" i="1"/>
  <c r="G880" i="1"/>
  <c r="I880" i="1"/>
  <c r="K880" i="1"/>
  <c r="Q880" i="1"/>
  <c r="S880" i="1"/>
  <c r="T880" i="1"/>
  <c r="U880" i="1"/>
  <c r="Z880" i="1"/>
  <c r="AA880" i="1"/>
  <c r="D881" i="1"/>
  <c r="G881" i="1"/>
  <c r="I881" i="1"/>
  <c r="K881" i="1"/>
  <c r="Q881" i="1"/>
  <c r="S881" i="1"/>
  <c r="T881" i="1"/>
  <c r="U881" i="1"/>
  <c r="Z881" i="1"/>
  <c r="AA881" i="1"/>
  <c r="D882" i="1"/>
  <c r="G882" i="1"/>
  <c r="I882" i="1"/>
  <c r="K882" i="1"/>
  <c r="Q882" i="1"/>
  <c r="S882" i="1"/>
  <c r="T882" i="1"/>
  <c r="U882" i="1"/>
  <c r="Z882" i="1"/>
  <c r="AA882" i="1"/>
  <c r="D883" i="1"/>
  <c r="G883" i="1"/>
  <c r="I883" i="1"/>
  <c r="K883" i="1"/>
  <c r="Q883" i="1"/>
  <c r="S883" i="1"/>
  <c r="T883" i="1"/>
  <c r="U883" i="1"/>
  <c r="Z883" i="1"/>
  <c r="AA883" i="1"/>
  <c r="D884" i="1"/>
  <c r="G884" i="1"/>
  <c r="I884" i="1"/>
  <c r="K884" i="1"/>
  <c r="Q884" i="1"/>
  <c r="S884" i="1"/>
  <c r="T884" i="1"/>
  <c r="U884" i="1"/>
  <c r="Z884" i="1"/>
  <c r="AA884" i="1"/>
  <c r="D885" i="1"/>
  <c r="G885" i="1"/>
  <c r="I885" i="1"/>
  <c r="K885" i="1"/>
  <c r="Q885" i="1"/>
  <c r="S885" i="1"/>
  <c r="T885" i="1"/>
  <c r="U885" i="1"/>
  <c r="Z885" i="1"/>
  <c r="AA885" i="1"/>
  <c r="D886" i="1"/>
  <c r="G886" i="1"/>
  <c r="I886" i="1"/>
  <c r="K886" i="1"/>
  <c r="Q886" i="1"/>
  <c r="S886" i="1"/>
  <c r="T886" i="1"/>
  <c r="U886" i="1"/>
  <c r="Z886" i="1"/>
  <c r="AA886" i="1"/>
  <c r="D887" i="1"/>
  <c r="G887" i="1"/>
  <c r="I887" i="1"/>
  <c r="K887" i="1"/>
  <c r="Q887" i="1"/>
  <c r="S887" i="1"/>
  <c r="T887" i="1"/>
  <c r="U887" i="1"/>
  <c r="Z887" i="1"/>
  <c r="AA887" i="1"/>
  <c r="D888" i="1"/>
  <c r="G888" i="1"/>
  <c r="I888" i="1"/>
  <c r="K888" i="1"/>
  <c r="Q888" i="1"/>
  <c r="S888" i="1"/>
  <c r="T888" i="1"/>
  <c r="U888" i="1"/>
  <c r="Z888" i="1"/>
  <c r="AA888" i="1"/>
  <c r="D889" i="1"/>
  <c r="G889" i="1"/>
  <c r="I889" i="1"/>
  <c r="K889" i="1"/>
  <c r="Q889" i="1"/>
  <c r="S889" i="1"/>
  <c r="T889" i="1"/>
  <c r="U889" i="1"/>
  <c r="Z889" i="1"/>
  <c r="AA889" i="1"/>
  <c r="D890" i="1"/>
  <c r="G890" i="1"/>
  <c r="I890" i="1"/>
  <c r="K890" i="1"/>
  <c r="Q890" i="1"/>
  <c r="S890" i="1"/>
  <c r="T890" i="1"/>
  <c r="U890" i="1"/>
  <c r="Z890" i="1"/>
  <c r="AA890" i="1"/>
  <c r="D891" i="1"/>
  <c r="G891" i="1"/>
  <c r="I891" i="1"/>
  <c r="K891" i="1"/>
  <c r="Q891" i="1"/>
  <c r="S891" i="1"/>
  <c r="T891" i="1"/>
  <c r="U891" i="1"/>
  <c r="Z891" i="1"/>
  <c r="AA891" i="1"/>
  <c r="D892" i="1"/>
  <c r="G892" i="1"/>
  <c r="I892" i="1"/>
  <c r="K892" i="1"/>
  <c r="Q892" i="1"/>
  <c r="S892" i="1"/>
  <c r="T892" i="1"/>
  <c r="U892" i="1"/>
  <c r="Z892" i="1"/>
  <c r="AA892" i="1"/>
  <c r="D893" i="1"/>
  <c r="G893" i="1"/>
  <c r="I893" i="1"/>
  <c r="K893" i="1"/>
  <c r="Q893" i="1"/>
  <c r="S893" i="1"/>
  <c r="T893" i="1"/>
  <c r="U893" i="1"/>
  <c r="Z893" i="1"/>
  <c r="AA893" i="1"/>
  <c r="D894" i="1"/>
  <c r="G894" i="1"/>
  <c r="I894" i="1"/>
  <c r="K894" i="1"/>
  <c r="Q894" i="1"/>
  <c r="S894" i="1"/>
  <c r="T894" i="1"/>
  <c r="U894" i="1"/>
  <c r="Z894" i="1"/>
  <c r="AA894" i="1"/>
  <c r="D895" i="1"/>
  <c r="G895" i="1"/>
  <c r="I895" i="1"/>
  <c r="K895" i="1"/>
  <c r="Q895" i="1"/>
  <c r="S895" i="1"/>
  <c r="T895" i="1"/>
  <c r="U895" i="1"/>
  <c r="Z895" i="1"/>
  <c r="AA895" i="1"/>
  <c r="D896" i="1"/>
  <c r="G896" i="1"/>
  <c r="I896" i="1"/>
  <c r="K896" i="1"/>
  <c r="Q896" i="1"/>
  <c r="S896" i="1"/>
  <c r="T896" i="1"/>
  <c r="U896" i="1"/>
  <c r="Z896" i="1"/>
  <c r="AA896" i="1"/>
  <c r="D897" i="1"/>
  <c r="G897" i="1"/>
  <c r="I897" i="1"/>
  <c r="K897" i="1"/>
  <c r="Q897" i="1"/>
  <c r="S897" i="1"/>
  <c r="T897" i="1"/>
  <c r="U897" i="1"/>
  <c r="Z897" i="1"/>
  <c r="AA897" i="1"/>
  <c r="D898" i="1"/>
  <c r="G898" i="1"/>
  <c r="I898" i="1"/>
  <c r="K898" i="1"/>
  <c r="Q898" i="1"/>
  <c r="S898" i="1"/>
  <c r="T898" i="1"/>
  <c r="U898" i="1"/>
  <c r="Z898" i="1"/>
  <c r="AA898" i="1"/>
  <c r="D899" i="1"/>
  <c r="G899" i="1"/>
  <c r="I899" i="1"/>
  <c r="K899" i="1"/>
  <c r="Q899" i="1"/>
  <c r="S899" i="1"/>
  <c r="T899" i="1"/>
  <c r="U899" i="1"/>
  <c r="Z899" i="1"/>
  <c r="AA899" i="1"/>
  <c r="D900" i="1"/>
  <c r="G900" i="1"/>
  <c r="I900" i="1"/>
  <c r="K900" i="1"/>
  <c r="Q900" i="1"/>
  <c r="S900" i="1"/>
  <c r="T900" i="1"/>
  <c r="U900" i="1"/>
  <c r="Z900" i="1"/>
  <c r="AA900" i="1"/>
  <c r="D901" i="1"/>
  <c r="G901" i="1"/>
  <c r="I901" i="1"/>
  <c r="K901" i="1"/>
  <c r="Q901" i="1"/>
  <c r="S901" i="1"/>
  <c r="T901" i="1"/>
  <c r="U901" i="1"/>
  <c r="Z901" i="1"/>
  <c r="AA901" i="1"/>
  <c r="D902" i="1"/>
  <c r="G902" i="1"/>
  <c r="I902" i="1"/>
  <c r="K902" i="1"/>
  <c r="Q902" i="1"/>
  <c r="S902" i="1"/>
  <c r="T902" i="1"/>
  <c r="U902" i="1"/>
  <c r="Z902" i="1"/>
  <c r="AA902" i="1"/>
  <c r="D903" i="1"/>
  <c r="G903" i="1"/>
  <c r="I903" i="1"/>
  <c r="K903" i="1"/>
  <c r="Q903" i="1"/>
  <c r="S903" i="1"/>
  <c r="T903" i="1"/>
  <c r="U903" i="1"/>
  <c r="Z903" i="1"/>
  <c r="AA903" i="1"/>
  <c r="D904" i="1"/>
  <c r="G904" i="1"/>
  <c r="I904" i="1"/>
  <c r="K904" i="1"/>
  <c r="Q904" i="1"/>
  <c r="S904" i="1"/>
  <c r="T904" i="1"/>
  <c r="U904" i="1"/>
  <c r="Z904" i="1"/>
  <c r="AA904" i="1"/>
  <c r="D905" i="1"/>
  <c r="G905" i="1"/>
  <c r="I905" i="1"/>
  <c r="K905" i="1"/>
  <c r="Q905" i="1"/>
  <c r="S905" i="1"/>
  <c r="T905" i="1"/>
  <c r="U905" i="1"/>
  <c r="Z905" i="1"/>
  <c r="AA905" i="1"/>
  <c r="D906" i="1"/>
  <c r="G906" i="1"/>
  <c r="I906" i="1"/>
  <c r="K906" i="1"/>
  <c r="Q906" i="1"/>
  <c r="S906" i="1"/>
  <c r="T906" i="1"/>
  <c r="U906" i="1"/>
  <c r="Z906" i="1"/>
  <c r="AA906" i="1"/>
  <c r="D907" i="1"/>
  <c r="G907" i="1"/>
  <c r="I907" i="1"/>
  <c r="K907" i="1"/>
  <c r="Q907" i="1"/>
  <c r="S907" i="1"/>
  <c r="T907" i="1"/>
  <c r="U907" i="1"/>
  <c r="Z907" i="1"/>
  <c r="AA907" i="1"/>
  <c r="D908" i="1"/>
  <c r="G908" i="1"/>
  <c r="I908" i="1"/>
  <c r="K908" i="1"/>
  <c r="Q908" i="1"/>
  <c r="S908" i="1"/>
  <c r="T908" i="1"/>
  <c r="U908" i="1"/>
  <c r="Z908" i="1"/>
  <c r="AA908" i="1"/>
  <c r="D909" i="1"/>
  <c r="G909" i="1"/>
  <c r="I909" i="1"/>
  <c r="K909" i="1"/>
  <c r="Q909" i="1"/>
  <c r="S909" i="1"/>
  <c r="T909" i="1"/>
  <c r="U909" i="1"/>
  <c r="Z909" i="1"/>
  <c r="AA909" i="1"/>
  <c r="D910" i="1"/>
  <c r="G910" i="1"/>
  <c r="I910" i="1"/>
  <c r="K910" i="1"/>
  <c r="Q910" i="1"/>
  <c r="S910" i="1"/>
  <c r="T910" i="1"/>
  <c r="U910" i="1"/>
  <c r="Z910" i="1"/>
  <c r="AA910" i="1"/>
  <c r="D911" i="1"/>
  <c r="G911" i="1"/>
  <c r="I911" i="1"/>
  <c r="K911" i="1"/>
  <c r="Q911" i="1"/>
  <c r="S911" i="1"/>
  <c r="T911" i="1"/>
  <c r="U911" i="1"/>
  <c r="Z911" i="1"/>
  <c r="AA911" i="1"/>
  <c r="D912" i="1"/>
  <c r="G912" i="1"/>
  <c r="I912" i="1"/>
  <c r="K912" i="1"/>
  <c r="Q912" i="1"/>
  <c r="S912" i="1"/>
  <c r="T912" i="1"/>
  <c r="U912" i="1"/>
  <c r="Z912" i="1"/>
  <c r="AA912" i="1"/>
  <c r="D913" i="1"/>
  <c r="G913" i="1"/>
  <c r="I913" i="1"/>
  <c r="K913" i="1"/>
  <c r="Q913" i="1"/>
  <c r="S913" i="1"/>
  <c r="T913" i="1"/>
  <c r="U913" i="1"/>
  <c r="Z913" i="1"/>
  <c r="AA913" i="1"/>
  <c r="D914" i="1"/>
  <c r="G914" i="1"/>
  <c r="I914" i="1"/>
  <c r="K914" i="1"/>
  <c r="Q914" i="1"/>
  <c r="S914" i="1"/>
  <c r="T914" i="1"/>
  <c r="U914" i="1"/>
  <c r="Z914" i="1"/>
  <c r="AA914" i="1"/>
  <c r="D915" i="1"/>
  <c r="G915" i="1"/>
  <c r="I915" i="1"/>
  <c r="K915" i="1"/>
  <c r="Q915" i="1"/>
  <c r="S915" i="1"/>
  <c r="T915" i="1"/>
  <c r="U915" i="1"/>
  <c r="Z915" i="1"/>
  <c r="AA915" i="1"/>
  <c r="D916" i="1"/>
  <c r="G916" i="1"/>
  <c r="I916" i="1"/>
  <c r="K916" i="1"/>
  <c r="Q916" i="1"/>
  <c r="S916" i="1"/>
  <c r="T916" i="1"/>
  <c r="U916" i="1"/>
  <c r="Z916" i="1"/>
  <c r="AA916" i="1"/>
  <c r="D917" i="1"/>
  <c r="G917" i="1"/>
  <c r="I917" i="1"/>
  <c r="K917" i="1"/>
  <c r="Q917" i="1"/>
  <c r="S917" i="1"/>
  <c r="T917" i="1"/>
  <c r="U917" i="1"/>
  <c r="Z917" i="1"/>
  <c r="AA917" i="1"/>
  <c r="D918" i="1"/>
  <c r="G918" i="1"/>
  <c r="I918" i="1"/>
  <c r="K918" i="1"/>
  <c r="Q918" i="1"/>
  <c r="S918" i="1"/>
  <c r="T918" i="1"/>
  <c r="U918" i="1"/>
  <c r="Z918" i="1"/>
  <c r="AA918" i="1"/>
  <c r="D919" i="1"/>
  <c r="G919" i="1"/>
  <c r="I919" i="1"/>
  <c r="K919" i="1"/>
  <c r="Q919" i="1"/>
  <c r="S919" i="1"/>
  <c r="T919" i="1"/>
  <c r="U919" i="1"/>
  <c r="Z919" i="1"/>
  <c r="AA919" i="1"/>
  <c r="D920" i="1"/>
  <c r="G920" i="1"/>
  <c r="I920" i="1"/>
  <c r="K920" i="1"/>
  <c r="Q920" i="1"/>
  <c r="S920" i="1"/>
  <c r="T920" i="1"/>
  <c r="U920" i="1"/>
  <c r="Z920" i="1"/>
  <c r="AA920" i="1"/>
  <c r="D921" i="1"/>
  <c r="G921" i="1"/>
  <c r="I921" i="1"/>
  <c r="K921" i="1"/>
  <c r="Q921" i="1"/>
  <c r="S921" i="1"/>
  <c r="T921" i="1"/>
  <c r="U921" i="1"/>
  <c r="Z921" i="1"/>
  <c r="AA921" i="1"/>
  <c r="D922" i="1"/>
  <c r="G922" i="1"/>
  <c r="I922" i="1"/>
  <c r="K922" i="1"/>
  <c r="Q922" i="1"/>
  <c r="S922" i="1"/>
  <c r="T922" i="1"/>
  <c r="U922" i="1"/>
  <c r="Z922" i="1"/>
  <c r="AA922" i="1"/>
  <c r="D923" i="1"/>
  <c r="G923" i="1"/>
  <c r="I923" i="1"/>
  <c r="K923" i="1"/>
  <c r="Q923" i="1"/>
  <c r="S923" i="1"/>
  <c r="T923" i="1"/>
  <c r="U923" i="1"/>
  <c r="Z923" i="1"/>
  <c r="AA923" i="1"/>
  <c r="D924" i="1"/>
  <c r="G924" i="1"/>
  <c r="I924" i="1"/>
  <c r="K924" i="1"/>
  <c r="Q924" i="1"/>
  <c r="S924" i="1"/>
  <c r="T924" i="1"/>
  <c r="U924" i="1"/>
  <c r="Z924" i="1"/>
  <c r="AA924" i="1"/>
  <c r="D925" i="1"/>
  <c r="G925" i="1"/>
  <c r="I925" i="1"/>
  <c r="K925" i="1"/>
  <c r="Q925" i="1"/>
  <c r="S925" i="1"/>
  <c r="T925" i="1"/>
  <c r="U925" i="1"/>
  <c r="Z925" i="1"/>
  <c r="AA925" i="1"/>
  <c r="D926" i="1"/>
  <c r="G926" i="1"/>
  <c r="I926" i="1"/>
  <c r="K926" i="1"/>
  <c r="Q926" i="1"/>
  <c r="S926" i="1"/>
  <c r="T926" i="1"/>
  <c r="U926" i="1"/>
  <c r="Z926" i="1"/>
  <c r="AA926" i="1"/>
  <c r="D927" i="1"/>
  <c r="G927" i="1"/>
  <c r="I927" i="1"/>
  <c r="K927" i="1"/>
  <c r="Q927" i="1"/>
  <c r="S927" i="1"/>
  <c r="T927" i="1"/>
  <c r="U927" i="1"/>
  <c r="Z927" i="1"/>
  <c r="AA927" i="1"/>
  <c r="D928" i="1"/>
  <c r="G928" i="1"/>
  <c r="I928" i="1"/>
  <c r="K928" i="1"/>
  <c r="Q928" i="1"/>
  <c r="S928" i="1"/>
  <c r="T928" i="1"/>
  <c r="U928" i="1"/>
  <c r="Z928" i="1"/>
  <c r="AA928" i="1"/>
  <c r="D929" i="1"/>
  <c r="G929" i="1"/>
  <c r="I929" i="1"/>
  <c r="K929" i="1"/>
  <c r="Q929" i="1"/>
  <c r="S929" i="1"/>
  <c r="T929" i="1"/>
  <c r="U929" i="1"/>
  <c r="Z929" i="1"/>
  <c r="AA929" i="1"/>
  <c r="D930" i="1"/>
  <c r="G930" i="1"/>
  <c r="I930" i="1"/>
  <c r="K930" i="1"/>
  <c r="Q930" i="1"/>
  <c r="S930" i="1"/>
  <c r="T930" i="1"/>
  <c r="U930" i="1"/>
  <c r="Z930" i="1"/>
  <c r="AA930" i="1"/>
  <c r="D931" i="1"/>
  <c r="G931" i="1"/>
  <c r="I931" i="1"/>
  <c r="K931" i="1"/>
  <c r="Q931" i="1"/>
  <c r="S931" i="1"/>
  <c r="T931" i="1"/>
  <c r="U931" i="1"/>
  <c r="Z931" i="1"/>
  <c r="AA931" i="1"/>
  <c r="D932" i="1"/>
  <c r="G932" i="1"/>
  <c r="I932" i="1"/>
  <c r="K932" i="1"/>
  <c r="Q932" i="1"/>
  <c r="S932" i="1"/>
  <c r="T932" i="1"/>
  <c r="U932" i="1"/>
  <c r="Z932" i="1"/>
  <c r="AA932" i="1"/>
  <c r="D933" i="1"/>
  <c r="G933" i="1"/>
  <c r="I933" i="1"/>
  <c r="K933" i="1"/>
  <c r="Q933" i="1"/>
  <c r="S933" i="1"/>
  <c r="T933" i="1"/>
  <c r="U933" i="1"/>
  <c r="Z933" i="1"/>
  <c r="AA933" i="1"/>
  <c r="D934" i="1"/>
  <c r="G934" i="1"/>
  <c r="I934" i="1"/>
  <c r="K934" i="1"/>
  <c r="Q934" i="1"/>
  <c r="S934" i="1"/>
  <c r="T934" i="1"/>
  <c r="U934" i="1"/>
  <c r="Z934" i="1"/>
  <c r="AA934" i="1"/>
  <c r="D935" i="1"/>
  <c r="G935" i="1"/>
  <c r="I935" i="1"/>
  <c r="K935" i="1"/>
  <c r="Q935" i="1"/>
  <c r="S935" i="1"/>
  <c r="T935" i="1"/>
  <c r="U935" i="1"/>
  <c r="Z935" i="1"/>
  <c r="AA935" i="1"/>
  <c r="D936" i="1"/>
  <c r="G936" i="1"/>
  <c r="I936" i="1"/>
  <c r="K936" i="1"/>
  <c r="Q936" i="1"/>
  <c r="S936" i="1"/>
  <c r="T936" i="1"/>
  <c r="U936" i="1"/>
  <c r="Z936" i="1"/>
  <c r="AA936" i="1"/>
  <c r="D937" i="1"/>
  <c r="G937" i="1"/>
  <c r="I937" i="1"/>
  <c r="K937" i="1"/>
  <c r="Q937" i="1"/>
  <c r="S937" i="1"/>
  <c r="T937" i="1"/>
  <c r="U937" i="1"/>
  <c r="Z937" i="1"/>
  <c r="AA937" i="1"/>
  <c r="D938" i="1"/>
  <c r="G938" i="1"/>
  <c r="I938" i="1"/>
  <c r="K938" i="1"/>
  <c r="Q938" i="1"/>
  <c r="S938" i="1"/>
  <c r="T938" i="1"/>
  <c r="U938" i="1"/>
  <c r="Z938" i="1"/>
  <c r="AA938" i="1"/>
  <c r="D939" i="1"/>
  <c r="G939" i="1"/>
  <c r="I939" i="1"/>
  <c r="K939" i="1"/>
  <c r="Q939" i="1"/>
  <c r="S939" i="1"/>
  <c r="T939" i="1"/>
  <c r="U939" i="1"/>
  <c r="Z939" i="1"/>
  <c r="AA939" i="1"/>
  <c r="D940" i="1"/>
  <c r="G940" i="1"/>
  <c r="I940" i="1"/>
  <c r="K940" i="1"/>
  <c r="Q940" i="1"/>
  <c r="S940" i="1"/>
  <c r="T940" i="1"/>
  <c r="U940" i="1"/>
  <c r="Z940" i="1"/>
  <c r="AA940" i="1"/>
  <c r="D941" i="1"/>
  <c r="G941" i="1"/>
  <c r="I941" i="1"/>
  <c r="K941" i="1"/>
  <c r="Q941" i="1"/>
  <c r="S941" i="1"/>
  <c r="T941" i="1"/>
  <c r="U941" i="1"/>
  <c r="Z941" i="1"/>
  <c r="AA941" i="1"/>
  <c r="D942" i="1"/>
  <c r="G942" i="1"/>
  <c r="I942" i="1"/>
  <c r="K942" i="1"/>
  <c r="Q942" i="1"/>
  <c r="S942" i="1"/>
  <c r="T942" i="1"/>
  <c r="U942" i="1"/>
  <c r="Z942" i="1"/>
  <c r="AA942" i="1"/>
  <c r="D943" i="1"/>
  <c r="G943" i="1"/>
  <c r="I943" i="1"/>
  <c r="K943" i="1"/>
  <c r="Q943" i="1"/>
  <c r="S943" i="1"/>
  <c r="T943" i="1"/>
  <c r="U943" i="1"/>
  <c r="Z943" i="1"/>
  <c r="AA943" i="1"/>
  <c r="D944" i="1"/>
  <c r="G944" i="1"/>
  <c r="I944" i="1"/>
  <c r="K944" i="1"/>
  <c r="Q944" i="1"/>
  <c r="S944" i="1"/>
  <c r="T944" i="1"/>
  <c r="U944" i="1"/>
  <c r="Z944" i="1"/>
  <c r="AA944" i="1"/>
  <c r="D945" i="1"/>
  <c r="G945" i="1"/>
  <c r="I945" i="1"/>
  <c r="K945" i="1"/>
  <c r="Q945" i="1"/>
  <c r="S945" i="1"/>
  <c r="T945" i="1"/>
  <c r="U945" i="1"/>
  <c r="Z945" i="1"/>
  <c r="AA945" i="1"/>
  <c r="D946" i="1"/>
  <c r="G946" i="1"/>
  <c r="I946" i="1"/>
  <c r="K946" i="1"/>
  <c r="Q946" i="1"/>
  <c r="S946" i="1"/>
  <c r="T946" i="1"/>
  <c r="U946" i="1"/>
  <c r="Z946" i="1"/>
  <c r="AA946" i="1"/>
  <c r="D947" i="1"/>
  <c r="G947" i="1"/>
  <c r="I947" i="1"/>
  <c r="K947" i="1"/>
  <c r="Q947" i="1"/>
  <c r="S947" i="1"/>
  <c r="T947" i="1"/>
  <c r="U947" i="1"/>
  <c r="Z947" i="1"/>
  <c r="AA947" i="1"/>
  <c r="D948" i="1"/>
  <c r="G948" i="1"/>
  <c r="I948" i="1"/>
  <c r="K948" i="1"/>
  <c r="Q948" i="1"/>
  <c r="S948" i="1"/>
  <c r="T948" i="1"/>
  <c r="U948" i="1"/>
  <c r="Z948" i="1"/>
  <c r="AA948" i="1"/>
  <c r="D949" i="1"/>
  <c r="G949" i="1"/>
  <c r="I949" i="1"/>
  <c r="K949" i="1"/>
  <c r="Q949" i="1"/>
  <c r="S949" i="1"/>
  <c r="T949" i="1"/>
  <c r="U949" i="1"/>
  <c r="Z949" i="1"/>
  <c r="AA949" i="1"/>
  <c r="D950" i="1"/>
  <c r="G950" i="1"/>
  <c r="I950" i="1"/>
  <c r="K950" i="1"/>
  <c r="Q950" i="1"/>
  <c r="S950" i="1"/>
  <c r="T950" i="1"/>
  <c r="U950" i="1"/>
  <c r="Z950" i="1"/>
  <c r="AA950" i="1"/>
  <c r="D951" i="1"/>
  <c r="G951" i="1"/>
  <c r="I951" i="1"/>
  <c r="K951" i="1"/>
  <c r="Q951" i="1"/>
  <c r="S951" i="1"/>
  <c r="T951" i="1"/>
  <c r="U951" i="1"/>
  <c r="Z951" i="1"/>
  <c r="AA951" i="1"/>
  <c r="D952" i="1"/>
  <c r="G952" i="1"/>
  <c r="I952" i="1"/>
  <c r="K952" i="1"/>
  <c r="Q952" i="1"/>
  <c r="S952" i="1"/>
  <c r="T952" i="1"/>
  <c r="U952" i="1"/>
  <c r="Z952" i="1"/>
  <c r="AA952" i="1"/>
  <c r="D953" i="1"/>
  <c r="G953" i="1"/>
  <c r="I953" i="1"/>
  <c r="K953" i="1"/>
  <c r="Q953" i="1"/>
  <c r="S953" i="1"/>
  <c r="T953" i="1"/>
  <c r="U953" i="1"/>
  <c r="Z953" i="1"/>
  <c r="AA953" i="1"/>
  <c r="D954" i="1"/>
  <c r="G954" i="1"/>
  <c r="I954" i="1"/>
  <c r="K954" i="1"/>
  <c r="Q954" i="1"/>
  <c r="S954" i="1"/>
  <c r="T954" i="1"/>
  <c r="U954" i="1"/>
  <c r="Z954" i="1"/>
  <c r="AA954" i="1"/>
  <c r="D955" i="1"/>
  <c r="G955" i="1"/>
  <c r="I955" i="1"/>
  <c r="K955" i="1"/>
  <c r="Q955" i="1"/>
  <c r="S955" i="1"/>
  <c r="T955" i="1"/>
  <c r="U955" i="1"/>
  <c r="Z955" i="1"/>
  <c r="AA955" i="1"/>
  <c r="D956" i="1"/>
  <c r="G956" i="1"/>
  <c r="I956" i="1"/>
  <c r="K956" i="1"/>
  <c r="Q956" i="1"/>
  <c r="S956" i="1"/>
  <c r="T956" i="1"/>
  <c r="U956" i="1"/>
  <c r="Z956" i="1"/>
  <c r="AA956" i="1"/>
  <c r="D957" i="1"/>
  <c r="G957" i="1"/>
  <c r="I957" i="1"/>
  <c r="K957" i="1"/>
  <c r="Q957" i="1"/>
  <c r="S957" i="1"/>
  <c r="T957" i="1"/>
  <c r="U957" i="1"/>
  <c r="Z957" i="1"/>
  <c r="AA957" i="1"/>
  <c r="D958" i="1"/>
  <c r="G958" i="1"/>
  <c r="I958" i="1"/>
  <c r="K958" i="1"/>
  <c r="Q958" i="1"/>
  <c r="S958" i="1"/>
  <c r="T958" i="1"/>
  <c r="U958" i="1"/>
  <c r="Z958" i="1"/>
  <c r="AA958" i="1"/>
  <c r="D959" i="1"/>
  <c r="G959" i="1"/>
  <c r="I959" i="1"/>
  <c r="K959" i="1"/>
  <c r="Q959" i="1"/>
  <c r="S959" i="1"/>
  <c r="T959" i="1"/>
  <c r="U959" i="1"/>
  <c r="Z959" i="1"/>
  <c r="AA959" i="1"/>
  <c r="D960" i="1"/>
  <c r="G960" i="1"/>
  <c r="I960" i="1"/>
  <c r="K960" i="1"/>
  <c r="Q960" i="1"/>
  <c r="S960" i="1"/>
  <c r="T960" i="1"/>
  <c r="U960" i="1"/>
  <c r="Z960" i="1"/>
  <c r="AA960" i="1"/>
  <c r="D961" i="1"/>
  <c r="G961" i="1"/>
  <c r="I961" i="1"/>
  <c r="K961" i="1"/>
  <c r="Q961" i="1"/>
  <c r="S961" i="1"/>
  <c r="T961" i="1"/>
  <c r="U961" i="1"/>
  <c r="Z961" i="1"/>
  <c r="AA961" i="1"/>
  <c r="D962" i="1"/>
  <c r="G962" i="1"/>
  <c r="I962" i="1"/>
  <c r="K962" i="1"/>
  <c r="Q962" i="1"/>
  <c r="S962" i="1"/>
  <c r="T962" i="1"/>
  <c r="U962" i="1"/>
  <c r="Z962" i="1"/>
  <c r="AA962" i="1"/>
  <c r="D963" i="1"/>
  <c r="G963" i="1"/>
  <c r="I963" i="1"/>
  <c r="K963" i="1"/>
  <c r="Q963" i="1"/>
  <c r="S963" i="1"/>
  <c r="T963" i="1"/>
  <c r="U963" i="1"/>
  <c r="Z963" i="1"/>
  <c r="AA963" i="1"/>
  <c r="D964" i="1"/>
  <c r="G964" i="1"/>
  <c r="I964" i="1"/>
  <c r="K964" i="1"/>
  <c r="Q964" i="1"/>
  <c r="S964" i="1"/>
  <c r="T964" i="1"/>
  <c r="U964" i="1"/>
  <c r="Z964" i="1"/>
  <c r="AA964" i="1"/>
  <c r="D965" i="1"/>
  <c r="G965" i="1"/>
  <c r="I965" i="1"/>
  <c r="K965" i="1"/>
  <c r="Q965" i="1"/>
  <c r="S965" i="1"/>
  <c r="T965" i="1"/>
  <c r="U965" i="1"/>
  <c r="Z965" i="1"/>
  <c r="AA965" i="1"/>
  <c r="D966" i="1"/>
  <c r="G966" i="1"/>
  <c r="I966" i="1"/>
  <c r="K966" i="1"/>
  <c r="Q966" i="1"/>
  <c r="S966" i="1"/>
  <c r="T966" i="1"/>
  <c r="U966" i="1"/>
  <c r="Z966" i="1"/>
  <c r="AA966" i="1"/>
  <c r="D967" i="1"/>
  <c r="G967" i="1"/>
  <c r="I967" i="1"/>
  <c r="K967" i="1"/>
  <c r="Q967" i="1"/>
  <c r="S967" i="1"/>
  <c r="T967" i="1"/>
  <c r="U967" i="1"/>
  <c r="Z967" i="1"/>
  <c r="AA967" i="1"/>
  <c r="B968" i="1"/>
  <c r="D968" i="1"/>
  <c r="G968" i="1"/>
  <c r="I968" i="1"/>
  <c r="K968" i="1"/>
  <c r="Q968" i="1"/>
  <c r="S968" i="1"/>
  <c r="T968" i="1"/>
  <c r="U968" i="1"/>
  <c r="Z968" i="1"/>
  <c r="AA968" i="1"/>
  <c r="B969" i="1"/>
  <c r="D969" i="1"/>
  <c r="G969" i="1"/>
  <c r="I969" i="1"/>
  <c r="K969" i="1"/>
  <c r="Q969" i="1"/>
  <c r="S969" i="1"/>
  <c r="T969" i="1"/>
  <c r="U969" i="1"/>
  <c r="Z969" i="1"/>
  <c r="AA969" i="1"/>
  <c r="B970" i="1"/>
  <c r="D970" i="1"/>
  <c r="G970" i="1"/>
  <c r="I970" i="1"/>
  <c r="K970" i="1"/>
  <c r="Q970" i="1"/>
  <c r="S970" i="1"/>
  <c r="T970" i="1"/>
  <c r="U970" i="1"/>
  <c r="Z970" i="1"/>
  <c r="AA970" i="1"/>
  <c r="B971" i="1"/>
  <c r="D971" i="1"/>
  <c r="G971" i="1"/>
  <c r="I971" i="1"/>
  <c r="K971" i="1"/>
  <c r="Q971" i="1"/>
  <c r="S971" i="1"/>
  <c r="T971" i="1"/>
  <c r="U971" i="1"/>
  <c r="Z971" i="1"/>
  <c r="AA971" i="1"/>
  <c r="B972" i="1"/>
  <c r="D972" i="1"/>
  <c r="G972" i="1"/>
  <c r="I972" i="1"/>
  <c r="K972" i="1"/>
  <c r="Q972" i="1"/>
  <c r="S972" i="1"/>
  <c r="T972" i="1"/>
  <c r="U972" i="1"/>
  <c r="Z972" i="1"/>
  <c r="AA972" i="1"/>
  <c r="B973" i="1"/>
  <c r="D973" i="1"/>
  <c r="G973" i="1"/>
  <c r="I973" i="1"/>
  <c r="K973" i="1"/>
  <c r="Q973" i="1"/>
  <c r="S973" i="1"/>
  <c r="T973" i="1"/>
  <c r="U973" i="1"/>
  <c r="Z973" i="1"/>
  <c r="AA973" i="1"/>
  <c r="B974" i="1"/>
  <c r="D974" i="1"/>
  <c r="G974" i="1"/>
  <c r="I974" i="1"/>
  <c r="K974" i="1"/>
  <c r="Q974" i="1"/>
  <c r="S974" i="1"/>
  <c r="T974" i="1"/>
  <c r="U974" i="1"/>
  <c r="Z974" i="1"/>
  <c r="AA974" i="1"/>
  <c r="B975" i="1"/>
  <c r="D975" i="1"/>
  <c r="G975" i="1"/>
  <c r="I975" i="1"/>
  <c r="K975" i="1"/>
  <c r="Q975" i="1"/>
  <c r="S975" i="1"/>
  <c r="T975" i="1"/>
  <c r="U975" i="1"/>
  <c r="Z975" i="1"/>
  <c r="AA975" i="1"/>
  <c r="B976" i="1"/>
  <c r="D976" i="1"/>
  <c r="G976" i="1"/>
  <c r="I976" i="1"/>
  <c r="K976" i="1"/>
  <c r="Q976" i="1"/>
  <c r="S976" i="1"/>
  <c r="T976" i="1"/>
  <c r="U976" i="1"/>
  <c r="Z976" i="1"/>
  <c r="AA976" i="1"/>
  <c r="B977" i="1"/>
  <c r="D977" i="1"/>
  <c r="G977" i="1"/>
  <c r="I977" i="1"/>
  <c r="K977" i="1"/>
  <c r="Q977" i="1"/>
  <c r="S977" i="1"/>
  <c r="T977" i="1"/>
  <c r="U977" i="1"/>
  <c r="Z977" i="1"/>
  <c r="AA977" i="1"/>
  <c r="B978" i="1"/>
  <c r="D978" i="1"/>
  <c r="G978" i="1"/>
  <c r="I978" i="1"/>
  <c r="K978" i="1"/>
  <c r="Q978" i="1"/>
  <c r="S978" i="1"/>
  <c r="T978" i="1"/>
  <c r="U978" i="1"/>
  <c r="Z978" i="1"/>
  <c r="AA978" i="1"/>
  <c r="B979" i="1"/>
  <c r="D979" i="1"/>
  <c r="G979" i="1"/>
  <c r="I979" i="1"/>
  <c r="K979" i="1"/>
  <c r="Q979" i="1"/>
  <c r="S979" i="1"/>
  <c r="T979" i="1"/>
  <c r="U979" i="1"/>
  <c r="Z979" i="1"/>
  <c r="AA979" i="1"/>
  <c r="B980" i="1"/>
  <c r="D980" i="1"/>
  <c r="G980" i="1"/>
  <c r="I980" i="1"/>
  <c r="K980" i="1"/>
  <c r="Q980" i="1"/>
  <c r="S980" i="1"/>
  <c r="T980" i="1"/>
  <c r="U980" i="1"/>
  <c r="Z980" i="1"/>
  <c r="AA980" i="1"/>
  <c r="B981" i="1"/>
  <c r="D981" i="1"/>
  <c r="G981" i="1"/>
  <c r="I981" i="1"/>
  <c r="K981" i="1"/>
  <c r="Q981" i="1"/>
  <c r="S981" i="1"/>
  <c r="T981" i="1"/>
  <c r="U981" i="1"/>
  <c r="Z981" i="1"/>
  <c r="AA981" i="1"/>
  <c r="B982" i="1"/>
  <c r="D982" i="1"/>
  <c r="G982" i="1"/>
  <c r="I982" i="1"/>
  <c r="K982" i="1"/>
  <c r="Q982" i="1"/>
  <c r="S982" i="1"/>
  <c r="T982" i="1"/>
  <c r="U982" i="1"/>
  <c r="Z982" i="1"/>
  <c r="AA982" i="1"/>
  <c r="B983" i="1"/>
  <c r="D983" i="1"/>
  <c r="G983" i="1"/>
  <c r="I983" i="1"/>
  <c r="K983" i="1"/>
  <c r="Q983" i="1"/>
  <c r="S983" i="1"/>
  <c r="T983" i="1"/>
  <c r="U983" i="1"/>
  <c r="Z983" i="1"/>
  <c r="AA983" i="1"/>
  <c r="B984" i="1"/>
  <c r="D984" i="1"/>
  <c r="G984" i="1"/>
  <c r="I984" i="1"/>
  <c r="K984" i="1"/>
  <c r="Q984" i="1"/>
  <c r="S984" i="1"/>
  <c r="T984" i="1"/>
  <c r="U984" i="1"/>
  <c r="Z984" i="1"/>
  <c r="AA984" i="1"/>
  <c r="B985" i="1"/>
  <c r="D985" i="1"/>
  <c r="G985" i="1"/>
  <c r="I985" i="1"/>
  <c r="K985" i="1"/>
  <c r="Q985" i="1"/>
  <c r="S985" i="1"/>
  <c r="T985" i="1"/>
  <c r="U985" i="1"/>
  <c r="Z985" i="1"/>
  <c r="AA985" i="1"/>
  <c r="B986" i="1"/>
  <c r="D986" i="1"/>
  <c r="G986" i="1"/>
  <c r="I986" i="1"/>
  <c r="K986" i="1"/>
  <c r="Q986" i="1"/>
  <c r="S986" i="1"/>
  <c r="T986" i="1"/>
  <c r="U986" i="1"/>
  <c r="Z986" i="1"/>
  <c r="AA986" i="1"/>
  <c r="B987" i="1"/>
  <c r="D987" i="1"/>
  <c r="G987" i="1"/>
  <c r="I987" i="1"/>
  <c r="K987" i="1"/>
  <c r="Q987" i="1"/>
  <c r="S987" i="1"/>
  <c r="T987" i="1"/>
  <c r="U987" i="1"/>
  <c r="Z987" i="1"/>
  <c r="AA987" i="1"/>
  <c r="B988" i="1"/>
  <c r="D988" i="1"/>
  <c r="G988" i="1"/>
  <c r="I988" i="1"/>
  <c r="K988" i="1"/>
  <c r="Q988" i="1"/>
  <c r="S988" i="1"/>
  <c r="T988" i="1"/>
  <c r="U988" i="1"/>
  <c r="Z988" i="1"/>
  <c r="AA988" i="1"/>
  <c r="B989" i="1"/>
  <c r="D989" i="1"/>
  <c r="G989" i="1"/>
  <c r="I989" i="1"/>
  <c r="K989" i="1"/>
  <c r="Q989" i="1"/>
  <c r="S989" i="1"/>
  <c r="T989" i="1"/>
  <c r="U989" i="1"/>
  <c r="Z989" i="1"/>
  <c r="AA989" i="1"/>
  <c r="B990" i="1"/>
  <c r="D990" i="1"/>
  <c r="G990" i="1"/>
  <c r="I990" i="1"/>
  <c r="K990" i="1"/>
  <c r="Q990" i="1"/>
  <c r="S990" i="1"/>
  <c r="T990" i="1"/>
  <c r="U990" i="1"/>
  <c r="Z990" i="1"/>
  <c r="AA990" i="1"/>
  <c r="B991" i="1"/>
  <c r="D991" i="1"/>
  <c r="G991" i="1"/>
  <c r="I991" i="1"/>
  <c r="K991" i="1"/>
  <c r="Q991" i="1"/>
  <c r="S991" i="1"/>
  <c r="T991" i="1"/>
  <c r="U991" i="1"/>
  <c r="Z991" i="1"/>
  <c r="AA991" i="1"/>
  <c r="B992" i="1"/>
  <c r="D992" i="1"/>
  <c r="G992" i="1"/>
  <c r="I992" i="1"/>
  <c r="K992" i="1"/>
  <c r="Q992" i="1"/>
  <c r="S992" i="1"/>
  <c r="T992" i="1"/>
  <c r="U992" i="1"/>
  <c r="Z992" i="1"/>
  <c r="AA992" i="1"/>
  <c r="B993" i="1"/>
  <c r="D993" i="1"/>
  <c r="G993" i="1"/>
  <c r="I993" i="1"/>
  <c r="K993" i="1"/>
  <c r="Q993" i="1"/>
  <c r="S993" i="1"/>
  <c r="T993" i="1"/>
  <c r="U993" i="1"/>
  <c r="Z993" i="1"/>
  <c r="AA993" i="1"/>
  <c r="B994" i="1"/>
  <c r="D994" i="1"/>
  <c r="G994" i="1"/>
  <c r="I994" i="1"/>
  <c r="K994" i="1"/>
  <c r="Q994" i="1"/>
  <c r="S994" i="1"/>
  <c r="T994" i="1"/>
  <c r="U994" i="1"/>
  <c r="Z994" i="1"/>
  <c r="AA994" i="1"/>
  <c r="B995" i="1"/>
  <c r="D995" i="1"/>
  <c r="G995" i="1"/>
  <c r="I995" i="1"/>
  <c r="K995" i="1"/>
  <c r="Q995" i="1"/>
  <c r="S995" i="1"/>
  <c r="T995" i="1"/>
  <c r="U995" i="1"/>
  <c r="Z995" i="1"/>
  <c r="AA995" i="1"/>
  <c r="B996" i="1"/>
  <c r="D996" i="1"/>
  <c r="G996" i="1"/>
  <c r="I996" i="1"/>
  <c r="K996" i="1"/>
  <c r="Q996" i="1"/>
  <c r="S996" i="1"/>
  <c r="T996" i="1"/>
  <c r="U996" i="1"/>
  <c r="Z996" i="1"/>
  <c r="AA996" i="1"/>
  <c r="B997" i="1"/>
  <c r="D997" i="1"/>
  <c r="G997" i="1"/>
  <c r="I997" i="1"/>
  <c r="K997" i="1"/>
  <c r="Q997" i="1"/>
  <c r="S997" i="1"/>
  <c r="T997" i="1"/>
  <c r="U997" i="1"/>
  <c r="Z997" i="1"/>
  <c r="AA997" i="1"/>
  <c r="B998" i="1"/>
  <c r="D998" i="1"/>
  <c r="G998" i="1"/>
  <c r="I998" i="1"/>
  <c r="K998" i="1"/>
  <c r="Q998" i="1"/>
  <c r="S998" i="1"/>
  <c r="T998" i="1"/>
  <c r="U998" i="1"/>
  <c r="Z998" i="1"/>
  <c r="AA998" i="1"/>
  <c r="B999" i="1"/>
  <c r="D999" i="1"/>
  <c r="G999" i="1"/>
  <c r="I999" i="1"/>
  <c r="K999" i="1"/>
  <c r="Q999" i="1"/>
  <c r="S999" i="1"/>
  <c r="T999" i="1"/>
  <c r="U999" i="1"/>
  <c r="Z999" i="1"/>
  <c r="AA999" i="1"/>
  <c r="B1000" i="1"/>
  <c r="D1000" i="1"/>
  <c r="G1000" i="1"/>
  <c r="I1000" i="1"/>
  <c r="K1000" i="1"/>
  <c r="Q1000" i="1"/>
  <c r="S1000" i="1"/>
  <c r="T1000" i="1"/>
  <c r="U1000" i="1"/>
  <c r="Z1000" i="1"/>
  <c r="AA1000" i="1"/>
  <c r="AA49" i="1"/>
  <c r="K49" i="1"/>
  <c r="G49" i="1"/>
  <c r="D49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P4" i="1"/>
  <c r="G38" i="1"/>
  <c r="G39" i="1"/>
  <c r="G40" i="1"/>
  <c r="G41" i="1"/>
  <c r="G42" i="1"/>
  <c r="G43" i="1"/>
  <c r="G44" i="1"/>
  <c r="G45" i="1"/>
  <c r="G46" i="1"/>
  <c r="G47" i="1"/>
  <c r="G48" i="1"/>
  <c r="E8" i="1"/>
  <c r="D48" i="1"/>
  <c r="D47" i="1"/>
  <c r="K48" i="1"/>
  <c r="K47" i="1"/>
  <c r="K46" i="1"/>
  <c r="K45" i="1"/>
  <c r="K44" i="1"/>
  <c r="K43" i="1"/>
  <c r="K42" i="1"/>
  <c r="K41" i="1"/>
  <c r="K40" i="1"/>
  <c r="K39" i="1"/>
  <c r="K38" i="1"/>
  <c r="K37" i="1"/>
  <c r="H4" i="1"/>
  <c r="H5" i="1"/>
  <c r="H6" i="1"/>
  <c r="H7" i="1"/>
  <c r="G37" i="1"/>
</calcChain>
</file>

<file path=xl/sharedStrings.xml><?xml version="1.0" encoding="utf-8"?>
<sst xmlns="http://schemas.openxmlformats.org/spreadsheetml/2006/main" count="88" uniqueCount="74">
  <si>
    <t>Stock</t>
  </si>
  <si>
    <t>Value Date</t>
  </si>
  <si>
    <t>Expiry - Date</t>
  </si>
  <si>
    <t>Option type</t>
  </si>
  <si>
    <t>Spot</t>
  </si>
  <si>
    <t>Strike</t>
  </si>
  <si>
    <t>Volatility</t>
  </si>
  <si>
    <t>Domestic Rate</t>
  </si>
  <si>
    <t>Div. Yield</t>
  </si>
  <si>
    <t>d1</t>
  </si>
  <si>
    <t>d2</t>
  </si>
  <si>
    <t>Delta</t>
  </si>
  <si>
    <t>Vega 1%</t>
  </si>
  <si>
    <t>Theta 1-day</t>
  </si>
  <si>
    <t>P&amp;L</t>
  </si>
  <si>
    <t>Sharpe ratio</t>
  </si>
  <si>
    <t>Date</t>
  </si>
  <si>
    <t>Mkt Value</t>
  </si>
  <si>
    <t>Gamma 1%</t>
  </si>
  <si>
    <t>Option PV</t>
  </si>
  <si>
    <t>T remaining</t>
  </si>
  <si>
    <t>Reserved for calculations:</t>
  </si>
  <si>
    <t>S_T</t>
  </si>
  <si>
    <t>n_dates</t>
  </si>
  <si>
    <t>max S</t>
  </si>
  <si>
    <t>min S</t>
  </si>
  <si>
    <t>Expiry (in years or exact date)</t>
  </si>
  <si>
    <t>Realised vol on sample path</t>
  </si>
  <si>
    <t>Option Multiplier</t>
  </si>
  <si>
    <t>Delta Qty</t>
  </si>
  <si>
    <t>Option Qty</t>
  </si>
  <si>
    <t>Option Pos</t>
  </si>
  <si>
    <t>Delta Pos</t>
  </si>
  <si>
    <t>Opt Trd Px</t>
  </si>
  <si>
    <t>Delta P&amp;L</t>
  </si>
  <si>
    <t>Option P&amp;L</t>
  </si>
  <si>
    <t>Total P&amp;L</t>
  </si>
  <si>
    <t>Strategy</t>
  </si>
  <si>
    <t>Long Margin</t>
  </si>
  <si>
    <t>Short Margin</t>
  </si>
  <si>
    <t>Strat Norm'd</t>
  </si>
  <si>
    <t>Log Rets</t>
  </si>
  <si>
    <t>Strat</t>
  </si>
  <si>
    <t>Period Perf</t>
  </si>
  <si>
    <t>Ann. Vol</t>
  </si>
  <si>
    <t>Vol for spot simulation</t>
  </si>
  <si>
    <t>max strat</t>
  </si>
  <si>
    <t>min strat</t>
  </si>
  <si>
    <t>Breakeven</t>
  </si>
  <si>
    <t>PV Call</t>
  </si>
  <si>
    <t>PV Put</t>
  </si>
  <si>
    <t>Delta Call</t>
  </si>
  <si>
    <t>Delta Put</t>
  </si>
  <si>
    <t>Initial Margin</t>
  </si>
  <si>
    <t>1 EUR delta</t>
  </si>
  <si>
    <t>C11350</t>
  </si>
  <si>
    <t>C11300</t>
  </si>
  <si>
    <t>Fut</t>
  </si>
  <si>
    <t>FX</t>
  </si>
  <si>
    <t>Qty</t>
  </si>
  <si>
    <t>Net Delta:</t>
  </si>
  <si>
    <t>Entry Px</t>
  </si>
  <si>
    <t>Current Px</t>
  </si>
  <si>
    <t>PnL</t>
  </si>
  <si>
    <t>Multiplier:</t>
  </si>
  <si>
    <t>Net PnL:</t>
  </si>
  <si>
    <t>Type</t>
  </si>
  <si>
    <t>UAA</t>
  </si>
  <si>
    <t>C</t>
  </si>
  <si>
    <t>Gamma PnL</t>
  </si>
  <si>
    <t>Vega PnL</t>
  </si>
  <si>
    <t>Theta PnL</t>
  </si>
  <si>
    <t>Theta days</t>
  </si>
  <si>
    <t>Unexplained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</si>
</sst>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[$-409]dd\-mmm\-yy;@"/>
    <numFmt numFmtId="165" formatCode="0.000"/>
    <numFmt numFmtId="166" formatCode="0.0000"/>
    <numFmt numFmtId="167" formatCode="0.0%"/>
    <numFmt numFmtId="168" formatCode="_-* #,##0_-;\-* #,##0_-;_-* &quot;-&quot;??_-;_-@_-"/>
    <numFmt numFmtId="169" formatCode="0.00_ ;\-0.00\ "/>
    <numFmt numFmtId="170" formatCode="0.00000"/>
    <numFmt numFmtId="171" formatCode="0.0"/>
    <numFmt numFmtId="172" formatCode="_(* #,##0_);_(* \(#,##0\);_(* &quot;-&quot;??_);_(@_)"/>
    <numFmt numFmtId="173" formatCode="#,##0.000"/>
    <numFmt numFmtId="174" formatCode="#,##0.0000"/>
    <numFmt numFmtId="178" formatCode="_(* #,##0.00000_);_(* \(#,##0.00000\);_(* &quot;-&quot;??_);_(@_)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u/>
      <sz val="12"/>
      <color theme="1"/>
      <name val="Calibri"/>
      <family val="2"/>
      <scheme val="minor"/>
    </font>
    <font>
      <sz val="12"/>
      <color rgb="FF000000"/>
      <name val="Lucida Grande"/>
      <family val="2"/>
    </font>
  </fonts>
  <fills count="11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8">
    <xf numFmtId="0" fontId="0" fillId="0" borderId="0" xfId="0"/>
    <xf numFmtId="0" fontId="3" fillId="2" borderId="0" xfId="0" applyFont="1" applyFill="1" applyAlignment="1">
      <alignment horizontal="right" vertical="center"/>
    </xf>
    <xf numFmtId="0" fontId="0" fillId="4" borderId="0" xfId="0" applyFill="1"/>
    <xf numFmtId="0" fontId="0" fillId="4" borderId="0" xfId="0" applyFill="1" applyAlignment="1">
      <alignment horizontal="right"/>
    </xf>
    <xf numFmtId="0" fontId="0" fillId="4" borderId="1" xfId="0" applyFill="1" applyBorder="1"/>
    <xf numFmtId="0" fontId="0" fillId="4" borderId="2" xfId="0" applyFill="1" applyBorder="1"/>
    <xf numFmtId="0" fontId="0" fillId="4" borderId="0" xfId="0" applyFont="1" applyFill="1" applyBorder="1" applyAlignment="1">
      <alignment horizontal="right"/>
    </xf>
    <xf numFmtId="1" fontId="0" fillId="4" borderId="0" xfId="0" applyNumberFormat="1" applyFill="1"/>
    <xf numFmtId="9" fontId="0" fillId="4" borderId="0" xfId="0" applyNumberForma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4" borderId="1" xfId="0" applyFill="1" applyBorder="1" applyAlignment="1">
      <alignment horizontal="right"/>
    </xf>
    <xf numFmtId="0" fontId="0" fillId="4" borderId="0" xfId="0" applyFill="1" applyBorder="1" applyAlignment="1">
      <alignment horizontal="right"/>
    </xf>
    <xf numFmtId="0" fontId="3" fillId="2" borderId="3" xfId="0" applyFont="1" applyFill="1" applyBorder="1" applyAlignment="1">
      <alignment horizontal="right" vertical="center"/>
    </xf>
    <xf numFmtId="0" fontId="3" fillId="2" borderId="4" xfId="0" applyFont="1" applyFill="1" applyBorder="1" applyAlignment="1">
      <alignment horizontal="right" vertical="center"/>
    </xf>
    <xf numFmtId="3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3" fillId="2" borderId="5" xfId="0" applyFont="1" applyFill="1" applyBorder="1" applyAlignment="1">
      <alignment horizontal="right" vertical="center"/>
    </xf>
    <xf numFmtId="0" fontId="2" fillId="4" borderId="0" xfId="0" applyFont="1" applyFill="1" applyAlignment="1">
      <alignment horizontal="center"/>
    </xf>
    <xf numFmtId="0" fontId="5" fillId="4" borderId="9" xfId="0" applyFont="1" applyFill="1" applyBorder="1"/>
    <xf numFmtId="0" fontId="0" fillId="0" borderId="1" xfId="0" applyBorder="1"/>
    <xf numFmtId="0" fontId="0" fillId="4" borderId="10" xfId="0" applyFill="1" applyBorder="1"/>
    <xf numFmtId="0" fontId="0" fillId="4" borderId="11" xfId="0" applyFill="1" applyBorder="1"/>
    <xf numFmtId="0" fontId="0" fillId="4" borderId="0" xfId="0" applyFill="1" applyBorder="1"/>
    <xf numFmtId="0" fontId="0" fillId="4" borderId="12" xfId="0" applyFill="1" applyBorder="1"/>
    <xf numFmtId="0" fontId="0" fillId="4" borderId="11" xfId="0" applyFill="1" applyBorder="1" applyAlignment="1">
      <alignment horizontal="right"/>
    </xf>
    <xf numFmtId="164" fontId="0" fillId="4" borderId="0" xfId="0" applyNumberFormat="1" applyFill="1" applyBorder="1"/>
    <xf numFmtId="2" fontId="0" fillId="4" borderId="0" xfId="0" applyNumberFormat="1" applyFill="1" applyBorder="1"/>
    <xf numFmtId="168" fontId="0" fillId="4" borderId="0" xfId="1" applyNumberFormat="1" applyFont="1" applyFill="1" applyBorder="1"/>
    <xf numFmtId="169" fontId="0" fillId="4" borderId="0" xfId="0" applyNumberFormat="1" applyFill="1" applyBorder="1"/>
    <xf numFmtId="0" fontId="0" fillId="4" borderId="13" xfId="0" applyFill="1" applyBorder="1" applyAlignment="1">
      <alignment horizontal="right"/>
    </xf>
    <xf numFmtId="0" fontId="0" fillId="4" borderId="14" xfId="0" applyFill="1" applyBorder="1"/>
    <xf numFmtId="15" fontId="0" fillId="3" borderId="0" xfId="0" applyNumberFormat="1" applyFill="1" applyAlignment="1">
      <alignment horizontal="center"/>
    </xf>
    <xf numFmtId="0" fontId="2" fillId="4" borderId="0" xfId="0" applyFont="1" applyFill="1" applyAlignment="1"/>
    <xf numFmtId="0" fontId="0" fillId="4" borderId="0" xfId="0" applyFill="1" applyAlignment="1"/>
    <xf numFmtId="0" fontId="4" fillId="4" borderId="0" xfId="0" applyFont="1" applyFill="1"/>
    <xf numFmtId="170" fontId="0" fillId="4" borderId="0" xfId="0" applyNumberFormat="1" applyFill="1"/>
    <xf numFmtId="166" fontId="0" fillId="4" borderId="0" xfId="0" applyNumberFormat="1" applyFill="1"/>
    <xf numFmtId="2" fontId="0" fillId="4" borderId="0" xfId="0" applyNumberFormat="1" applyFill="1"/>
    <xf numFmtId="3" fontId="0" fillId="4" borderId="0" xfId="0" applyNumberFormat="1" applyFill="1"/>
    <xf numFmtId="10" fontId="2" fillId="5" borderId="0" xfId="0" applyNumberFormat="1" applyFont="1" applyFill="1" applyAlignment="1">
      <alignment horizontal="center"/>
    </xf>
    <xf numFmtId="15" fontId="2" fillId="5" borderId="0" xfId="0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38" fontId="0" fillId="5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5" fontId="0" fillId="4" borderId="12" xfId="0" applyNumberFormat="1" applyFill="1" applyBorder="1"/>
    <xf numFmtId="15" fontId="0" fillId="4" borderId="10" xfId="0" applyNumberFormat="1" applyFill="1" applyBorder="1"/>
    <xf numFmtId="38" fontId="0" fillId="5" borderId="9" xfId="0" applyNumberFormat="1" applyFill="1" applyBorder="1" applyAlignment="1">
      <alignment horizontal="center"/>
    </xf>
    <xf numFmtId="38" fontId="0" fillId="4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166" fontId="2" fillId="4" borderId="0" xfId="0" applyNumberFormat="1" applyFont="1" applyFill="1" applyBorder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3" fontId="0" fillId="4" borderId="1" xfId="0" applyNumberFormat="1" applyFill="1" applyBorder="1" applyAlignment="1">
      <alignment horizontal="center"/>
    </xf>
    <xf numFmtId="173" fontId="0" fillId="4" borderId="0" xfId="1" applyNumberFormat="1" applyFont="1" applyFill="1" applyBorder="1" applyAlignment="1">
      <alignment horizontal="center"/>
    </xf>
    <xf numFmtId="3" fontId="0" fillId="7" borderId="0" xfId="0" applyNumberFormat="1" applyFill="1" applyBorder="1" applyAlignment="1">
      <alignment horizontal="center"/>
    </xf>
    <xf numFmtId="165" fontId="2" fillId="5" borderId="11" xfId="0" applyNumberFormat="1" applyFont="1" applyFill="1" applyBorder="1" applyAlignment="1">
      <alignment horizontal="center"/>
    </xf>
    <xf numFmtId="167" fontId="2" fillId="8" borderId="7" xfId="2" applyNumberFormat="1" applyFont="1" applyFill="1" applyBorder="1" applyAlignment="1">
      <alignment horizontal="center" vertical="center"/>
    </xf>
    <xf numFmtId="38" fontId="2" fillId="8" borderId="6" xfId="1" applyNumberFormat="1" applyFont="1" applyFill="1" applyBorder="1" applyAlignment="1">
      <alignment horizontal="center" vertical="center"/>
    </xf>
    <xf numFmtId="40" fontId="2" fillId="8" borderId="8" xfId="1" applyNumberFormat="1" applyFont="1" applyFill="1" applyBorder="1" applyAlignment="1">
      <alignment horizontal="center" vertical="center"/>
    </xf>
    <xf numFmtId="0" fontId="3" fillId="4" borderId="0" xfId="0" applyFont="1" applyFill="1" applyAlignment="1">
      <alignment horizontal="right" vertical="center"/>
    </xf>
    <xf numFmtId="166" fontId="0" fillId="4" borderId="0" xfId="0" applyNumberFormat="1" applyFont="1" applyFill="1" applyAlignment="1">
      <alignment horizontal="center"/>
    </xf>
    <xf numFmtId="3" fontId="2" fillId="8" borderId="1" xfId="0" applyNumberFormat="1" applyFont="1" applyFill="1" applyBorder="1" applyAlignment="1">
      <alignment horizontal="center"/>
    </xf>
    <xf numFmtId="3" fontId="2" fillId="8" borderId="0" xfId="0" applyNumberFormat="1" applyFont="1" applyFill="1" applyAlignment="1">
      <alignment horizontal="center"/>
    </xf>
    <xf numFmtId="9" fontId="2" fillId="5" borderId="0" xfId="2" applyFont="1" applyFill="1" applyAlignment="1">
      <alignment horizontal="center"/>
    </xf>
    <xf numFmtId="0" fontId="0" fillId="4" borderId="1" xfId="0" applyFill="1" applyBorder="1" applyAlignment="1">
      <alignment horizontal="center"/>
    </xf>
    <xf numFmtId="9" fontId="0" fillId="4" borderId="0" xfId="2" applyFont="1" applyFill="1"/>
    <xf numFmtId="3" fontId="2" fillId="8" borderId="9" xfId="0" applyNumberFormat="1" applyFont="1" applyFill="1" applyBorder="1" applyAlignment="1">
      <alignment horizontal="center"/>
    </xf>
    <xf numFmtId="3" fontId="2" fillId="8" borderId="11" xfId="0" applyNumberFormat="1" applyFont="1" applyFill="1" applyBorder="1" applyAlignment="1">
      <alignment horizontal="center"/>
    </xf>
    <xf numFmtId="3" fontId="0" fillId="4" borderId="0" xfId="0" applyNumberFormat="1" applyFill="1" applyBorder="1" applyAlignment="1">
      <alignment horizontal="center"/>
    </xf>
    <xf numFmtId="167" fontId="0" fillId="4" borderId="0" xfId="2" applyNumberFormat="1" applyFont="1" applyFill="1" applyBorder="1" applyAlignment="1">
      <alignment horizontal="center"/>
    </xf>
    <xf numFmtId="171" fontId="0" fillId="4" borderId="10" xfId="0" applyNumberFormat="1" applyFill="1" applyBorder="1" applyAlignment="1">
      <alignment horizontal="center"/>
    </xf>
    <xf numFmtId="171" fontId="0" fillId="4" borderId="12" xfId="0" applyNumberFormat="1" applyFill="1" applyBorder="1" applyAlignment="1">
      <alignment horizontal="center"/>
    </xf>
    <xf numFmtId="15" fontId="0" fillId="4" borderId="0" xfId="0" applyNumberFormat="1" applyFill="1" applyBorder="1"/>
    <xf numFmtId="10" fontId="0" fillId="4" borderId="0" xfId="0" applyNumberFormat="1" applyFill="1"/>
    <xf numFmtId="0" fontId="3" fillId="4" borderId="0" xfId="0" applyFont="1" applyFill="1" applyBorder="1" applyAlignment="1">
      <alignment horizontal="right" vertical="center"/>
    </xf>
    <xf numFmtId="38" fontId="2" fillId="4" borderId="0" xfId="1" applyNumberFormat="1" applyFont="1" applyFill="1" applyBorder="1" applyAlignment="1">
      <alignment horizontal="center" vertical="center"/>
    </xf>
    <xf numFmtId="167" fontId="2" fillId="4" borderId="0" xfId="2" applyNumberFormat="1" applyFont="1" applyFill="1" applyBorder="1" applyAlignment="1">
      <alignment horizontal="center" vertical="center"/>
    </xf>
    <xf numFmtId="40" fontId="2" fillId="4" borderId="0" xfId="1" applyNumberFormat="1" applyFont="1" applyFill="1" applyBorder="1" applyAlignment="1">
      <alignment horizontal="center" vertical="center"/>
    </xf>
    <xf numFmtId="10" fontId="2" fillId="4" borderId="0" xfId="2" applyNumberFormat="1" applyFont="1" applyFill="1" applyAlignment="1">
      <alignment vertical="center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165" fontId="0" fillId="4" borderId="10" xfId="0" applyNumberFormat="1" applyFill="1" applyBorder="1"/>
    <xf numFmtId="165" fontId="0" fillId="4" borderId="12" xfId="0" applyNumberFormat="1" applyFill="1" applyBorder="1"/>
    <xf numFmtId="171" fontId="0" fillId="4" borderId="2" xfId="0" applyNumberFormat="1" applyFill="1" applyBorder="1"/>
    <xf numFmtId="3" fontId="0" fillId="4" borderId="10" xfId="0" applyNumberFormat="1" applyFill="1" applyBorder="1" applyAlignment="1">
      <alignment horizontal="center"/>
    </xf>
    <xf numFmtId="3" fontId="0" fillId="4" borderId="14" xfId="0" applyNumberFormat="1" applyFill="1" applyBorder="1" applyAlignment="1">
      <alignment horizontal="center"/>
    </xf>
    <xf numFmtId="0" fontId="4" fillId="4" borderId="9" xfId="0" applyFont="1" applyFill="1" applyBorder="1" applyAlignment="1">
      <alignment horizontal="right"/>
    </xf>
    <xf numFmtId="0" fontId="4" fillId="4" borderId="13" xfId="0" applyFont="1" applyFill="1" applyBorder="1" applyAlignment="1">
      <alignment horizontal="right"/>
    </xf>
    <xf numFmtId="172" fontId="0" fillId="4" borderId="0" xfId="1" applyNumberFormat="1" applyFont="1" applyFill="1"/>
    <xf numFmtId="37" fontId="2" fillId="5" borderId="0" xfId="1" applyNumberFormat="1" applyFont="1" applyFill="1" applyAlignment="1">
      <alignment horizontal="center"/>
    </xf>
    <xf numFmtId="166" fontId="2" fillId="5" borderId="0" xfId="0" applyNumberFormat="1" applyFont="1" applyFill="1" applyAlignment="1">
      <alignment horizontal="center"/>
    </xf>
    <xf numFmtId="166" fontId="0" fillId="4" borderId="1" xfId="0" applyNumberFormat="1" applyFill="1" applyBorder="1" applyAlignment="1">
      <alignment horizontal="center"/>
    </xf>
    <xf numFmtId="166" fontId="0" fillId="4" borderId="9" xfId="0" applyNumberFormat="1" applyFill="1" applyBorder="1" applyAlignment="1">
      <alignment horizontal="center"/>
    </xf>
    <xf numFmtId="166" fontId="0" fillId="4" borderId="11" xfId="0" applyNumberFormat="1" applyFill="1" applyBorder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38" fontId="0" fillId="4" borderId="0" xfId="0" applyNumberFormat="1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174" fontId="0" fillId="4" borderId="1" xfId="1" applyNumberFormat="1" applyFont="1" applyFill="1" applyBorder="1" applyAlignment="1">
      <alignment horizontal="center"/>
    </xf>
    <xf numFmtId="174" fontId="0" fillId="4" borderId="0" xfId="1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right" vertical="center"/>
    </xf>
    <xf numFmtId="37" fontId="2" fillId="8" borderId="0" xfId="1" applyNumberFormat="1" applyFont="1" applyFill="1" applyBorder="1" applyAlignment="1">
      <alignment horizontal="center" vertical="center"/>
    </xf>
    <xf numFmtId="172" fontId="0" fillId="4" borderId="0" xfId="0" applyNumberFormat="1" applyFill="1"/>
    <xf numFmtId="0" fontId="2" fillId="4" borderId="0" xfId="0" applyFont="1" applyFill="1" applyAlignment="1">
      <alignment horizontal="right"/>
    </xf>
    <xf numFmtId="10" fontId="2" fillId="9" borderId="0" xfId="2" applyNumberFormat="1" applyFont="1" applyFill="1" applyAlignment="1">
      <alignment horizontal="center" vertical="center"/>
    </xf>
    <xf numFmtId="10" fontId="2" fillId="5" borderId="0" xfId="2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43" fontId="0" fillId="4" borderId="0" xfId="1" applyNumberFormat="1" applyFont="1" applyFill="1"/>
    <xf numFmtId="178" fontId="0" fillId="4" borderId="0" xfId="1" applyNumberFormat="1" applyFont="1" applyFill="1"/>
    <xf numFmtId="38" fontId="0" fillId="4" borderId="0" xfId="1" applyNumberFormat="1" applyFont="1" applyFill="1" applyAlignment="1">
      <alignment horizontal="center"/>
    </xf>
    <xf numFmtId="172" fontId="0" fillId="4" borderId="0" xfId="1" applyNumberFormat="1" applyFont="1" applyFill="1" applyAlignment="1">
      <alignment horizontal="center"/>
    </xf>
    <xf numFmtId="178" fontId="0" fillId="10" borderId="0" xfId="1" applyNumberFormat="1" applyFont="1" applyFill="1"/>
    <xf numFmtId="165" fontId="0" fillId="4" borderId="0" xfId="0" applyNumberFormat="1" applyFill="1"/>
    <xf numFmtId="178" fontId="0" fillId="6" borderId="0" xfId="1" applyNumberFormat="1" applyFont="1" applyFill="1"/>
    <xf numFmtId="172" fontId="0" fillId="4" borderId="1" xfId="1" applyNumberFormat="1" applyFont="1" applyFill="1" applyBorder="1"/>
    <xf numFmtId="178" fontId="0" fillId="6" borderId="1" xfId="1" applyNumberFormat="1" applyFont="1" applyFill="1" applyBorder="1"/>
    <xf numFmtId="38" fontId="0" fillId="4" borderId="1" xfId="1" applyNumberFormat="1" applyFont="1" applyFill="1" applyBorder="1" applyAlignment="1">
      <alignment horizontal="center"/>
    </xf>
    <xf numFmtId="165" fontId="0" fillId="4" borderId="1" xfId="0" applyNumberFormat="1" applyFill="1" applyBorder="1"/>
    <xf numFmtId="172" fontId="0" fillId="4" borderId="1" xfId="0" applyNumberFormat="1" applyFill="1" applyBorder="1"/>
    <xf numFmtId="170" fontId="2" fillId="5" borderId="9" xfId="0" applyNumberFormat="1" applyFont="1" applyFill="1" applyBorder="1" applyAlignment="1">
      <alignment horizontal="center"/>
    </xf>
    <xf numFmtId="1" fontId="4" fillId="4" borderId="0" xfId="0" applyNumberFormat="1" applyFont="1" applyFill="1"/>
    <xf numFmtId="15" fontId="0" fillId="4" borderId="0" xfId="0" applyNumberFormat="1" applyFill="1"/>
    <xf numFmtId="38" fontId="0" fillId="4" borderId="10" xfId="0" applyNumberFormat="1" applyFill="1" applyBorder="1" applyAlignment="1">
      <alignment horizontal="center"/>
    </xf>
    <xf numFmtId="38" fontId="0" fillId="4" borderId="12" xfId="0" applyNumberFormat="1" applyFill="1" applyBorder="1" applyAlignment="1">
      <alignment horizontal="center"/>
    </xf>
    <xf numFmtId="10" fontId="0" fillId="4" borderId="0" xfId="2" applyNumberFormat="1" applyFont="1" applyFill="1"/>
    <xf numFmtId="1" fontId="0" fillId="4" borderId="0" xfId="0" applyNumberFormat="1" applyFont="1" applyFill="1"/>
    <xf numFmtId="178" fontId="0" fillId="10" borderId="1" xfId="1" applyNumberFormat="1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566386098289438"/>
          <c:y val="0.0734464657435062"/>
          <c:w val="0.760392099528673"/>
          <c:h val="0.681427278486741"/>
        </c:manualLayout>
      </c:layout>
      <c:lineChart>
        <c:grouping val="standard"/>
        <c:varyColors val="0"/>
        <c:ser>
          <c:idx val="0"/>
          <c:order val="0"/>
          <c:tx>
            <c:strRef>
              <c:f>Trade1!$T$35</c:f>
              <c:strCache>
                <c:ptCount val="1"/>
                <c:pt idx="0">
                  <c:v>Strategy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Trade1!$A$36:$A$1000</c:f>
              <c:numCache>
                <c:formatCode>d\-mmm\-yy</c:formatCode>
                <c:ptCount val="965"/>
                <c:pt idx="0">
                  <c:v>43501.0</c:v>
                </c:pt>
                <c:pt idx="1">
                  <c:v>43502.0</c:v>
                </c:pt>
                <c:pt idx="2">
                  <c:v>43503.0</c:v>
                </c:pt>
                <c:pt idx="3">
                  <c:v>43504.0</c:v>
                </c:pt>
                <c:pt idx="4">
                  <c:v>43507.0</c:v>
                </c:pt>
                <c:pt idx="5">
                  <c:v>43508.0</c:v>
                </c:pt>
                <c:pt idx="6">
                  <c:v>43509.0</c:v>
                </c:pt>
                <c:pt idx="7">
                  <c:v>43510.0</c:v>
                </c:pt>
                <c:pt idx="8">
                  <c:v>43511.0</c:v>
                </c:pt>
              </c:numCache>
            </c:numRef>
          </c:cat>
          <c:val>
            <c:numRef>
              <c:f>Trade1!$V$36:$V$1000</c:f>
              <c:numCache>
                <c:formatCode>0.0</c:formatCode>
                <c:ptCount val="965"/>
                <c:pt idx="0">
                  <c:v>100.0</c:v>
                </c:pt>
                <c:pt idx="1">
                  <c:v>103.5340577081145</c:v>
                </c:pt>
                <c:pt idx="2">
                  <c:v>104.0101050333431</c:v>
                </c:pt>
                <c:pt idx="3">
                  <c:v>102.989589414252</c:v>
                </c:pt>
                <c:pt idx="4">
                  <c:v>99.29678163688628</c:v>
                </c:pt>
                <c:pt idx="5">
                  <c:v>98.80045746187483</c:v>
                </c:pt>
                <c:pt idx="6">
                  <c:v>99.35873119007378</c:v>
                </c:pt>
                <c:pt idx="7">
                  <c:v>99.33556114825289</c:v>
                </c:pt>
                <c:pt idx="8">
                  <c:v>99.33182785267387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</c:numCache>
            </c:numRef>
          </c:val>
          <c:smooth val="0"/>
        </c:ser>
        <c:ser>
          <c:idx val="2"/>
          <c:order val="2"/>
          <c:tx>
            <c:v>Breakeven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Trade1!$A$36:$A$1000</c:f>
              <c:numCache>
                <c:formatCode>d\-mmm\-yy</c:formatCode>
                <c:ptCount val="965"/>
                <c:pt idx="0">
                  <c:v>43501.0</c:v>
                </c:pt>
                <c:pt idx="1">
                  <c:v>43502.0</c:v>
                </c:pt>
                <c:pt idx="2">
                  <c:v>43503.0</c:v>
                </c:pt>
                <c:pt idx="3">
                  <c:v>43504.0</c:v>
                </c:pt>
                <c:pt idx="4">
                  <c:v>43507.0</c:v>
                </c:pt>
                <c:pt idx="5">
                  <c:v>43508.0</c:v>
                </c:pt>
                <c:pt idx="6">
                  <c:v>43509.0</c:v>
                </c:pt>
                <c:pt idx="7">
                  <c:v>43510.0</c:v>
                </c:pt>
                <c:pt idx="8">
                  <c:v>43511.0</c:v>
                </c:pt>
              </c:numCache>
            </c:numRef>
          </c:cat>
          <c:val>
            <c:numRef>
              <c:f>Trade1!$W$36:$W$1000</c:f>
              <c:numCache>
                <c:formatCode>General</c:formatCode>
                <c:ptCount val="965"/>
                <c:pt idx="0">
                  <c:v>100.0</c:v>
                </c:pt>
                <c:pt idx="1">
                  <c:v>100.0</c:v>
                </c:pt>
                <c:pt idx="2">
                  <c:v>100.0</c:v>
                </c:pt>
                <c:pt idx="3">
                  <c:v>100.0</c:v>
                </c:pt>
                <c:pt idx="4">
                  <c:v>100.0</c:v>
                </c:pt>
                <c:pt idx="5">
                  <c:v>100.0</c:v>
                </c:pt>
                <c:pt idx="6">
                  <c:v>100.0</c:v>
                </c:pt>
                <c:pt idx="7">
                  <c:v>100.0</c:v>
                </c:pt>
                <c:pt idx="8">
                  <c:v>100.0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9758912"/>
        <c:axId val="1799760688"/>
      </c:lineChart>
      <c:lineChart>
        <c:grouping val="standard"/>
        <c:varyColors val="0"/>
        <c:ser>
          <c:idx val="1"/>
          <c:order val="1"/>
          <c:tx>
            <c:strRef>
              <c:f>Trade1!$E$35</c:f>
              <c:strCache>
                <c:ptCount val="1"/>
                <c:pt idx="0">
                  <c:v>Spot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Trade1!$A$36:$A$1000</c:f>
              <c:numCache>
                <c:formatCode>d\-mmm\-yy</c:formatCode>
                <c:ptCount val="965"/>
                <c:pt idx="0">
                  <c:v>43501.0</c:v>
                </c:pt>
                <c:pt idx="1">
                  <c:v>43502.0</c:v>
                </c:pt>
                <c:pt idx="2">
                  <c:v>43503.0</c:v>
                </c:pt>
                <c:pt idx="3">
                  <c:v>43504.0</c:v>
                </c:pt>
                <c:pt idx="4">
                  <c:v>43507.0</c:v>
                </c:pt>
                <c:pt idx="5">
                  <c:v>43508.0</c:v>
                </c:pt>
                <c:pt idx="6">
                  <c:v>43509.0</c:v>
                </c:pt>
                <c:pt idx="7">
                  <c:v>43510.0</c:v>
                </c:pt>
                <c:pt idx="8">
                  <c:v>43511.0</c:v>
                </c:pt>
              </c:numCache>
            </c:numRef>
          </c:cat>
          <c:val>
            <c:numRef>
              <c:f>Trade1!$E$36:$E$1000</c:f>
              <c:numCache>
                <c:formatCode>0.000</c:formatCode>
                <c:ptCount val="965"/>
                <c:pt idx="0">
                  <c:v>20.28</c:v>
                </c:pt>
                <c:pt idx="1">
                  <c:v>19.13374001418618</c:v>
                </c:pt>
                <c:pt idx="2">
                  <c:v>18.44440082442865</c:v>
                </c:pt>
                <c:pt idx="3">
                  <c:v>18.78555751993716</c:v>
                </c:pt>
                <c:pt idx="4">
                  <c:v>18.6814926515139</c:v>
                </c:pt>
                <c:pt idx="5">
                  <c:v>18.38658845176857</c:v>
                </c:pt>
                <c:pt idx="6">
                  <c:v>17.60359858255958</c:v>
                </c:pt>
                <c:pt idx="7">
                  <c:v>17.98277872645702</c:v>
                </c:pt>
                <c:pt idx="8">
                  <c:v>19.08740393110335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Trade1!$X$35</c:f>
              <c:strCache>
                <c:ptCount val="1"/>
                <c:pt idx="0">
                  <c:v>Strike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Trade1!$A$36:$A$1000</c:f>
              <c:numCache>
                <c:formatCode>d\-mmm\-yy</c:formatCode>
                <c:ptCount val="965"/>
                <c:pt idx="0">
                  <c:v>43501.0</c:v>
                </c:pt>
                <c:pt idx="1">
                  <c:v>43502.0</c:v>
                </c:pt>
                <c:pt idx="2">
                  <c:v>43503.0</c:v>
                </c:pt>
                <c:pt idx="3">
                  <c:v>43504.0</c:v>
                </c:pt>
                <c:pt idx="4">
                  <c:v>43507.0</c:v>
                </c:pt>
                <c:pt idx="5">
                  <c:v>43508.0</c:v>
                </c:pt>
                <c:pt idx="6">
                  <c:v>43509.0</c:v>
                </c:pt>
                <c:pt idx="7">
                  <c:v>43510.0</c:v>
                </c:pt>
                <c:pt idx="8">
                  <c:v>43511.0</c:v>
                </c:pt>
              </c:numCache>
            </c:numRef>
          </c:cat>
          <c:val>
            <c:numRef>
              <c:f>Trade1!$X$36:$X$1000</c:f>
              <c:numCache>
                <c:formatCode>General</c:formatCode>
                <c:ptCount val="965"/>
                <c:pt idx="0">
                  <c:v>20.5</c:v>
                </c:pt>
                <c:pt idx="1">
                  <c:v>20.5</c:v>
                </c:pt>
                <c:pt idx="2">
                  <c:v>20.5</c:v>
                </c:pt>
                <c:pt idx="3">
                  <c:v>20.5</c:v>
                </c:pt>
                <c:pt idx="4">
                  <c:v>20.5</c:v>
                </c:pt>
                <c:pt idx="5">
                  <c:v>20.5</c:v>
                </c:pt>
                <c:pt idx="6">
                  <c:v>20.5</c:v>
                </c:pt>
                <c:pt idx="7">
                  <c:v>20.5</c:v>
                </c:pt>
                <c:pt idx="8">
                  <c:v>20.5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8795840"/>
        <c:axId val="1718793520"/>
      </c:lineChart>
      <c:dateAx>
        <c:axId val="1799758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9760688"/>
        <c:crosses val="autoZero"/>
        <c:auto val="1"/>
        <c:lblOffset val="100"/>
        <c:baseTimeUnit val="days"/>
      </c:dateAx>
      <c:valAx>
        <c:axId val="1799760688"/>
        <c:scaling>
          <c:orientation val="minMax"/>
          <c:max val="104.5301555585098"/>
          <c:min val="98.306455174565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9758912"/>
        <c:crosses val="autoZero"/>
        <c:crossBetween val="between"/>
      </c:valAx>
      <c:valAx>
        <c:axId val="1718793520"/>
        <c:scaling>
          <c:orientation val="minMax"/>
          <c:max val="20.6025"/>
          <c:min val="17.51558058964678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795840"/>
        <c:crosses val="max"/>
        <c:crossBetween val="between"/>
      </c:valAx>
      <c:dateAx>
        <c:axId val="1718795840"/>
        <c:scaling>
          <c:orientation val="minMax"/>
        </c:scaling>
        <c:delete val="1"/>
        <c:axPos val="b"/>
        <c:numFmt formatCode="d\-mmm\-yy" sourceLinked="1"/>
        <c:majorTickMark val="out"/>
        <c:minorTickMark val="none"/>
        <c:tickLblPos val="nextTo"/>
        <c:crossAx val="171879352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5</xdr:row>
      <xdr:rowOff>12700</xdr:rowOff>
    </xdr:from>
    <xdr:to>
      <xdr:col>16</xdr:col>
      <xdr:colOff>558800</xdr:colOff>
      <xdr:row>33</xdr:row>
      <xdr:rowOff>177800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3</xdr:row>
          <xdr:rowOff>12700</xdr:rowOff>
        </xdr:from>
        <xdr:to>
          <xdr:col>14</xdr:col>
          <xdr:colOff>762000</xdr:colOff>
          <xdr:row>4</xdr:row>
          <xdr:rowOff>190500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Simulate stock path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AL1000"/>
  <sheetViews>
    <sheetView tabSelected="1" workbookViewId="0">
      <selection activeCell="F32" sqref="F32"/>
    </sheetView>
  </sheetViews>
  <sheetFormatPr baseColWidth="10" defaultRowHeight="16" x14ac:dyDescent="0.2"/>
  <cols>
    <col min="3" max="3" width="24" customWidth="1"/>
    <col min="4" max="4" width="11.5" bestFit="1" customWidth="1"/>
    <col min="5" max="5" width="10" customWidth="1"/>
    <col min="9" max="9" width="11.33203125" bestFit="1" customWidth="1"/>
    <col min="14" max="14" width="11.33203125" customWidth="1"/>
    <col min="31" max="31" width="11.1640625" customWidth="1"/>
  </cols>
  <sheetData>
    <row r="1" spans="1:38" x14ac:dyDescent="0.2">
      <c r="A1" s="1" t="s">
        <v>0</v>
      </c>
      <c r="B1" s="41" t="s">
        <v>67</v>
      </c>
      <c r="C1" s="1" t="s">
        <v>26</v>
      </c>
      <c r="D1" s="40">
        <v>43511</v>
      </c>
      <c r="E1" s="34" t="str">
        <f ca="1">IF(WEEKDAY(D1, 15)=1,"( "&amp;$V$5&amp;" days)","!! Not a Friday !!")</f>
        <v>( 10 days)</v>
      </c>
      <c r="F1" s="34"/>
      <c r="G1" s="87" t="s">
        <v>35</v>
      </c>
      <c r="H1" s="85">
        <f ca="1">SUM(L36:L1000)</f>
        <v>-7762.922848618512</v>
      </c>
      <c r="I1" s="6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8" t="s">
        <v>21</v>
      </c>
      <c r="V1" s="19"/>
      <c r="W1" s="20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</row>
    <row r="2" spans="1:38" x14ac:dyDescent="0.2">
      <c r="A2" s="1" t="s">
        <v>1</v>
      </c>
      <c r="B2" s="31">
        <f ca="1">TODAY()</f>
        <v>43501</v>
      </c>
      <c r="C2" s="1" t="s">
        <v>38</v>
      </c>
      <c r="D2" s="64">
        <v>3</v>
      </c>
      <c r="E2" s="2"/>
      <c r="F2" s="2"/>
      <c r="G2" s="88" t="s">
        <v>34</v>
      </c>
      <c r="H2" s="86">
        <f ca="1">SUM(F36:F1000)</f>
        <v>7607.3137837398517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1"/>
      <c r="V2" s="22"/>
      <c r="W2" s="23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</row>
    <row r="3" spans="1:38" ht="17" thickBot="1" x14ac:dyDescent="0.25">
      <c r="A3" s="1" t="s">
        <v>3</v>
      </c>
      <c r="B3" s="41" t="s">
        <v>68</v>
      </c>
      <c r="C3" s="1" t="s">
        <v>39</v>
      </c>
      <c r="D3" s="64">
        <v>4</v>
      </c>
      <c r="E3" s="2"/>
      <c r="F3" s="2"/>
      <c r="G3" s="2"/>
      <c r="H3" s="2"/>
      <c r="I3" s="2"/>
      <c r="J3" s="2"/>
      <c r="K3" s="2"/>
      <c r="L3" s="107" t="s">
        <v>45</v>
      </c>
      <c r="M3" s="107"/>
      <c r="N3" s="2"/>
      <c r="O3" s="2"/>
      <c r="P3" s="32" t="s">
        <v>27</v>
      </c>
      <c r="Q3" s="32"/>
      <c r="R3" s="33"/>
      <c r="S3" s="2"/>
      <c r="T3" s="2"/>
      <c r="U3" s="24" t="s">
        <v>2</v>
      </c>
      <c r="V3" s="73">
        <f ca="1">IF(LEFT(CELL("format",$D$1))="D",$D$1,$D$1*365+$B$2)</f>
        <v>43511</v>
      </c>
      <c r="W3" s="23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x14ac:dyDescent="0.2">
      <c r="A4" s="2"/>
      <c r="B4" s="2"/>
      <c r="C4" s="1" t="s">
        <v>28</v>
      </c>
      <c r="D4" s="90">
        <f>IF(LEN(B1)=6,125000,100)</f>
        <v>100</v>
      </c>
      <c r="E4" s="121" t="str">
        <f>IF(LEN(B1)=6,"(FX Option)", "(Stock Option)")</f>
        <v>(Stock Option)</v>
      </c>
      <c r="F4" s="7"/>
      <c r="G4" s="12" t="s">
        <v>14</v>
      </c>
      <c r="H4" s="58">
        <f ca="1">SUM($S$36:S1000)</f>
        <v>-155.60906487866055</v>
      </c>
      <c r="I4" s="3"/>
      <c r="J4" s="74"/>
      <c r="K4" s="2"/>
      <c r="L4" s="106">
        <f>sigma</f>
        <v>0.65400000000000003</v>
      </c>
      <c r="M4" s="106"/>
      <c r="N4" s="2"/>
      <c r="O4" s="2"/>
      <c r="P4" s="105">
        <f>SQRT(_xlfn.VAR.P($AA$37:$AA$1000)*252)</f>
        <v>0.58310740472518408</v>
      </c>
      <c r="Q4" s="105"/>
      <c r="R4" s="79"/>
      <c r="S4" s="2"/>
      <c r="T4" s="2"/>
      <c r="U4" s="24" t="s">
        <v>22</v>
      </c>
      <c r="V4" s="26">
        <v>19.087403931103353</v>
      </c>
      <c r="W4" s="23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</row>
    <row r="5" spans="1:38" x14ac:dyDescent="0.2">
      <c r="A5" s="2"/>
      <c r="B5" s="2"/>
      <c r="C5" s="1" t="s">
        <v>4</v>
      </c>
      <c r="D5" s="91">
        <v>20.28</v>
      </c>
      <c r="E5" s="8"/>
      <c r="F5" s="8"/>
      <c r="G5" s="13" t="s">
        <v>43</v>
      </c>
      <c r="H5" s="57">
        <f ca="1">(LOOKUP(2,1/(V:V&lt;&gt;""),V:V)/$V$36-1)</f>
        <v>-6.6817214732612928E-3</v>
      </c>
      <c r="I5" s="3"/>
      <c r="J5" s="2"/>
      <c r="K5" s="2"/>
      <c r="L5" s="106"/>
      <c r="M5" s="106"/>
      <c r="N5" s="2"/>
      <c r="O5" s="2"/>
      <c r="P5" s="105"/>
      <c r="Q5" s="105"/>
      <c r="R5" s="79"/>
      <c r="S5" s="2"/>
      <c r="T5" s="2"/>
      <c r="U5" s="24" t="s">
        <v>23</v>
      </c>
      <c r="V5" s="27">
        <f ca="1">Expiry-B2</f>
        <v>10</v>
      </c>
      <c r="W5" s="23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</row>
    <row r="6" spans="1:38" x14ac:dyDescent="0.2">
      <c r="A6" s="2"/>
      <c r="B6" s="2"/>
      <c r="C6" s="1" t="s">
        <v>5</v>
      </c>
      <c r="D6" s="91">
        <v>20.5</v>
      </c>
      <c r="E6" s="2"/>
      <c r="F6" s="2"/>
      <c r="G6" s="13" t="s">
        <v>44</v>
      </c>
      <c r="H6" s="57">
        <f ca="1">SQRT(_xlfn.VAR.P($U$37:$U$1000)*252)</f>
        <v>0.29212398921402305</v>
      </c>
      <c r="I6" s="3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4" t="s">
        <v>24</v>
      </c>
      <c r="V6" s="28">
        <f>MAX(E36:E1000, K)*100.5%</f>
        <v>20.602499999999999</v>
      </c>
      <c r="W6" s="23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</row>
    <row r="7" spans="1:38" ht="17" thickBot="1" x14ac:dyDescent="0.25">
      <c r="A7" s="2"/>
      <c r="B7" s="2"/>
      <c r="C7" s="60"/>
      <c r="D7" s="61"/>
      <c r="E7" s="9"/>
      <c r="F7" s="9"/>
      <c r="G7" s="16" t="s">
        <v>15</v>
      </c>
      <c r="H7" s="59">
        <f ca="1">(H5*(252/n_dates) - r_dom)/H6</f>
        <v>-0.6448610455889997</v>
      </c>
      <c r="I7" s="3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4" t="s">
        <v>25</v>
      </c>
      <c r="V7" s="28">
        <f>MIN(E36:E1000, K)*99.5%</f>
        <v>17.515580589646785</v>
      </c>
      <c r="W7" s="23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</row>
    <row r="8" spans="1:38" x14ac:dyDescent="0.2">
      <c r="A8" s="2"/>
      <c r="B8" s="2"/>
      <c r="C8" s="1" t="s">
        <v>6</v>
      </c>
      <c r="D8" s="39">
        <v>0.65400000000000003</v>
      </c>
      <c r="E8" s="34" t="str">
        <f>"("&amp;ROUND(sigma/SQRT(260)*100,2)&amp;"% daily)"</f>
        <v>(4.06% daily)</v>
      </c>
      <c r="F8" s="34"/>
      <c r="G8" s="34"/>
      <c r="H8" s="2"/>
      <c r="I8" s="3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4" t="s">
        <v>46</v>
      </c>
      <c r="V8" s="26">
        <f ca="1">MAX(V36:V1000)*100.5%</f>
        <v>104.53015555850978</v>
      </c>
      <c r="W8" s="23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</row>
    <row r="9" spans="1:38" x14ac:dyDescent="0.2">
      <c r="A9" s="2"/>
      <c r="B9" s="2"/>
      <c r="C9" s="1" t="s">
        <v>7</v>
      </c>
      <c r="D9" s="39">
        <v>0.02</v>
      </c>
      <c r="E9" s="2"/>
      <c r="F9" s="2"/>
      <c r="G9" s="101" t="s">
        <v>53</v>
      </c>
      <c r="H9" s="102">
        <f ca="1">T36</f>
        <v>23288.768545855535</v>
      </c>
      <c r="I9" s="3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9" t="s">
        <v>47</v>
      </c>
      <c r="V9" s="84">
        <f ca="1">MIN(V36:V1000)*99.5%</f>
        <v>98.306455174565457</v>
      </c>
      <c r="W9" s="30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</row>
    <row r="10" spans="1:38" x14ac:dyDescent="0.2">
      <c r="A10" s="2"/>
      <c r="B10" s="2"/>
      <c r="C10" s="1" t="s">
        <v>8</v>
      </c>
      <c r="D10" s="39">
        <v>1.17E-2</v>
      </c>
      <c r="E10" s="2"/>
      <c r="F10" s="2"/>
      <c r="G10" s="2"/>
      <c r="H10" s="2"/>
      <c r="I10" s="3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</row>
    <row r="11" spans="1:38" x14ac:dyDescent="0.2">
      <c r="A11" s="2"/>
      <c r="B11" s="2"/>
      <c r="C11" s="2"/>
      <c r="D11" s="2"/>
      <c r="E11" s="2"/>
      <c r="F11" s="2"/>
      <c r="G11" s="66"/>
      <c r="H11" s="2"/>
      <c r="I11" s="3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</row>
    <row r="12" spans="1:38" hidden="1" x14ac:dyDescent="0.2">
      <c r="A12" s="4"/>
      <c r="B12" s="4"/>
      <c r="C12" s="4"/>
      <c r="D12" s="4"/>
      <c r="E12" s="4"/>
      <c r="F12" s="4"/>
      <c r="G12" s="4"/>
      <c r="H12" s="4"/>
      <c r="I12" s="10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</row>
    <row r="13" spans="1:38" hidden="1" x14ac:dyDescent="0.2">
      <c r="A13" s="22"/>
      <c r="B13" s="22"/>
      <c r="C13" s="11"/>
      <c r="D13" s="22"/>
      <c r="E13" s="22"/>
      <c r="F13" s="22"/>
      <c r="G13" s="22"/>
      <c r="H13" s="22"/>
      <c r="I13" s="11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</row>
    <row r="14" spans="1:38" hidden="1" x14ac:dyDescent="0.2">
      <c r="A14" s="22"/>
      <c r="B14" s="22"/>
      <c r="C14" s="11"/>
      <c r="D14" s="22"/>
      <c r="E14" s="22"/>
      <c r="F14" s="22"/>
      <c r="G14" s="22"/>
      <c r="H14" s="22"/>
      <c r="I14" s="11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</row>
    <row r="15" spans="1:38" hidden="1" x14ac:dyDescent="0.2">
      <c r="A15" s="22"/>
      <c r="B15" s="22"/>
      <c r="C15" s="11"/>
      <c r="D15" s="22"/>
      <c r="E15" s="22"/>
      <c r="F15" s="22"/>
      <c r="G15" s="22"/>
      <c r="H15" s="22"/>
      <c r="I15" s="11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</row>
    <row r="16" spans="1:38" hidden="1" x14ac:dyDescent="0.2">
      <c r="A16" s="22"/>
      <c r="B16" s="22"/>
      <c r="C16" s="11"/>
      <c r="D16" s="22"/>
      <c r="E16" s="22"/>
      <c r="F16" s="22"/>
      <c r="G16" s="22"/>
      <c r="H16" s="22"/>
      <c r="I16" s="11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</row>
    <row r="17" spans="1:38" hidden="1" x14ac:dyDescent="0.2">
      <c r="A17" s="22"/>
      <c r="B17" s="22"/>
      <c r="C17" s="22"/>
      <c r="D17" s="22"/>
      <c r="E17" s="22"/>
      <c r="F17" s="22"/>
      <c r="G17" s="22"/>
      <c r="H17" s="22"/>
      <c r="I17" s="11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</row>
    <row r="18" spans="1:38" hidden="1" x14ac:dyDescent="0.2">
      <c r="A18" s="22"/>
      <c r="B18" s="22"/>
      <c r="C18" s="11"/>
      <c r="D18" s="25"/>
      <c r="E18" s="22"/>
      <c r="F18" s="22"/>
      <c r="G18" s="22"/>
      <c r="H18" s="22"/>
      <c r="I18" s="11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</row>
    <row r="19" spans="1:38" hidden="1" x14ac:dyDescent="0.2">
      <c r="A19" s="22"/>
      <c r="B19" s="22"/>
      <c r="C19" s="22"/>
      <c r="D19" s="22"/>
      <c r="E19" s="22"/>
      <c r="F19" s="22"/>
      <c r="G19" s="22"/>
      <c r="H19" s="22"/>
      <c r="I19" s="11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</row>
    <row r="20" spans="1:38" hidden="1" x14ac:dyDescent="0.2">
      <c r="A20" s="22"/>
      <c r="B20" s="22"/>
      <c r="C20" s="11"/>
      <c r="D20" s="51"/>
      <c r="E20" s="22"/>
      <c r="F20" s="22"/>
      <c r="G20" s="22"/>
      <c r="H20" s="22"/>
      <c r="I20" s="11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</row>
    <row r="21" spans="1:38" hidden="1" x14ac:dyDescent="0.2">
      <c r="A21" s="22"/>
      <c r="B21" s="22"/>
      <c r="C21" s="11"/>
      <c r="D21" s="51"/>
      <c r="E21" s="22"/>
      <c r="F21" s="22"/>
      <c r="G21" s="22"/>
      <c r="H21" s="22"/>
      <c r="I21" s="11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</row>
    <row r="22" spans="1:38" hidden="1" x14ac:dyDescent="0.2">
      <c r="A22" s="22"/>
      <c r="B22" s="22"/>
      <c r="C22" s="11"/>
      <c r="D22" s="51"/>
      <c r="E22" s="22"/>
      <c r="F22" s="22"/>
      <c r="G22" s="22"/>
      <c r="H22" s="22"/>
      <c r="I22" s="2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</row>
    <row r="23" spans="1:38" hidden="1" x14ac:dyDescent="0.2">
      <c r="A23" s="22"/>
      <c r="B23" s="22"/>
      <c r="C23" s="22"/>
      <c r="D23" s="22"/>
      <c r="E23" s="22"/>
      <c r="F23" s="22"/>
      <c r="G23" s="22"/>
      <c r="H23" s="22"/>
      <c r="I23" s="2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</row>
    <row r="24" spans="1:38" hidden="1" x14ac:dyDescent="0.2">
      <c r="A24" s="22"/>
      <c r="B24" s="22"/>
      <c r="C24" s="22"/>
      <c r="D24" s="22"/>
      <c r="E24" s="22"/>
      <c r="F24" s="22"/>
      <c r="G24" s="22"/>
      <c r="H24" s="22"/>
      <c r="I24" s="11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</row>
    <row r="25" spans="1:38" hidden="1" x14ac:dyDescent="0.2">
      <c r="A25" s="22"/>
      <c r="B25" s="22"/>
      <c r="C25" s="22"/>
      <c r="D25" s="22"/>
      <c r="E25" s="22"/>
      <c r="F25" s="22"/>
      <c r="G25" s="22"/>
      <c r="H25" s="22"/>
      <c r="I25" s="11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</row>
    <row r="26" spans="1:38" hidden="1" x14ac:dyDescent="0.2">
      <c r="A26" s="22"/>
      <c r="B26" s="22"/>
      <c r="C26" s="22"/>
      <c r="D26" s="22"/>
      <c r="E26" s="22"/>
      <c r="F26" s="22"/>
      <c r="G26" s="22"/>
      <c r="H26" s="22"/>
      <c r="I26" s="11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</row>
    <row r="27" spans="1:38" hidden="1" x14ac:dyDescent="0.2">
      <c r="A27" s="22"/>
      <c r="B27" s="22"/>
      <c r="C27" s="22"/>
      <c r="D27" s="22"/>
      <c r="E27" s="22"/>
      <c r="F27" s="22"/>
      <c r="G27" s="22"/>
      <c r="H27" s="22"/>
      <c r="I27" s="2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</row>
    <row r="28" spans="1:38" hidden="1" x14ac:dyDescent="0.2">
      <c r="A28" s="22"/>
      <c r="B28" s="22"/>
      <c r="C28" s="22"/>
      <c r="D28" s="22"/>
      <c r="E28" s="22"/>
      <c r="F28" s="22"/>
      <c r="G28" s="22"/>
      <c r="H28" s="22"/>
      <c r="I28" s="11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</row>
    <row r="29" spans="1:38" hidden="1" x14ac:dyDescent="0.2">
      <c r="A29" s="5"/>
      <c r="B29" s="5"/>
      <c r="C29" s="5"/>
      <c r="D29" s="5"/>
      <c r="E29" s="5"/>
      <c r="F29" s="5"/>
      <c r="G29" s="5"/>
      <c r="H29" s="5"/>
      <c r="I29" s="11"/>
      <c r="J29" s="22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</row>
    <row r="30" spans="1:38" x14ac:dyDescent="0.2">
      <c r="A30" s="2"/>
      <c r="B30" s="2"/>
      <c r="C30" s="2"/>
      <c r="D30" s="2"/>
      <c r="E30" s="2"/>
      <c r="F30" s="2"/>
      <c r="G30" s="2"/>
      <c r="H30" s="2"/>
      <c r="I30" s="75"/>
      <c r="J30" s="7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</row>
    <row r="31" spans="1:38" x14ac:dyDescent="0.2">
      <c r="A31" s="2"/>
      <c r="B31" s="2"/>
      <c r="C31" s="89"/>
      <c r="D31" s="126"/>
      <c r="E31" s="125"/>
      <c r="F31" s="2"/>
      <c r="G31" s="125"/>
      <c r="H31" s="2"/>
      <c r="I31" s="75"/>
      <c r="J31" s="77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</row>
    <row r="32" spans="1:38" x14ac:dyDescent="0.2">
      <c r="A32" s="2"/>
      <c r="B32" s="2"/>
      <c r="C32" s="108"/>
      <c r="D32" s="7"/>
      <c r="E32" s="125"/>
      <c r="F32" s="14"/>
      <c r="G32" s="14"/>
      <c r="H32" s="2"/>
      <c r="I32" s="75"/>
      <c r="J32" s="77"/>
      <c r="K32" s="2"/>
      <c r="L32" s="37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</row>
    <row r="33" spans="1:38" x14ac:dyDescent="0.2">
      <c r="A33" s="2"/>
      <c r="B33" s="2"/>
      <c r="C33" s="89"/>
      <c r="D33" s="2"/>
      <c r="E33" s="14"/>
      <c r="F33" s="14"/>
      <c r="G33" s="14"/>
      <c r="H33" s="15"/>
      <c r="I33" s="75"/>
      <c r="J33" s="78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</row>
    <row r="34" spans="1:38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17" t="s">
        <v>42</v>
      </c>
      <c r="V34" s="2"/>
      <c r="W34" s="2"/>
      <c r="X34" s="2"/>
      <c r="Y34" s="2"/>
      <c r="Z34" s="2"/>
      <c r="AA34" s="17" t="s">
        <v>4</v>
      </c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</row>
    <row r="35" spans="1:38" x14ac:dyDescent="0.2">
      <c r="A35" s="17" t="s">
        <v>16</v>
      </c>
      <c r="B35" s="17" t="s">
        <v>29</v>
      </c>
      <c r="C35" s="17" t="s">
        <v>32</v>
      </c>
      <c r="D35" s="17" t="s">
        <v>17</v>
      </c>
      <c r="E35" s="17" t="s">
        <v>4</v>
      </c>
      <c r="F35" s="17" t="s">
        <v>34</v>
      </c>
      <c r="G35" s="17" t="s">
        <v>33</v>
      </c>
      <c r="H35" s="17" t="s">
        <v>30</v>
      </c>
      <c r="I35" s="17" t="s">
        <v>31</v>
      </c>
      <c r="J35" s="17" t="s">
        <v>19</v>
      </c>
      <c r="K35" s="17" t="s">
        <v>17</v>
      </c>
      <c r="L35" s="17" t="s">
        <v>35</v>
      </c>
      <c r="M35" s="17" t="s">
        <v>11</v>
      </c>
      <c r="N35" s="17" t="s">
        <v>18</v>
      </c>
      <c r="O35" s="17" t="s">
        <v>12</v>
      </c>
      <c r="P35" s="17" t="s">
        <v>13</v>
      </c>
      <c r="Q35" s="17" t="s">
        <v>20</v>
      </c>
      <c r="R35" s="17"/>
      <c r="S35" s="17" t="s">
        <v>36</v>
      </c>
      <c r="T35" s="17" t="s">
        <v>37</v>
      </c>
      <c r="U35" s="17" t="s">
        <v>41</v>
      </c>
      <c r="V35" s="17" t="s">
        <v>40</v>
      </c>
      <c r="W35" s="80" t="s">
        <v>48</v>
      </c>
      <c r="X35" s="80" t="s">
        <v>5</v>
      </c>
      <c r="Y35" s="17" t="s">
        <v>9</v>
      </c>
      <c r="Z35" s="17" t="s">
        <v>10</v>
      </c>
      <c r="AA35" s="17" t="s">
        <v>41</v>
      </c>
      <c r="AB35" s="2"/>
      <c r="AC35" s="80" t="s">
        <v>49</v>
      </c>
      <c r="AD35" s="80" t="s">
        <v>50</v>
      </c>
      <c r="AE35" s="80" t="s">
        <v>51</v>
      </c>
      <c r="AF35" s="80" t="s">
        <v>52</v>
      </c>
      <c r="AG35" s="2"/>
      <c r="AH35" s="81" t="s">
        <v>69</v>
      </c>
      <c r="AI35" s="81" t="s">
        <v>70</v>
      </c>
      <c r="AJ35" s="81" t="s">
        <v>71</v>
      </c>
      <c r="AK35" s="81" t="s">
        <v>72</v>
      </c>
      <c r="AL35" s="81" t="s">
        <v>73</v>
      </c>
    </row>
    <row r="36" spans="1:38" x14ac:dyDescent="0.2">
      <c r="A36" s="46">
        <v>43501</v>
      </c>
      <c r="B36" s="47">
        <f ca="1">-M36</f>
        <v>-4825.1786647256604</v>
      </c>
      <c r="C36" s="48">
        <f ca="1">IF(A36="","",B36)</f>
        <v>-4825.1786647256604</v>
      </c>
      <c r="D36" s="49">
        <f ca="1">IF(A36="","",C36*E36)</f>
        <v>-97854.623320636398</v>
      </c>
      <c r="E36" s="97">
        <v>20.28</v>
      </c>
      <c r="F36" s="62">
        <v>0</v>
      </c>
      <c r="G36" s="120">
        <f ca="1">J36</f>
        <v>0.7762922848618512</v>
      </c>
      <c r="H36" s="50">
        <v>100</v>
      </c>
      <c r="I36" s="4">
        <f>IF(A36="","",SUM($H$36:H36))</f>
        <v>100</v>
      </c>
      <c r="J36" s="99">
        <f t="shared" ref="J36:J99" ca="1" si="0">IF(CorP="C",AC36,AD36)</f>
        <v>0.7762922848618512</v>
      </c>
      <c r="K36" s="49">
        <f t="shared" ref="K36:K48" ca="1" si="1">IF(I36="","",I36*Mult*J36)</f>
        <v>7762.922848618512</v>
      </c>
      <c r="L36" s="62">
        <f ca="1">IF(A36="","",Mult*H36*(G36-J36))</f>
        <v>0</v>
      </c>
      <c r="M36" s="48">
        <f t="shared" ref="M36:M99" ca="1" si="2">IF(CorP="C",AE36,AF36)</f>
        <v>4825.1786647256604</v>
      </c>
      <c r="N36" s="48">
        <f ca="1">IF(A36="","",IF(A36=Expiry,0,EXP(-q*Q36)*_xlfn.NORM.S.DIST(Y36,0)/(sigma*SQRT(Q36))*I36*Mult/100))</f>
        <v>368.06933725071792</v>
      </c>
      <c r="O36" s="48">
        <f ca="1">IF(A36="","",IF(A36=Expiry,0,D36*E36*E36*EXP(-q*Q36)*_xlfn.NORM.S.DIST(Y36,0)*SQRT(Q36)/100))</f>
        <v>-26541.885657080817</v>
      </c>
      <c r="P36" s="53">
        <f ca="1">IF(A36="","",IF(A36=Expiry,0,AK36*I36*Mult*((-EXP(-q*Q36)*E36*_xlfn.NORM.S.DIST(Y36,0)*sigma/(2*SQRT(Q36))-r_dom*K*EXP(-r_dom*Q36)*_xlfn.NORM.S.DIST(Z36,1)+q*E36*EXP(-q*Q36)*_xlfn.NORM.S.DIST(Y36,1))/365)))</f>
        <v>-439.15092491298191</v>
      </c>
      <c r="Q36" s="82">
        <f t="shared" ref="Q36:Q48" ca="1" si="3">IF(A36="","",IF(OR(A36="",Expiry&lt;=A36),0,(Expiry-A36)/365))</f>
        <v>2.7397260273972601E-2</v>
      </c>
      <c r="R36" s="38"/>
      <c r="S36" s="67">
        <f ca="1">IF(A36="","",F36+L36)</f>
        <v>0</v>
      </c>
      <c r="T36" s="53">
        <f ca="1">IF(A36="","",K36*IF(K36&gt;0,long_margin,short_margin))</f>
        <v>23288.768545855535</v>
      </c>
      <c r="U36" s="65"/>
      <c r="V36" s="71">
        <f>IF(A36="","",100)</f>
        <v>100</v>
      </c>
      <c r="W36" s="2">
        <f>IF(A36="","",100)</f>
        <v>100</v>
      </c>
      <c r="X36" s="2">
        <f t="shared" ref="X36:X99" si="4">IF(A36="","",K)</f>
        <v>20.5</v>
      </c>
      <c r="Y36" s="35">
        <f t="shared" ref="Y36:Y48" ca="1" si="5">IF(OR(A36="",A36=Expiry),"",((LN(E36/K)+(r_dom-q+sigma^2/2)*Q36))/(sigma*SQRT(Q36)))</f>
        <v>-4.3447112549020533E-2</v>
      </c>
      <c r="Z36" s="36">
        <f t="shared" ref="Z36:Z48" ca="1" si="6">IF(OR(A36="",A36=Expiry),"",Y36-sigma*SQRT(Q36))</f>
        <v>-0.15169796277821027</v>
      </c>
      <c r="AA36" s="38"/>
      <c r="AB36" s="2"/>
      <c r="AC36" s="93">
        <f t="shared" ref="AC36:AC99" ca="1" si="7">IF(A36="","",IF(A36=Expiry,MAX(E36-K,0),E36*EXP(-q*Q36)*_xlfn.NORM.S.DIST(Y36,1)-K*EXP(-r_dom*Q36)*_xlfn.NORM.S.DIST(Z36,1)))</f>
        <v>0.7762922848618512</v>
      </c>
      <c r="AD36" s="92">
        <f t="shared" ref="AD36:AD99" ca="1" si="8">IF(A36="","",IF(A36=Expiry,MAX(K-E36,0),K*EXP(-r_dom*Q36)*_xlfn.NORM.S.DIST(-Z36,1)-E36*EXP(-q*Q36)*_xlfn.NORM.S.DIST(-Y36,1)))</f>
        <v>0.99156215563306027</v>
      </c>
      <c r="AE36" s="48">
        <f t="shared" ref="AE36:AE99" ca="1" si="9">IF(A36="","",I36*Mult*IF(A36=Expiry,IF(E36&gt;K,1,0),EXP(-q*Q36)*_xlfn.NORM.S.DIST(Y36,1)))</f>
        <v>4825.1786647256604</v>
      </c>
      <c r="AF36" s="123">
        <f t="shared" ref="AF36:AF99" ca="1" si="10">IF(A36="","",I36*Mult*IF(A36=Expiry,IF(E36&lt;K,-1,0),-EXP(-q*Q36)*_xlfn.NORM.S.DIST(-Y36,1)))</f>
        <v>-5171.6163695223204</v>
      </c>
      <c r="AG36" s="2"/>
      <c r="AH36" s="38">
        <v>0</v>
      </c>
      <c r="AI36" s="38">
        <v>0</v>
      </c>
      <c r="AJ36" s="38">
        <v>0</v>
      </c>
      <c r="AK36" s="38">
        <f ca="1">IF(A36="","",IF(A36=Expiry,0,A37-A36))</f>
        <v>1</v>
      </c>
      <c r="AL36" s="38">
        <f ca="1">S36-AH36-AI36-AJ36</f>
        <v>0</v>
      </c>
    </row>
    <row r="37" spans="1:38" x14ac:dyDescent="0.2">
      <c r="A37" s="45">
        <v>43502</v>
      </c>
      <c r="B37" s="43">
        <f t="shared" ref="B37:B48" ca="1" si="11">IF(A37="","",-(M37+C36))</f>
        <v>2143.9664503899562</v>
      </c>
      <c r="C37" s="96">
        <f ca="1">IF(A37="","",C36+B37)</f>
        <v>-2681.2122143357042</v>
      </c>
      <c r="D37" s="44">
        <f t="shared" ref="D37:D48" ca="1" si="12">IF(A37="","",C37*E37)</f>
        <v>-51301.617431959807</v>
      </c>
      <c r="E37" s="98">
        <v>19.133740014186184</v>
      </c>
      <c r="F37" s="63">
        <f ca="1">IF(A37="","",C36*(E37-E36))</f>
        <v>5530.909227777568</v>
      </c>
      <c r="G37" s="56" t="str">
        <f>IF(H37="","",J37)</f>
        <v/>
      </c>
      <c r="H37" s="42"/>
      <c r="I37" s="2">
        <f>IF(A37="","",I36+H37)</f>
        <v>100</v>
      </c>
      <c r="J37" s="100">
        <f t="shared" ca="1" si="0"/>
        <v>0.3055052140760699</v>
      </c>
      <c r="K37" s="55">
        <f t="shared" ca="1" si="1"/>
        <v>3055.0521407606989</v>
      </c>
      <c r="L37" s="63">
        <f t="shared" ref="L37:L48" ca="1" si="13">IF(A37="","",Mult*(IFERROR(0,H37*(G37-J37))+(I37-H37)*(J37-J36)))</f>
        <v>-4707.8707078578136</v>
      </c>
      <c r="M37" s="96">
        <f t="shared" ca="1" si="2"/>
        <v>2681.2122143357042</v>
      </c>
      <c r="N37" s="96">
        <f ca="1">IF(A37="","",IF(A37=Expiry,0,EXP(-q*Q37)*_xlfn.NORM.S.DIST(Y37,0)/(sigma*SQRT(Q37))*I37*Mult/100))</f>
        <v>320.79374739695504</v>
      </c>
      <c r="O37" s="96">
        <f ca="1">IF(A37="","",IF(A37=Expiry,0,D37*E37*E37*EXP(-q*Q37)*_xlfn.NORM.S.DIST(Y37,0)*SQRT(Q37)/100))</f>
        <v>-9715.9234176409518</v>
      </c>
      <c r="P37" s="69">
        <f ca="1">IF(A37="","",IF(A37=Expiry,0,AK37*I37*Mult*((-EXP(-q*Q37)*E37*_xlfn.NORM.S.DIST(Y37,0)*sigma/(2*SQRT(Q37))-r_dom*K*EXP(-r_dom*Q37)*_xlfn.NORM.S.DIST(Z37,1)+q*E37*EXP(-q*Q37)*_xlfn.NORM.S.DIST(Y37,1))/365)))</f>
        <v>-360.63124397096038</v>
      </c>
      <c r="Q37" s="83">
        <f t="shared" ca="1" si="3"/>
        <v>2.4657534246575342E-2</v>
      </c>
      <c r="R37" s="38"/>
      <c r="S37" s="68">
        <f t="shared" ref="S37:S48" ca="1" si="14">IF(A37="","",F37+L37)</f>
        <v>823.03851991975444</v>
      </c>
      <c r="T37" s="69">
        <f ca="1">IF(A37="","",T36+S37)</f>
        <v>24111.807065775291</v>
      </c>
      <c r="U37" s="70">
        <f ca="1">IF(A37="","",LN(T37/T36))</f>
        <v>3.4730432570753214E-2</v>
      </c>
      <c r="V37" s="72">
        <f ca="1">IF(A37="","",V36*EXP(U37))</f>
        <v>103.5340577081145</v>
      </c>
      <c r="W37" s="2">
        <f t="shared" ref="W37:W100" si="15">IF(A37="","",100)</f>
        <v>100</v>
      </c>
      <c r="X37" s="2">
        <f t="shared" si="4"/>
        <v>20.5</v>
      </c>
      <c r="Y37" s="35">
        <f t="shared" ca="1" si="5"/>
        <v>-0.61827031327125004</v>
      </c>
      <c r="Z37" s="36">
        <f t="shared" ca="1" si="6"/>
        <v>-0.72096608688344999</v>
      </c>
      <c r="AA37" s="70">
        <f>IF(A37="","",LN(E37/E36))</f>
        <v>-5.8181909194618853E-2</v>
      </c>
      <c r="AB37" s="2"/>
      <c r="AC37" s="94">
        <f t="shared" ca="1" si="7"/>
        <v>0.3055052140760699</v>
      </c>
      <c r="AD37" s="95">
        <f t="shared" ca="1" si="8"/>
        <v>1.6671772599977857</v>
      </c>
      <c r="AE37" s="96">
        <f t="shared" ca="1" si="9"/>
        <v>2681.2122143357042</v>
      </c>
      <c r="AF37" s="124">
        <f t="shared" ca="1" si="10"/>
        <v>-7315.9032702589211</v>
      </c>
      <c r="AG37" s="2"/>
      <c r="AH37" s="38">
        <f ca="1">IF(A37="","",0.5*EXP(-q*Q36)*_xlfn.NORM.S.DIST(Y36,0)/(E36*sigma*SQRT(Q36))*I36*Mult*(E37-E36)^2)</f>
        <v>1192.3340791699081</v>
      </c>
      <c r="AI37" s="38">
        <v>0</v>
      </c>
      <c r="AJ37" s="38">
        <f ca="1">IF(A37="","",P36)</f>
        <v>-439.15092491298191</v>
      </c>
      <c r="AK37" s="38">
        <f ca="1">IF(A37="","",IF(A37=Expiry,0,A38-A37))</f>
        <v>1</v>
      </c>
      <c r="AL37" s="38">
        <f ca="1">S37-AH37-AI37-AJ37</f>
        <v>69.855365662828206</v>
      </c>
    </row>
    <row r="38" spans="1:38" x14ac:dyDescent="0.2">
      <c r="A38" s="45">
        <v>43503</v>
      </c>
      <c r="B38" s="43">
        <f t="shared" ca="1" si="11"/>
        <v>1192.278585305171</v>
      </c>
      <c r="C38" s="96">
        <f t="shared" ref="C38:C101" ca="1" si="16">IF(A38="","",C37+B38)</f>
        <v>-1488.9336290305332</v>
      </c>
      <c r="D38" s="44">
        <f t="shared" ca="1" si="12"/>
        <v>-27462.488654810306</v>
      </c>
      <c r="E38" s="98">
        <v>18.444400824428648</v>
      </c>
      <c r="F38" s="63">
        <f t="shared" ref="F38:F49" ca="1" si="17">IF(A38="","",C37*(E38-E37))</f>
        <v>1848.264655398184</v>
      </c>
      <c r="G38" s="56" t="str">
        <f t="shared" ref="G38:G48" si="18">IF(H38="","",J38)</f>
        <v/>
      </c>
      <c r="H38" s="42"/>
      <c r="I38" s="2">
        <f t="shared" ref="I38:I48" si="19">IF(A38="","",I37+H38)</f>
        <v>100</v>
      </c>
      <c r="J38" s="100">
        <f t="shared" ca="1" si="0"/>
        <v>0.13176530451037305</v>
      </c>
      <c r="K38" s="55">
        <f t="shared" ca="1" si="1"/>
        <v>1317.6530451037304</v>
      </c>
      <c r="L38" s="63">
        <f t="shared" ca="1" si="13"/>
        <v>-1737.3990956569685</v>
      </c>
      <c r="M38" s="96">
        <f t="shared" ca="1" si="2"/>
        <v>1488.9336290305332</v>
      </c>
      <c r="N38" s="96">
        <f ca="1">IF(A38="","",IF(A38=Expiry,0,EXP(-q*Q38)*_xlfn.NORM.S.DIST(Y38,0)/(sigma*SQRT(Q38))*I38*Mult/100))</f>
        <v>239.60281735304795</v>
      </c>
      <c r="O38" s="96">
        <f ca="1">IF(A38="","",IF(A38=Expiry,0,D38*E38*E38*EXP(-q*Q38)*_xlfn.NORM.S.DIST(Y38,0)*SQRT(Q38)/100))</f>
        <v>-3208.7492840721084</v>
      </c>
      <c r="P38" s="69">
        <f ca="1">IF(A38="","",IF(A38=Expiry,0,AK38*I38*Mult*((-EXP(-q*Q38)*E38*_xlfn.NORM.S.DIST(Y38,0)*sigma/(2*SQRT(Q38))-r_dom*K*EXP(-r_dom*Q38)*_xlfn.NORM.S.DIST(Z38,1)+q*E38*EXP(-q*Q38)*_xlfn.NORM.S.DIST(Y38,1))/365)))</f>
        <v>-259.48630603933157</v>
      </c>
      <c r="Q38" s="83">
        <f t="shared" ca="1" si="3"/>
        <v>2.1917808219178082E-2</v>
      </c>
      <c r="R38" s="38"/>
      <c r="S38" s="68">
        <f t="shared" ca="1" si="14"/>
        <v>110.86555974121552</v>
      </c>
      <c r="T38" s="69">
        <f t="shared" ref="T38:T48" ca="1" si="20">IF(A38="","",T37+S38)</f>
        <v>24222.672625516505</v>
      </c>
      <c r="U38" s="70">
        <f t="shared" ref="U38:U48" ca="1" si="21">IF(A38="","",LN(T38/T37))</f>
        <v>4.5874396445783677E-3</v>
      </c>
      <c r="V38" s="72">
        <f t="shared" ref="V38:V48" ca="1" si="22">IF(A38="","",V37*EXP(U38))</f>
        <v>104.01010503334307</v>
      </c>
      <c r="W38" s="2">
        <f t="shared" si="15"/>
        <v>100</v>
      </c>
      <c r="X38" s="2">
        <f t="shared" si="4"/>
        <v>20.5</v>
      </c>
      <c r="Y38" s="35">
        <f t="shared" ca="1" si="5"/>
        <v>-1.0410268230576099</v>
      </c>
      <c r="Z38" s="36">
        <f t="shared" ca="1" si="6"/>
        <v>-1.1378493269514567</v>
      </c>
      <c r="AA38" s="70">
        <f t="shared" ref="AA38:AA48" si="23">IF(A38="","",LN(E38/E37))</f>
        <v>-3.6692423451451697E-2</v>
      </c>
      <c r="AB38" s="2"/>
      <c r="AC38" s="94">
        <f t="shared" ca="1" si="7"/>
        <v>0.13176530451037305</v>
      </c>
      <c r="AD38" s="95">
        <f t="shared" ca="1" si="8"/>
        <v>2.1831093934463741</v>
      </c>
      <c r="AE38" s="96">
        <f t="shared" ca="1" si="9"/>
        <v>1488.9336290305332</v>
      </c>
      <c r="AF38" s="124">
        <f t="shared" ca="1" si="10"/>
        <v>-8508.5023161828703</v>
      </c>
      <c r="AG38" s="2"/>
      <c r="AH38" s="38">
        <f ca="1">IF(A38="","",0.5*EXP(-q*Q37)*_xlfn.NORM.S.DIST(Y37,0)/(E37*sigma*SQRT(Q37))*I37*Mult*(E38-E37)^2)</f>
        <v>398.34738390929954</v>
      </c>
      <c r="AI38" s="38">
        <v>0</v>
      </c>
      <c r="AJ38" s="38">
        <f t="shared" ref="AJ38:AJ47" ca="1" si="24">IF(A38="","",P37)</f>
        <v>-360.63124397096038</v>
      </c>
      <c r="AK38" s="38">
        <f ca="1">IF(A38="","",IF(A38=Expiry,0,A39-A38))</f>
        <v>1</v>
      </c>
      <c r="AL38" s="38">
        <f t="shared" ref="AL38:AL46" ca="1" si="25">S38-AH38-AI38-AJ38</f>
        <v>73.149419802876366</v>
      </c>
    </row>
    <row r="39" spans="1:38" x14ac:dyDescent="0.2">
      <c r="A39" s="45">
        <v>43504</v>
      </c>
      <c r="B39" s="43">
        <f t="shared" ca="1" si="11"/>
        <v>-305.68132692446125</v>
      </c>
      <c r="C39" s="96">
        <f t="shared" ca="1" si="16"/>
        <v>-1794.6149559549945</v>
      </c>
      <c r="D39" s="44">
        <f t="shared" ca="1" si="12"/>
        <v>-33712.842481232045</v>
      </c>
      <c r="E39" s="98">
        <v>18.785557519937161</v>
      </c>
      <c r="F39" s="63">
        <f t="shared" ca="1" si="17"/>
        <v>-507.95967671155455</v>
      </c>
      <c r="G39" s="56" t="str">
        <f t="shared" si="18"/>
        <v/>
      </c>
      <c r="H39" s="42"/>
      <c r="I39" s="2">
        <f t="shared" si="19"/>
        <v>100</v>
      </c>
      <c r="J39" s="100">
        <f t="shared" ca="1" si="0"/>
        <v>0.1587947201310862</v>
      </c>
      <c r="K39" s="55">
        <f t="shared" ca="1" si="1"/>
        <v>1587.9472013108621</v>
      </c>
      <c r="L39" s="63">
        <f t="shared" ca="1" si="13"/>
        <v>270.29415620713149</v>
      </c>
      <c r="M39" s="96">
        <f t="shared" ca="1" si="2"/>
        <v>1794.6149559549945</v>
      </c>
      <c r="N39" s="96">
        <f ca="1">IF(A39="","",IF(A39=Expiry,0,EXP(-q*Q39)*_xlfn.NORM.S.DIST(Y39,0)/(sigma*SQRT(Q39))*I39*Mult/100))</f>
        <v>289.15440239976601</v>
      </c>
      <c r="O39" s="96">
        <f ca="1">IF(A39="","",IF(A39=Expiry,0,D39*E39*E39*EXP(-q*Q39)*_xlfn.NORM.S.DIST(Y39,0)*SQRT(Q39)/100))</f>
        <v>-4314.7563979252045</v>
      </c>
      <c r="P39" s="69">
        <f ca="1">IF(A39="","",IF(A39=Expiry,0,AK39*I39*Mult*((-EXP(-q*Q39)*E39*_xlfn.NORM.S.DIST(Y39,0)*sigma/(2*SQRT(Q39))-r_dom*K*EXP(-r_dom*Q39)*_xlfn.NORM.S.DIST(Z39,1)+q*E39*EXP(-q*Q39)*_xlfn.NORM.S.DIST(Y39,1))/365)))</f>
        <v>-956.82866942703311</v>
      </c>
      <c r="Q39" s="83">
        <f t="shared" ca="1" si="3"/>
        <v>1.9178082191780823E-2</v>
      </c>
      <c r="R39" s="38"/>
      <c r="S39" s="68">
        <f t="shared" ca="1" si="14"/>
        <v>-237.66552050442306</v>
      </c>
      <c r="T39" s="69">
        <f t="shared" ca="1" si="20"/>
        <v>23985.007105012082</v>
      </c>
      <c r="U39" s="70">
        <f t="shared" ca="1" si="21"/>
        <v>-9.860148730111375E-3</v>
      </c>
      <c r="V39" s="72">
        <f t="shared" ca="1" si="22"/>
        <v>102.98958941425201</v>
      </c>
      <c r="W39" s="2">
        <f t="shared" si="15"/>
        <v>100</v>
      </c>
      <c r="X39" s="2">
        <f t="shared" si="4"/>
        <v>20.5</v>
      </c>
      <c r="Y39" s="35">
        <f t="shared" ca="1" si="5"/>
        <v>-0.91726548960179233</v>
      </c>
      <c r="Z39" s="36">
        <f t="shared" ca="1" si="6"/>
        <v>-1.0078346488268823</v>
      </c>
      <c r="AA39" s="70">
        <f t="shared" si="23"/>
        <v>1.8327511504463948E-2</v>
      </c>
      <c r="AB39" s="2"/>
      <c r="AC39" s="94">
        <f t="shared" ca="1" si="7"/>
        <v>0.1587947201310862</v>
      </c>
      <c r="AD39" s="95">
        <f t="shared" ca="1" si="8"/>
        <v>1.8695903917094387</v>
      </c>
      <c r="AE39" s="96">
        <f t="shared" ca="1" si="9"/>
        <v>1794.6149559549945</v>
      </c>
      <c r="AF39" s="124">
        <f t="shared" ca="1" si="10"/>
        <v>-8203.1414601496526</v>
      </c>
      <c r="AG39" s="2"/>
      <c r="AH39" s="38">
        <f ca="1">IF(A39="","",0.5*EXP(-q*Q38)*_xlfn.NORM.S.DIST(Y38,0)/(E38*sigma*SQRT(Q38))*I38*Mult*(E39-E38)^2)</f>
        <v>75.597106212736023</v>
      </c>
      <c r="AI39" s="38">
        <v>0</v>
      </c>
      <c r="AJ39" s="38">
        <f t="shared" ca="1" si="24"/>
        <v>-259.48630603933157</v>
      </c>
      <c r="AK39" s="38">
        <f ca="1">IF(A39="","",IF(A39=Expiry,0,A40-A39))</f>
        <v>3</v>
      </c>
      <c r="AL39" s="38">
        <f t="shared" ca="1" si="25"/>
        <v>-53.776320677827528</v>
      </c>
    </row>
    <row r="40" spans="1:38" x14ac:dyDescent="0.2">
      <c r="A40" s="45">
        <v>43507</v>
      </c>
      <c r="B40" s="43">
        <f t="shared" ca="1" si="11"/>
        <v>862.62200150867511</v>
      </c>
      <c r="C40" s="96">
        <f t="shared" ca="1" si="16"/>
        <v>-931.99295444631935</v>
      </c>
      <c r="D40" s="44">
        <f t="shared" ca="1" si="12"/>
        <v>-17411.019529751644</v>
      </c>
      <c r="E40" s="98">
        <v>18.681492651513899</v>
      </c>
      <c r="F40" s="63">
        <f t="shared" ca="1" si="17"/>
        <v>186.75636926187366</v>
      </c>
      <c r="G40" s="56" t="str">
        <f t="shared" si="18"/>
        <v/>
      </c>
      <c r="H40" s="42"/>
      <c r="I40" s="2">
        <f t="shared" si="19"/>
        <v>100</v>
      </c>
      <c r="J40" s="100">
        <f t="shared" ca="1" si="0"/>
        <v>5.4118137593492932E-2</v>
      </c>
      <c r="K40" s="55">
        <f t="shared" ca="1" si="1"/>
        <v>541.18137593492929</v>
      </c>
      <c r="L40" s="63">
        <f t="shared" ca="1" si="13"/>
        <v>-1046.7658253759328</v>
      </c>
      <c r="M40" s="96">
        <f t="shared" ca="1" si="2"/>
        <v>931.99295444631935</v>
      </c>
      <c r="N40" s="96">
        <f ca="1">IF(A40="","",IF(A40=Expiry,0,EXP(-q*Q40)*_xlfn.NORM.S.DIST(Y40,0)/(sigma*SQRT(Q40))*I40*Mult/100))</f>
        <v>243.40331621368941</v>
      </c>
      <c r="O40" s="96">
        <f ca="1">IF(A40="","",IF(A40=Expiry,0,D40*E40*E40*EXP(-q*Q40)*_xlfn.NORM.S.DIST(Y40,0)*SQRT(Q40)/100))</f>
        <v>-1060.031364806631</v>
      </c>
      <c r="P40" s="69">
        <f ca="1">IF(A40="","",IF(A40=Expiry,0,AK40*I40*Mult*((-EXP(-q*Q40)*E40*_xlfn.NORM.S.DIST(Y40,0)*sigma/(2*SQRT(Q40))-r_dom*K*EXP(-r_dom*Q40)*_xlfn.NORM.S.DIST(Z40,1)+q*E40*EXP(-q*Q40)*_xlfn.NORM.S.DIST(Y40,1))/365)))</f>
        <v>-266.78864635047682</v>
      </c>
      <c r="Q40" s="83">
        <f t="shared" ca="1" si="3"/>
        <v>1.0958904109589041E-2</v>
      </c>
      <c r="R40" s="38"/>
      <c r="S40" s="68">
        <f t="shared" ca="1" si="14"/>
        <v>-860.00945611405905</v>
      </c>
      <c r="T40" s="69">
        <f t="shared" ca="1" si="20"/>
        <v>23124.997648898025</v>
      </c>
      <c r="U40" s="70">
        <f t="shared" ca="1" si="21"/>
        <v>-3.6514749452086451E-2</v>
      </c>
      <c r="V40" s="72">
        <f t="shared" ca="1" si="22"/>
        <v>99.29678163688628</v>
      </c>
      <c r="W40" s="2">
        <f t="shared" si="15"/>
        <v>100</v>
      </c>
      <c r="X40" s="2">
        <f t="shared" si="4"/>
        <v>20.5</v>
      </c>
      <c r="Y40" s="35">
        <f t="shared" ca="1" si="5"/>
        <v>-1.321236581659982</v>
      </c>
      <c r="Z40" s="36">
        <f t="shared" ca="1" si="6"/>
        <v>-1.389700430734782</v>
      </c>
      <c r="AA40" s="70">
        <f t="shared" si="23"/>
        <v>-5.5550215750651425E-3</v>
      </c>
      <c r="AB40" s="2"/>
      <c r="AC40" s="94">
        <f t="shared" ca="1" si="7"/>
        <v>5.4118137593492932E-2</v>
      </c>
      <c r="AD40" s="95">
        <f t="shared" ca="1" si="8"/>
        <v>1.8705279998351116</v>
      </c>
      <c r="AE40" s="96">
        <f t="shared" ca="1" si="9"/>
        <v>931.99295444631935</v>
      </c>
      <c r="AF40" s="124">
        <f t="shared" ca="1" si="10"/>
        <v>-9066.7249359701345</v>
      </c>
      <c r="AG40" s="2"/>
      <c r="AH40" s="38">
        <f ca="1">IF(A40="","",0.5*EXP(-q*Q39)*_xlfn.NORM.S.DIST(Y39,0)/(E39*sigma*SQRT(Q39))*I39*Mult*(E40-E39)^2)</f>
        <v>8.3345854487489799</v>
      </c>
      <c r="AI40" s="38">
        <v>0</v>
      </c>
      <c r="AJ40" s="38">
        <f t="shared" ca="1" si="24"/>
        <v>-956.82866942703311</v>
      </c>
      <c r="AK40" s="38">
        <f ca="1">IF(A40="","",IF(A40=Expiry,0,A41-A40))</f>
        <v>1</v>
      </c>
      <c r="AL40" s="38">
        <f t="shared" ca="1" si="25"/>
        <v>88.484627864225104</v>
      </c>
    </row>
    <row r="41" spans="1:38" x14ac:dyDescent="0.2">
      <c r="A41" s="45">
        <v>43508</v>
      </c>
      <c r="B41" s="43">
        <f t="shared" ca="1" si="11"/>
        <v>576.0778256698577</v>
      </c>
      <c r="C41" s="96">
        <f t="shared" ca="1" si="16"/>
        <v>-355.91512877646164</v>
      </c>
      <c r="D41" s="44">
        <f t="shared" ca="1" si="12"/>
        <v>-6544.0649965710145</v>
      </c>
      <c r="E41" s="98">
        <v>18.386588451768574</v>
      </c>
      <c r="F41" s="63">
        <f t="shared" ca="1" si="17"/>
        <v>274.84863639927295</v>
      </c>
      <c r="G41" s="56" t="str">
        <f t="shared" si="18"/>
        <v/>
      </c>
      <c r="H41" s="42"/>
      <c r="I41" s="2">
        <f t="shared" si="19"/>
        <v>100</v>
      </c>
      <c r="J41" s="100">
        <f t="shared" ca="1" si="0"/>
        <v>1.5074495118011066E-2</v>
      </c>
      <c r="K41" s="55">
        <f t="shared" ca="1" si="1"/>
        <v>150.74495118011066</v>
      </c>
      <c r="L41" s="63">
        <f t="shared" ca="1" si="13"/>
        <v>-390.43642475481863</v>
      </c>
      <c r="M41" s="96">
        <f t="shared" ca="1" si="2"/>
        <v>355.9151287764617</v>
      </c>
      <c r="N41" s="96">
        <f ca="1">IF(A41="","",IF(A41=Expiry,0,EXP(-q*Q41)*_xlfn.NORM.S.DIST(Y41,0)/(sigma*SQRT(Q41))*I41*Mult/100))</f>
        <v>132.12401331693167</v>
      </c>
      <c r="O41" s="96">
        <f ca="1">IF(A41="","",IF(A41=Expiry,0,D41*E41*E41*EXP(-q*Q41)*_xlfn.NORM.S.DIST(Y41,0)*SQRT(Q41)/100))</f>
        <v>-157.12229373690937</v>
      </c>
      <c r="P41" s="69">
        <f ca="1">IF(A41="","",IF(A41=Expiry,0,AK41*I41*Mult*((-EXP(-q*Q41)*E41*_xlfn.NORM.S.DIST(Y41,0)*sigma/(2*SQRT(Q41))-r_dom*K*EXP(-r_dom*Q41)*_xlfn.NORM.S.DIST(Z41,1)+q*E41*EXP(-q*Q41)*_xlfn.NORM.S.DIST(Y41,1))/365)))</f>
        <v>-142.47680983560693</v>
      </c>
      <c r="Q41" s="83">
        <f t="shared" ca="1" si="3"/>
        <v>8.21917808219178E-3</v>
      </c>
      <c r="R41" s="38"/>
      <c r="S41" s="68">
        <f t="shared" ca="1" si="14"/>
        <v>-115.58778835554568</v>
      </c>
      <c r="T41" s="69">
        <f t="shared" ca="1" si="20"/>
        <v>23009.409860542481</v>
      </c>
      <c r="U41" s="70">
        <f t="shared" ca="1" si="21"/>
        <v>-5.010925097203061E-3</v>
      </c>
      <c r="V41" s="72">
        <f t="shared" ca="1" si="22"/>
        <v>98.800457461874828</v>
      </c>
      <c r="W41" s="2">
        <f t="shared" si="15"/>
        <v>100</v>
      </c>
      <c r="X41" s="2">
        <f t="shared" si="4"/>
        <v>20.5</v>
      </c>
      <c r="Y41" s="35">
        <f t="shared" ca="1" si="5"/>
        <v>-1.8042643775341896</v>
      </c>
      <c r="Z41" s="36">
        <f t="shared" ca="1" si="6"/>
        <v>-1.8635558100738301</v>
      </c>
      <c r="AA41" s="70">
        <f t="shared" si="23"/>
        <v>-1.5911825650576694E-2</v>
      </c>
      <c r="AB41" s="2"/>
      <c r="AC41" s="94">
        <f t="shared" ca="1" si="7"/>
        <v>1.5074495118011066E-2</v>
      </c>
      <c r="AD41" s="95">
        <f t="shared" ca="1" si="8"/>
        <v>2.1268845072267908</v>
      </c>
      <c r="AE41" s="96">
        <f t="shared" ca="1" si="9"/>
        <v>355.9151287764617</v>
      </c>
      <c r="AF41" s="124">
        <f t="shared" ca="1" si="10"/>
        <v>-9643.1232736243837</v>
      </c>
      <c r="AG41" s="2"/>
      <c r="AH41" s="38">
        <f ca="1">IF(A41="","",0.5*EXP(-q*Q40)*_xlfn.NORM.S.DIST(Y40,0)/(E40*sigma*SQRT(Q40))*I40*Mult*(E41-E40)^2)</f>
        <v>56.65612096271223</v>
      </c>
      <c r="AI41" s="38">
        <v>0</v>
      </c>
      <c r="AJ41" s="38">
        <f t="shared" ca="1" si="24"/>
        <v>-266.78864635047682</v>
      </c>
      <c r="AK41" s="38">
        <f ca="1">IF(A41="","",IF(A41=Expiry,0,A42-A41))</f>
        <v>1</v>
      </c>
      <c r="AL41" s="38">
        <f t="shared" ca="1" si="25"/>
        <v>94.544737032218904</v>
      </c>
    </row>
    <row r="42" spans="1:38" x14ac:dyDescent="0.2">
      <c r="A42" s="45">
        <v>43509</v>
      </c>
      <c r="B42" s="43">
        <f t="shared" ca="1" si="11"/>
        <v>346.91184089955112</v>
      </c>
      <c r="C42" s="96">
        <f t="shared" ca="1" si="16"/>
        <v>-9.0032878769105196</v>
      </c>
      <c r="D42" s="44">
        <f t="shared" ca="1" si="12"/>
        <v>-158.49026570835787</v>
      </c>
      <c r="E42" s="98">
        <v>17.603598582559581</v>
      </c>
      <c r="F42" s="63">
        <f t="shared" ca="1" si="17"/>
        <v>278.67794013018374</v>
      </c>
      <c r="G42" s="56" t="str">
        <f t="shared" si="18"/>
        <v/>
      </c>
      <c r="H42" s="42"/>
      <c r="I42" s="2">
        <f t="shared" si="19"/>
        <v>100</v>
      </c>
      <c r="J42" s="100">
        <f t="shared" ca="1" si="0"/>
        <v>2.0820874625006661E-4</v>
      </c>
      <c r="K42" s="55">
        <f t="shared" ca="1" si="1"/>
        <v>2.0820874625006662</v>
      </c>
      <c r="L42" s="63">
        <f t="shared" ca="1" si="13"/>
        <v>-148.66286371760998</v>
      </c>
      <c r="M42" s="96">
        <f t="shared" ca="1" si="2"/>
        <v>9.0032878769105391</v>
      </c>
      <c r="N42" s="96">
        <f ca="1">IF(A42="","",IF(A42=Expiry,0,EXP(-q*Q42)*_xlfn.NORM.S.DIST(Y42,0)/(sigma*SQRT(Q42))*I42*Mult/100))</f>
        <v>6.3157724669682294</v>
      </c>
      <c r="O42" s="96">
        <f ca="1">IF(A42="","",IF(A42=Expiry,0,D42*E42*E42*EXP(-q*Q42)*_xlfn.NORM.S.DIST(Y42,0)*SQRT(Q42)/100))</f>
        <v>-0.11115957102689179</v>
      </c>
      <c r="P42" s="69">
        <f ca="1">IF(A42="","",IF(A42=Expiry,0,AK42*I42*Mult*((-EXP(-q*Q42)*E42*_xlfn.NORM.S.DIST(Y42,0)*sigma/(2*SQRT(Q42))-r_dom*K*EXP(-r_dom*Q42)*_xlfn.NORM.S.DIST(Z42,1)+q*E42*EXP(-q*Q42)*_xlfn.NORM.S.DIST(Y42,1))/365)))</f>
        <v>-6.517682148926137</v>
      </c>
      <c r="Q42" s="83">
        <f t="shared" ca="1" si="3"/>
        <v>5.4794520547945206E-3</v>
      </c>
      <c r="R42" s="38"/>
      <c r="S42" s="68">
        <f t="shared" ca="1" si="14"/>
        <v>130.01507641257376</v>
      </c>
      <c r="T42" s="69">
        <f t="shared" ca="1" si="20"/>
        <v>23139.424936955053</v>
      </c>
      <c r="U42" s="70">
        <f t="shared" ca="1" si="21"/>
        <v>5.6346133534620124E-3</v>
      </c>
      <c r="V42" s="72">
        <f t="shared" ca="1" si="22"/>
        <v>99.358731190073783</v>
      </c>
      <c r="W42" s="2">
        <f t="shared" si="15"/>
        <v>100</v>
      </c>
      <c r="X42" s="2">
        <f t="shared" si="4"/>
        <v>20.5</v>
      </c>
      <c r="Y42" s="35">
        <f t="shared" ca="1" si="5"/>
        <v>-3.121262720870718</v>
      </c>
      <c r="Z42" s="36">
        <f t="shared" ca="1" si="6"/>
        <v>-3.1696739728176415</v>
      </c>
      <c r="AA42" s="70">
        <f t="shared" si="23"/>
        <v>-4.3518164293572401E-2</v>
      </c>
      <c r="AB42" s="2"/>
      <c r="AC42" s="94">
        <f t="shared" ca="1" si="7"/>
        <v>2.0820874625006661E-4</v>
      </c>
      <c r="AD42" s="95">
        <f t="shared" ca="1" si="8"/>
        <v>2.8954916972355278</v>
      </c>
      <c r="AE42" s="96">
        <f t="shared" ca="1" si="9"/>
        <v>9.0032878769105391</v>
      </c>
      <c r="AF42" s="124">
        <f t="shared" ca="1" si="10"/>
        <v>-9990.3556367824367</v>
      </c>
      <c r="AG42" s="2"/>
      <c r="AH42" s="38">
        <f ca="1">IF(A42="","",0.5*EXP(-q*Q41)*_xlfn.NORM.S.DIST(Y41,0)/(E41*sigma*SQRT(Q41))*I41*Mult*(E42-E41)^2)</f>
        <v>220.27382432305933</v>
      </c>
      <c r="AI42" s="38">
        <v>0</v>
      </c>
      <c r="AJ42" s="38">
        <f t="shared" ca="1" si="24"/>
        <v>-142.47680983560693</v>
      </c>
      <c r="AK42" s="38">
        <f ca="1">IF(A42="","",IF(A42=Expiry,0,A43-A42))</f>
        <v>1</v>
      </c>
      <c r="AL42" s="38">
        <f t="shared" ca="1" si="25"/>
        <v>52.218061925121361</v>
      </c>
    </row>
    <row r="43" spans="1:38" x14ac:dyDescent="0.2">
      <c r="A43" s="45">
        <v>43510</v>
      </c>
      <c r="B43" s="43">
        <f t="shared" ca="1" si="11"/>
        <v>8.3066710337295664</v>
      </c>
      <c r="C43" s="96">
        <f t="shared" ca="1" si="16"/>
        <v>-0.69661684318095318</v>
      </c>
      <c r="D43" s="44">
        <f t="shared" ca="1" si="12"/>
        <v>-12.527106548046088</v>
      </c>
      <c r="E43" s="98">
        <v>17.982778726457017</v>
      </c>
      <c r="F43" s="63">
        <f t="shared" ca="1" si="17"/>
        <v>-3.4138679927169724</v>
      </c>
      <c r="G43" s="56" t="str">
        <f t="shared" si="18"/>
        <v/>
      </c>
      <c r="H43" s="42"/>
      <c r="I43" s="2">
        <f t="shared" si="19"/>
        <v>100</v>
      </c>
      <c r="J43" s="100">
        <f t="shared" ca="1" si="0"/>
        <v>9.9938043574051422E-6</v>
      </c>
      <c r="K43" s="55">
        <f t="shared" ca="1" si="1"/>
        <v>9.9938043574051422E-2</v>
      </c>
      <c r="L43" s="63">
        <f t="shared" ca="1" si="13"/>
        <v>-1.9821494189266147</v>
      </c>
      <c r="M43" s="96">
        <f t="shared" ca="1" si="2"/>
        <v>0.69661684318095307</v>
      </c>
      <c r="N43" s="96">
        <f ca="1">IF(A43="","",IF(A43=Expiry,0,EXP(-q*Q43)*_xlfn.NORM.S.DIST(Y43,0)/(sigma*SQRT(Q43))*I43*Mult/100))</f>
        <v>0.82299120678975701</v>
      </c>
      <c r="O43" s="96">
        <f ca="1">IF(A43="","",IF(A43=Expiry,0,D43*E43*E43*EXP(-q*Q43)*_xlfn.NORM.S.DIST(Y43,0)*SQRT(Q43)/100))</f>
        <v>-5.9737143404231508E-4</v>
      </c>
      <c r="P43" s="69">
        <f ca="1">IF(A43="","",IF(A43=Expiry,0,AK43*I43*Mult*((-EXP(-q*Q43)*E43*_xlfn.NORM.S.DIST(Y43,0)*sigma/(2*SQRT(Q43))-r_dom*K*EXP(-r_dom*Q43)*_xlfn.NORM.S.DIST(Z43,1)+q*E43*EXP(-q*Q43)*_xlfn.NORM.S.DIST(Y43,1))/365)))</f>
        <v>-0.86741022605242613</v>
      </c>
      <c r="Q43" s="83">
        <f t="shared" ca="1" si="3"/>
        <v>2.7397260273972603E-3</v>
      </c>
      <c r="R43" s="38"/>
      <c r="S43" s="68">
        <f t="shared" ca="1" si="14"/>
        <v>-5.3960174116435873</v>
      </c>
      <c r="T43" s="69">
        <f t="shared" ca="1" si="20"/>
        <v>23134.028919543409</v>
      </c>
      <c r="U43" s="70">
        <f t="shared" ca="1" si="21"/>
        <v>-2.3322302471034405E-4</v>
      </c>
      <c r="V43" s="72">
        <f t="shared" ca="1" si="22"/>
        <v>99.335561148252893</v>
      </c>
      <c r="W43" s="2">
        <f t="shared" si="15"/>
        <v>100</v>
      </c>
      <c r="X43" s="2">
        <f t="shared" si="4"/>
        <v>20.5</v>
      </c>
      <c r="Y43" s="35">
        <f t="shared" ca="1" si="5"/>
        <v>-3.8093584669876663</v>
      </c>
      <c r="Z43" s="36">
        <f t="shared" ca="1" si="6"/>
        <v>-3.8435903915250664</v>
      </c>
      <c r="AA43" s="70">
        <f t="shared" si="23"/>
        <v>2.1311216449579E-2</v>
      </c>
      <c r="AB43" s="2"/>
      <c r="AC43" s="94">
        <f t="shared" ca="1" si="7"/>
        <v>9.9938043574051422E-6</v>
      </c>
      <c r="AD43" s="95">
        <f t="shared" ca="1" si="8"/>
        <v>2.5166844354888909</v>
      </c>
      <c r="AE43" s="96">
        <f t="shared" ca="1" si="9"/>
        <v>0.69661684318095307</v>
      </c>
      <c r="AF43" s="124">
        <f t="shared" ca="1" si="10"/>
        <v>-9998.9828403491083</v>
      </c>
      <c r="AG43" s="2"/>
      <c r="AH43" s="38">
        <f ca="1">IF(A43="","",0.5*EXP(-q*Q42)*_xlfn.NORM.S.DIST(Y42,0)/(E42*sigma*SQRT(Q42))*I42*Mult*(E43-E42)^2)</f>
        <v>2.579206991431136</v>
      </c>
      <c r="AI43" s="38">
        <v>0</v>
      </c>
      <c r="AJ43" s="38">
        <f t="shared" ca="1" si="24"/>
        <v>-6.517682148926137</v>
      </c>
      <c r="AK43" s="38">
        <f ca="1">IF(A43="","",IF(A43=Expiry,0,A44-A43))</f>
        <v>1</v>
      </c>
      <c r="AL43" s="38">
        <f t="shared" ca="1" si="25"/>
        <v>-1.4575422541485858</v>
      </c>
    </row>
    <row r="44" spans="1:38" x14ac:dyDescent="0.2">
      <c r="A44" s="45">
        <v>43511</v>
      </c>
      <c r="B44" s="43">
        <f t="shared" ca="1" si="11"/>
        <v>0.69661684318095318</v>
      </c>
      <c r="C44" s="96">
        <f t="shared" ca="1" si="16"/>
        <v>0</v>
      </c>
      <c r="D44" s="44">
        <f t="shared" ca="1" si="12"/>
        <v>0</v>
      </c>
      <c r="E44" s="98">
        <v>19.087403931103353</v>
      </c>
      <c r="F44" s="63">
        <f t="shared" ca="1" si="17"/>
        <v>-0.76950052295884486</v>
      </c>
      <c r="G44" s="56" t="str">
        <f t="shared" si="18"/>
        <v/>
      </c>
      <c r="H44" s="42"/>
      <c r="I44" s="2">
        <f t="shared" si="19"/>
        <v>100</v>
      </c>
      <c r="J44" s="100">
        <f t="shared" ca="1" si="0"/>
        <v>0</v>
      </c>
      <c r="K44" s="55">
        <f t="shared" ca="1" si="1"/>
        <v>0</v>
      </c>
      <c r="L44" s="63">
        <f t="shared" ca="1" si="13"/>
        <v>-9.9938043574051422E-2</v>
      </c>
      <c r="M44" s="96">
        <f t="shared" ca="1" si="2"/>
        <v>0</v>
      </c>
      <c r="N44" s="96">
        <f ca="1">IF(A44="","",IF(A44=Expiry,0,EXP(-q*Q44)*_xlfn.NORM.S.DIST(Y44,0)/(sigma*SQRT(Q44))*I44*Mult/100))</f>
        <v>0</v>
      </c>
      <c r="O44" s="96">
        <f ca="1">IF(A44="","",IF(A44=Expiry,0,D44*E44*E44*EXP(-q*Q44)*_xlfn.NORM.S.DIST(Y44,0)*SQRT(Q44)/100))</f>
        <v>0</v>
      </c>
      <c r="P44" s="69">
        <f ca="1">IF(A44="","",IF(A44=Expiry,0,AK44*I44*Mult*((-EXP(-q*Q44)*E44*_xlfn.NORM.S.DIST(Y44,0)*sigma/(2*SQRT(Q44))-r_dom*K*EXP(-r_dom*Q44)*_xlfn.NORM.S.DIST(Z44,1)+q*E44*EXP(-q*Q44)*_xlfn.NORM.S.DIST(Y44,1))/365)))</f>
        <v>0</v>
      </c>
      <c r="Q44" s="83">
        <f t="shared" ca="1" si="3"/>
        <v>0</v>
      </c>
      <c r="R44" s="38"/>
      <c r="S44" s="68">
        <f t="shared" ca="1" si="14"/>
        <v>-0.86943856653289631</v>
      </c>
      <c r="T44" s="69">
        <f t="shared" ca="1" si="20"/>
        <v>23133.159480976876</v>
      </c>
      <c r="U44" s="70">
        <f t="shared" ca="1" si="21"/>
        <v>-3.7583375895151976E-5</v>
      </c>
      <c r="V44" s="72">
        <f t="shared" ca="1" si="22"/>
        <v>99.331827852673868</v>
      </c>
      <c r="W44" s="2">
        <f t="shared" si="15"/>
        <v>100</v>
      </c>
      <c r="X44" s="2">
        <f t="shared" si="4"/>
        <v>20.5</v>
      </c>
      <c r="Y44" s="35" t="str">
        <f t="shared" ca="1" si="5"/>
        <v/>
      </c>
      <c r="Z44" s="36" t="str">
        <f t="shared" ca="1" si="6"/>
        <v/>
      </c>
      <c r="AA44" s="70">
        <f t="shared" si="23"/>
        <v>5.9614074941279641E-2</v>
      </c>
      <c r="AB44" s="2"/>
      <c r="AC44" s="94">
        <f t="shared" ca="1" si="7"/>
        <v>0</v>
      </c>
      <c r="AD44" s="95">
        <f t="shared" ca="1" si="8"/>
        <v>1.4125960688966472</v>
      </c>
      <c r="AE44" s="96">
        <f t="shared" ca="1" si="9"/>
        <v>0</v>
      </c>
      <c r="AF44" s="124">
        <f t="shared" ca="1" si="10"/>
        <v>-10000</v>
      </c>
      <c r="AG44" s="2"/>
      <c r="AH44" s="38">
        <f ca="1">IF(A44="","",0.5*EXP(-q*Q43)*_xlfn.NORM.S.DIST(Y43,0)/(E43*sigma*SQRT(Q43))*I43*Mult*(E44-E43)^2)</f>
        <v>2.7921471075273061</v>
      </c>
      <c r="AI44" s="38">
        <v>0</v>
      </c>
      <c r="AJ44" s="38">
        <f t="shared" ca="1" si="24"/>
        <v>-0.86741022605242613</v>
      </c>
      <c r="AK44" s="38">
        <f ca="1">IF(A44="","",IF(A44=Expiry,0,A45-A44))</f>
        <v>0</v>
      </c>
      <c r="AL44" s="38">
        <f t="shared" ca="1" si="25"/>
        <v>-2.7941754480077763</v>
      </c>
    </row>
    <row r="45" spans="1:38" x14ac:dyDescent="0.2">
      <c r="A45" s="45"/>
      <c r="B45" s="43" t="str">
        <f t="shared" si="11"/>
        <v/>
      </c>
      <c r="C45" s="96" t="str">
        <f t="shared" si="16"/>
        <v/>
      </c>
      <c r="D45" s="44" t="str">
        <f t="shared" si="12"/>
        <v/>
      </c>
      <c r="E45" s="98"/>
      <c r="F45" s="63" t="str">
        <f t="shared" si="17"/>
        <v/>
      </c>
      <c r="G45" s="56" t="str">
        <f t="shared" si="18"/>
        <v/>
      </c>
      <c r="H45" s="42"/>
      <c r="I45" s="2" t="str">
        <f t="shared" si="19"/>
        <v/>
      </c>
      <c r="J45" s="100" t="str">
        <f t="shared" si="0"/>
        <v/>
      </c>
      <c r="K45" s="55" t="str">
        <f t="shared" si="1"/>
        <v/>
      </c>
      <c r="L45" s="63" t="str">
        <f t="shared" si="13"/>
        <v/>
      </c>
      <c r="M45" s="96" t="str">
        <f t="shared" si="2"/>
        <v/>
      </c>
      <c r="N45" s="96" t="str">
        <f>IF(A45="","",IF(A45=Expiry,0,EXP(-q*Q45)*_xlfn.NORM.S.DIST(Y45,0)/(sigma*SQRT(Q45))*I45*Mult/100))</f>
        <v/>
      </c>
      <c r="O45" s="96" t="str">
        <f>IF(A45="","",IF(A45=Expiry,0,D45*E45*E45*EXP(-q*Q45)*_xlfn.NORM.S.DIST(Y45,0)*SQRT(Q45)/100))</f>
        <v/>
      </c>
      <c r="P45" s="69" t="str">
        <f>IF(A45="","",IF(A45=Expiry,0,AK45*I45*Mult*((-EXP(-q*Q45)*E45*_xlfn.NORM.S.DIST(Y45,0)*sigma/(2*SQRT(Q45))-r_dom*K*EXP(-r_dom*Q45)*_xlfn.NORM.S.DIST(Z45,1)+q*E45*EXP(-q*Q45)*_xlfn.NORM.S.DIST(Y45,1))/365)))</f>
        <v/>
      </c>
      <c r="Q45" s="83" t="str">
        <f t="shared" si="3"/>
        <v/>
      </c>
      <c r="R45" s="38"/>
      <c r="S45" s="68" t="str">
        <f t="shared" si="14"/>
        <v/>
      </c>
      <c r="T45" s="69" t="str">
        <f t="shared" si="20"/>
        <v/>
      </c>
      <c r="U45" s="70" t="str">
        <f t="shared" si="21"/>
        <v/>
      </c>
      <c r="V45" s="72" t="str">
        <f t="shared" si="22"/>
        <v/>
      </c>
      <c r="W45" s="2" t="str">
        <f t="shared" si="15"/>
        <v/>
      </c>
      <c r="X45" s="2" t="str">
        <f t="shared" si="4"/>
        <v/>
      </c>
      <c r="Y45" s="35" t="str">
        <f t="shared" ca="1" si="5"/>
        <v/>
      </c>
      <c r="Z45" s="36" t="str">
        <f t="shared" ca="1" si="6"/>
        <v/>
      </c>
      <c r="AA45" s="70" t="str">
        <f t="shared" si="23"/>
        <v/>
      </c>
      <c r="AB45" s="2"/>
      <c r="AC45" s="94" t="str">
        <f t="shared" si="7"/>
        <v/>
      </c>
      <c r="AD45" s="95" t="str">
        <f t="shared" si="8"/>
        <v/>
      </c>
      <c r="AE45" s="96" t="str">
        <f t="shared" si="9"/>
        <v/>
      </c>
      <c r="AF45" s="124" t="str">
        <f t="shared" si="10"/>
        <v/>
      </c>
      <c r="AG45" s="2"/>
      <c r="AH45" s="38" t="str">
        <f>IF(A45="","",0.5*EXP(-q*Q44)*_xlfn.NORM.S.DIST(Y44,0)/(E44*sigma*SQRT(Q44))*I44*Mult*(E45-E44)^2)</f>
        <v/>
      </c>
      <c r="AI45" s="38">
        <v>0</v>
      </c>
      <c r="AJ45" s="38" t="str">
        <f t="shared" si="24"/>
        <v/>
      </c>
      <c r="AK45" s="38" t="str">
        <f>IF(A45="","",IF(A45=Expiry,0,A46-A45))</f>
        <v/>
      </c>
      <c r="AL45" s="38" t="e">
        <f t="shared" si="25"/>
        <v>#VALUE!</v>
      </c>
    </row>
    <row r="46" spans="1:38" x14ac:dyDescent="0.2">
      <c r="A46" s="45"/>
      <c r="B46" s="43" t="str">
        <f t="shared" si="11"/>
        <v/>
      </c>
      <c r="C46" s="96" t="str">
        <f t="shared" si="16"/>
        <v/>
      </c>
      <c r="D46" s="44" t="str">
        <f t="shared" si="12"/>
        <v/>
      </c>
      <c r="E46" s="98"/>
      <c r="F46" s="63" t="str">
        <f t="shared" si="17"/>
        <v/>
      </c>
      <c r="G46" s="56" t="str">
        <f t="shared" si="18"/>
        <v/>
      </c>
      <c r="H46" s="42"/>
      <c r="I46" s="2" t="str">
        <f t="shared" si="19"/>
        <v/>
      </c>
      <c r="J46" s="100" t="str">
        <f t="shared" si="0"/>
        <v/>
      </c>
      <c r="K46" s="55" t="str">
        <f t="shared" si="1"/>
        <v/>
      </c>
      <c r="L46" s="63" t="str">
        <f t="shared" si="13"/>
        <v/>
      </c>
      <c r="M46" s="96" t="str">
        <f t="shared" si="2"/>
        <v/>
      </c>
      <c r="N46" s="96" t="str">
        <f>IF(A46="","",IF(A46=Expiry,0,EXP(-q*Q46)*_xlfn.NORM.S.DIST(Y46,0)/(sigma*SQRT(Q46))*I46*Mult/100))</f>
        <v/>
      </c>
      <c r="O46" s="96" t="str">
        <f>IF(A46="","",IF(A46=Expiry,0,D46*E46*E46*EXP(-q*Q46)*_xlfn.NORM.S.DIST(Y46,0)*SQRT(Q46)/100))</f>
        <v/>
      </c>
      <c r="P46" s="69" t="str">
        <f>IF(A46="","",IF(A46=Expiry,0,AK46*I46*Mult*((-EXP(-q*Q46)*E46*_xlfn.NORM.S.DIST(Y46,0)*sigma/(2*SQRT(Q46))-r_dom*K*EXP(-r_dom*Q46)*_xlfn.NORM.S.DIST(Z46,1)+q*E46*EXP(-q*Q46)*_xlfn.NORM.S.DIST(Y46,1))/365)))</f>
        <v/>
      </c>
      <c r="Q46" s="83" t="str">
        <f t="shared" si="3"/>
        <v/>
      </c>
      <c r="R46" s="38"/>
      <c r="S46" s="68" t="str">
        <f t="shared" si="14"/>
        <v/>
      </c>
      <c r="T46" s="69" t="str">
        <f t="shared" si="20"/>
        <v/>
      </c>
      <c r="U46" s="70" t="str">
        <f t="shared" si="21"/>
        <v/>
      </c>
      <c r="V46" s="72" t="str">
        <f t="shared" si="22"/>
        <v/>
      </c>
      <c r="W46" s="2" t="str">
        <f t="shared" si="15"/>
        <v/>
      </c>
      <c r="X46" s="2" t="str">
        <f t="shared" si="4"/>
        <v/>
      </c>
      <c r="Y46" s="35" t="str">
        <f t="shared" ca="1" si="5"/>
        <v/>
      </c>
      <c r="Z46" s="36" t="str">
        <f t="shared" ca="1" si="6"/>
        <v/>
      </c>
      <c r="AA46" s="70" t="str">
        <f t="shared" si="23"/>
        <v/>
      </c>
      <c r="AB46" s="2"/>
      <c r="AC46" s="94" t="str">
        <f t="shared" si="7"/>
        <v/>
      </c>
      <c r="AD46" s="95" t="str">
        <f t="shared" si="8"/>
        <v/>
      </c>
      <c r="AE46" s="96" t="str">
        <f t="shared" si="9"/>
        <v/>
      </c>
      <c r="AF46" s="124" t="str">
        <f t="shared" si="10"/>
        <v/>
      </c>
      <c r="AG46" s="2"/>
      <c r="AH46" s="38" t="str">
        <f>IF(A46="","",0.5*EXP(-q*Q45)*_xlfn.NORM.S.DIST(Y45,0)/(E45*sigma*SQRT(Q45))*I45*Mult*(E46-E45)^2)</f>
        <v/>
      </c>
      <c r="AI46" s="38">
        <v>0</v>
      </c>
      <c r="AJ46" s="38" t="str">
        <f t="shared" si="24"/>
        <v/>
      </c>
      <c r="AK46" s="38" t="str">
        <f>IF(A46="","",IF(A46=Expiry,0,A47-A46))</f>
        <v/>
      </c>
      <c r="AL46" s="38" t="e">
        <f t="shared" si="25"/>
        <v>#VALUE!</v>
      </c>
    </row>
    <row r="47" spans="1:38" x14ac:dyDescent="0.2">
      <c r="A47" s="45"/>
      <c r="B47" s="43" t="str">
        <f t="shared" si="11"/>
        <v/>
      </c>
      <c r="C47" s="96" t="str">
        <f t="shared" si="16"/>
        <v/>
      </c>
      <c r="D47" s="44" t="str">
        <f t="shared" si="12"/>
        <v/>
      </c>
      <c r="E47" s="98"/>
      <c r="F47" s="63" t="str">
        <f t="shared" si="17"/>
        <v/>
      </c>
      <c r="G47" s="56" t="str">
        <f t="shared" si="18"/>
        <v/>
      </c>
      <c r="H47" s="42"/>
      <c r="I47" s="2" t="str">
        <f t="shared" si="19"/>
        <v/>
      </c>
      <c r="J47" s="100" t="str">
        <f t="shared" si="0"/>
        <v/>
      </c>
      <c r="K47" s="55" t="str">
        <f t="shared" si="1"/>
        <v/>
      </c>
      <c r="L47" s="63" t="str">
        <f t="shared" si="13"/>
        <v/>
      </c>
      <c r="M47" s="96" t="str">
        <f t="shared" si="2"/>
        <v/>
      </c>
      <c r="N47" s="96" t="str">
        <f>IF(A47="","",IF(A47=Expiry,0,EXP(-q*Q47)*_xlfn.NORM.S.DIST(Y47,0)/(sigma*SQRT(Q47))*I47*Mult/100))</f>
        <v/>
      </c>
      <c r="O47" s="96" t="str">
        <f>IF(A47="","",IF(A47=Expiry,0,D47*E47*E47*EXP(-q*Q47)*_xlfn.NORM.S.DIST(Y47,0)*SQRT(Q47)/100))</f>
        <v/>
      </c>
      <c r="P47" s="69" t="str">
        <f>IF(A47="","",IF(A47=Expiry,0,AK47*I47*Mult*((-EXP(-q*Q47)*E47*_xlfn.NORM.S.DIST(Y47,0)*sigma/(2*SQRT(Q47))-r_dom*K*EXP(-r_dom*Q47)*_xlfn.NORM.S.DIST(Z47,1)+q*E47*EXP(-q*Q47)*_xlfn.NORM.S.DIST(Y47,1))/365)))</f>
        <v/>
      </c>
      <c r="Q47" s="83" t="str">
        <f t="shared" si="3"/>
        <v/>
      </c>
      <c r="R47" s="38"/>
      <c r="S47" s="68" t="str">
        <f t="shared" si="14"/>
        <v/>
      </c>
      <c r="T47" s="69" t="str">
        <f t="shared" si="20"/>
        <v/>
      </c>
      <c r="U47" s="70" t="str">
        <f t="shared" si="21"/>
        <v/>
      </c>
      <c r="V47" s="72" t="str">
        <f t="shared" si="22"/>
        <v/>
      </c>
      <c r="W47" s="2" t="str">
        <f t="shared" si="15"/>
        <v/>
      </c>
      <c r="X47" s="2" t="str">
        <f t="shared" si="4"/>
        <v/>
      </c>
      <c r="Y47" s="35" t="str">
        <f t="shared" ca="1" si="5"/>
        <v/>
      </c>
      <c r="Z47" s="36" t="str">
        <f t="shared" ca="1" si="6"/>
        <v/>
      </c>
      <c r="AA47" s="70" t="str">
        <f t="shared" si="23"/>
        <v/>
      </c>
      <c r="AB47" s="2"/>
      <c r="AC47" s="94" t="str">
        <f t="shared" si="7"/>
        <v/>
      </c>
      <c r="AD47" s="95" t="str">
        <f t="shared" si="8"/>
        <v/>
      </c>
      <c r="AE47" s="96" t="str">
        <f t="shared" si="9"/>
        <v/>
      </c>
      <c r="AF47" s="124" t="str">
        <f t="shared" si="10"/>
        <v/>
      </c>
      <c r="AG47" s="2"/>
      <c r="AH47" s="38" t="str">
        <f>IF(A47="","",0.5*EXP(-q*Q46)*_xlfn.NORM.S.DIST(Y46,0)/(E46*sigma*SQRT(Q46))*I46*Mult*(E47-E46)^2)</f>
        <v/>
      </c>
      <c r="AI47" s="38"/>
      <c r="AJ47" s="38" t="str">
        <f t="shared" si="24"/>
        <v/>
      </c>
      <c r="AK47" s="38" t="str">
        <f>IF(A47="","",IF(A47=Expiry,0,A48-A47))</f>
        <v/>
      </c>
      <c r="AL47" s="2"/>
    </row>
    <row r="48" spans="1:38" x14ac:dyDescent="0.2">
      <c r="A48" s="45"/>
      <c r="B48" s="43" t="str">
        <f t="shared" si="11"/>
        <v/>
      </c>
      <c r="C48" s="96" t="str">
        <f t="shared" si="16"/>
        <v/>
      </c>
      <c r="D48" s="44" t="str">
        <f t="shared" si="12"/>
        <v/>
      </c>
      <c r="E48" s="98"/>
      <c r="F48" s="63" t="str">
        <f t="shared" si="17"/>
        <v/>
      </c>
      <c r="G48" s="56" t="str">
        <f t="shared" si="18"/>
        <v/>
      </c>
      <c r="H48" s="42"/>
      <c r="I48" s="2" t="str">
        <f t="shared" si="19"/>
        <v/>
      </c>
      <c r="J48" s="100" t="str">
        <f t="shared" si="0"/>
        <v/>
      </c>
      <c r="K48" s="55" t="str">
        <f t="shared" si="1"/>
        <v/>
      </c>
      <c r="L48" s="63" t="str">
        <f t="shared" si="13"/>
        <v/>
      </c>
      <c r="M48" s="96" t="str">
        <f t="shared" si="2"/>
        <v/>
      </c>
      <c r="N48" s="96" t="str">
        <f>IF(A48="","",IF(A48=Expiry,0,EXP(-q*Q48)*_xlfn.NORM.S.DIST(Y48,0)/(sigma*SQRT(Q48))*I48*Mult/100))</f>
        <v/>
      </c>
      <c r="O48" s="96" t="str">
        <f>IF(A48="","",IF(A48=Expiry,0,D48*E48*E48*EXP(-q*Q48)*_xlfn.NORM.S.DIST(Y48,0)*SQRT(Q48)/100))</f>
        <v/>
      </c>
      <c r="P48" s="69" t="str">
        <f>IF(A48="","",IF(A48=Expiry,0,AK48*I48*Mult*((-EXP(-q*Q48)*E48*_xlfn.NORM.S.DIST(Y48,0)*sigma/(2*SQRT(Q48))-r_dom*K*EXP(-r_dom*Q48)*_xlfn.NORM.S.DIST(Z48,1)+q*E48*EXP(-q*Q48)*_xlfn.NORM.S.DIST(Y48,1))/365)))</f>
        <v/>
      </c>
      <c r="Q48" s="83" t="str">
        <f t="shared" si="3"/>
        <v/>
      </c>
      <c r="R48" s="38"/>
      <c r="S48" s="68" t="str">
        <f t="shared" si="14"/>
        <v/>
      </c>
      <c r="T48" s="69" t="str">
        <f t="shared" si="20"/>
        <v/>
      </c>
      <c r="U48" s="70" t="str">
        <f t="shared" si="21"/>
        <v/>
      </c>
      <c r="V48" s="72" t="str">
        <f t="shared" si="22"/>
        <v/>
      </c>
      <c r="W48" s="2" t="str">
        <f t="shared" si="15"/>
        <v/>
      </c>
      <c r="X48" s="2" t="str">
        <f t="shared" si="4"/>
        <v/>
      </c>
      <c r="Y48" s="35" t="str">
        <f t="shared" ca="1" si="5"/>
        <v/>
      </c>
      <c r="Z48" s="36" t="str">
        <f t="shared" ca="1" si="6"/>
        <v/>
      </c>
      <c r="AA48" s="70" t="str">
        <f t="shared" si="23"/>
        <v/>
      </c>
      <c r="AB48" s="2"/>
      <c r="AC48" s="94" t="str">
        <f t="shared" si="7"/>
        <v/>
      </c>
      <c r="AD48" s="95" t="str">
        <f t="shared" si="8"/>
        <v/>
      </c>
      <c r="AE48" s="96" t="str">
        <f t="shared" si="9"/>
        <v/>
      </c>
      <c r="AF48" s="124" t="str">
        <f t="shared" si="10"/>
        <v/>
      </c>
      <c r="AG48" s="2"/>
      <c r="AH48" s="38" t="str">
        <f>IF(A48="","",0.5*EXP(-q*Q47)*_xlfn.NORM.S.DIST(Y47,0)/(E47*sigma*SQRT(Q47))*I47*Mult*(E48-E47)^2)</f>
        <v/>
      </c>
      <c r="AI48" s="38"/>
      <c r="AJ48" s="38"/>
      <c r="AK48" s="38" t="str">
        <f>IF(A48="","",IF(A48=Expiry,0,A49-A48))</f>
        <v/>
      </c>
      <c r="AL48" s="2"/>
    </row>
    <row r="49" spans="1:38" x14ac:dyDescent="0.2">
      <c r="A49" s="45"/>
      <c r="B49" s="43" t="str">
        <f t="shared" ref="B49" si="26">IF(A49="","",-(M49+C48))</f>
        <v/>
      </c>
      <c r="C49" s="96" t="str">
        <f t="shared" si="16"/>
        <v/>
      </c>
      <c r="D49" s="44" t="str">
        <f t="shared" ref="D49" si="27">IF(A49="","",C49*E49)</f>
        <v/>
      </c>
      <c r="E49" s="98"/>
      <c r="F49" s="63" t="str">
        <f t="shared" si="17"/>
        <v/>
      </c>
      <c r="G49" s="56" t="str">
        <f t="shared" ref="G49" si="28">IF(H49="","",J49)</f>
        <v/>
      </c>
      <c r="H49" s="42"/>
      <c r="I49" s="2" t="str">
        <f t="shared" ref="I49" si="29">IF(A49="","",I48+H49)</f>
        <v/>
      </c>
      <c r="J49" s="100" t="str">
        <f t="shared" si="0"/>
        <v/>
      </c>
      <c r="K49" s="55" t="str">
        <f t="shared" ref="K49" si="30">IF(I49="","",I49*Mult*J49)</f>
        <v/>
      </c>
      <c r="L49" s="63" t="str">
        <f t="shared" ref="L49" si="31">IF(A49="","",Mult*(IFERROR(0,H49*(G49-J49))+(I49-H49)*(J49-J48)))</f>
        <v/>
      </c>
      <c r="M49" s="96" t="str">
        <f t="shared" si="2"/>
        <v/>
      </c>
      <c r="N49" s="96" t="str">
        <f>IF(A49="","",IF(A49=Expiry,0,EXP(-q*Q49)*_xlfn.NORM.S.DIST(Y49,0)/(sigma*SQRT(Q49))*I49*Mult/100))</f>
        <v/>
      </c>
      <c r="O49" s="96" t="str">
        <f>IF(A49="","",IF(A49=Expiry,0,D49*E49*E49*EXP(-q*Q49)*_xlfn.NORM.S.DIST(Y49,0)*SQRT(Q49)/100))</f>
        <v/>
      </c>
      <c r="P49" s="69" t="str">
        <f>IF(A49="","",IF(A49=Expiry,0,AK49*I49*Mult*((-EXP(-q*Q49)*E49*_xlfn.NORM.S.DIST(Y49,0)*sigma/(2*SQRT(Q49))-r_dom*K*EXP(-r_dom*Q49)*_xlfn.NORM.S.DIST(Z49,1)+q*E49*EXP(-q*Q49)*_xlfn.NORM.S.DIST(Y49,1))/365)))</f>
        <v/>
      </c>
      <c r="Q49" s="83" t="str">
        <f t="shared" ref="Q49" si="32">IF(A49="","",IF(OR(A49="",Expiry&lt;=A49),0,(Expiry-A49)/365))</f>
        <v/>
      </c>
      <c r="R49" s="38"/>
      <c r="S49" s="68" t="str">
        <f t="shared" ref="S49" si="33">IF(A49="","",F49+L49)</f>
        <v/>
      </c>
      <c r="T49" s="69" t="str">
        <f t="shared" ref="T49" si="34">IF(A49="","",T48+S49)</f>
        <v/>
      </c>
      <c r="U49" s="70" t="str">
        <f t="shared" ref="U49" si="35">IF(A49="","",LN(T49/T48))</f>
        <v/>
      </c>
      <c r="V49" s="72" t="str">
        <f t="shared" ref="V49" si="36">IF(A49="","",V48*EXP(U49))</f>
        <v/>
      </c>
      <c r="W49" s="2" t="str">
        <f t="shared" si="15"/>
        <v/>
      </c>
      <c r="X49" s="2" t="str">
        <f t="shared" si="4"/>
        <v/>
      </c>
      <c r="Y49" s="35" t="str">
        <f t="shared" ref="Y49" ca="1" si="37">IF(OR(A49="",A49=Expiry),"",((LN(E49/K)+(r_dom-q+sigma^2/2)*Q49))/(sigma*SQRT(Q49)))</f>
        <v/>
      </c>
      <c r="Z49" s="36" t="str">
        <f t="shared" ref="Z49" ca="1" si="38">IF(OR(A49="",A49=Expiry),"",Y49-sigma*SQRT(Q49))</f>
        <v/>
      </c>
      <c r="AA49" s="70" t="str">
        <f t="shared" ref="AA49" si="39">IF(A49="","",LN(E49/E48))</f>
        <v/>
      </c>
      <c r="AB49" s="2"/>
      <c r="AC49" s="94" t="str">
        <f t="shared" si="7"/>
        <v/>
      </c>
      <c r="AD49" s="95" t="str">
        <f t="shared" si="8"/>
        <v/>
      </c>
      <c r="AE49" s="96" t="str">
        <f t="shared" si="9"/>
        <v/>
      </c>
      <c r="AF49" s="124" t="str">
        <f t="shared" si="10"/>
        <v/>
      </c>
      <c r="AG49" s="2"/>
      <c r="AH49" s="38" t="str">
        <f>IF(A49="","",0.5*EXP(-q*Q48)*_xlfn.NORM.S.DIST(Y48,0)/(E48*sigma*SQRT(Q48))*I48*Mult*(E49-E48)^2)</f>
        <v/>
      </c>
      <c r="AI49" s="38"/>
      <c r="AJ49" s="38"/>
      <c r="AK49" s="38" t="str">
        <f>IF(A49="","",IF(A49=Expiry,0,A50-A49))</f>
        <v/>
      </c>
      <c r="AL49" s="2"/>
    </row>
    <row r="50" spans="1:38" x14ac:dyDescent="0.2">
      <c r="A50" s="45"/>
      <c r="B50" s="43" t="str">
        <f t="shared" ref="B50:B113" si="40">IF(A50="","",-(M50+C49))</f>
        <v/>
      </c>
      <c r="C50" s="96" t="str">
        <f t="shared" si="16"/>
        <v/>
      </c>
      <c r="D50" s="44" t="str">
        <f t="shared" ref="D50:D113" si="41">IF(A50="","",C50*E50)</f>
        <v/>
      </c>
      <c r="E50" s="98"/>
      <c r="F50" s="63" t="str">
        <f t="shared" ref="F50:F113" si="42">IF(A50="","",C49*(E50-E49))</f>
        <v/>
      </c>
      <c r="G50" s="56" t="str">
        <f t="shared" ref="G50:G113" si="43">IF(H50="","",J50)</f>
        <v/>
      </c>
      <c r="H50" s="42"/>
      <c r="I50" s="2" t="str">
        <f t="shared" ref="I50:I113" si="44">IF(A50="","",I49+H50)</f>
        <v/>
      </c>
      <c r="J50" s="100" t="str">
        <f t="shared" si="0"/>
        <v/>
      </c>
      <c r="K50" s="55" t="str">
        <f t="shared" ref="K50:K113" si="45">IF(I50="","",I50*Mult*J50)</f>
        <v/>
      </c>
      <c r="L50" s="63" t="str">
        <f t="shared" ref="L50:L113" si="46">IF(A50="","",Mult*(IFERROR(0,H50*(G50-J50))+(I50-H50)*(J50-J49)))</f>
        <v/>
      </c>
      <c r="M50" s="96" t="str">
        <f t="shared" si="2"/>
        <v/>
      </c>
      <c r="N50" s="96" t="str">
        <f>IF(A50="","",IF(A50=Expiry,0,EXP(-q*Q50)*_xlfn.NORM.S.DIST(Y50,0)/(sigma*SQRT(Q50))*I50*Mult/100))</f>
        <v/>
      </c>
      <c r="O50" s="96" t="str">
        <f>IF(A50="","",IF(A50=Expiry,0,D50*E50*E50*EXP(-q*Q50)*_xlfn.NORM.S.DIST(Y50,0)*SQRT(Q50)/100))</f>
        <v/>
      </c>
      <c r="P50" s="69" t="str">
        <f>IF(A50="","",IF(A50=Expiry,0,AK50*I50*Mult*((-EXP(-q*Q50)*E50*_xlfn.NORM.S.DIST(Y50,0)*sigma/(2*SQRT(Q50))-r_dom*K*EXP(-r_dom*Q50)*_xlfn.NORM.S.DIST(Z50,1)+q*E50*EXP(-q*Q50)*_xlfn.NORM.S.DIST(Y50,1))/365)))</f>
        <v/>
      </c>
      <c r="Q50" s="83" t="str">
        <f t="shared" ref="Q50:Q113" si="47">IF(A50="","",IF(OR(A50="",Expiry&lt;=A50),0,(Expiry-A50)/365))</f>
        <v/>
      </c>
      <c r="R50" s="38"/>
      <c r="S50" s="68" t="str">
        <f t="shared" ref="S50:S113" si="48">IF(A50="","",F50+L50)</f>
        <v/>
      </c>
      <c r="T50" s="69" t="str">
        <f t="shared" ref="T50:T113" si="49">IF(A50="","",T49+S50)</f>
        <v/>
      </c>
      <c r="U50" s="70" t="str">
        <f t="shared" ref="U50:U113" si="50">IF(A50="","",LN(T50/T49))</f>
        <v/>
      </c>
      <c r="V50" s="72" t="str">
        <f t="shared" ref="V50:V113" si="51">IF(A50="","",V49*EXP(U50))</f>
        <v/>
      </c>
      <c r="W50" s="2" t="str">
        <f t="shared" si="15"/>
        <v/>
      </c>
      <c r="X50" s="2" t="str">
        <f t="shared" si="4"/>
        <v/>
      </c>
      <c r="Y50" s="35" t="str">
        <f t="shared" ref="Y50:Y113" ca="1" si="52">IF(OR(A50="",A50=Expiry),"",((LN(E50/K)+(r_dom-q+sigma^2/2)*Q50))/(sigma*SQRT(Q50)))</f>
        <v/>
      </c>
      <c r="Z50" s="36" t="str">
        <f t="shared" ref="Z50:Z113" ca="1" si="53">IF(OR(A50="",A50=Expiry),"",Y50-sigma*SQRT(Q50))</f>
        <v/>
      </c>
      <c r="AA50" s="70" t="str">
        <f t="shared" ref="AA50:AA113" si="54">IF(A50="","",LN(E50/E49))</f>
        <v/>
      </c>
      <c r="AB50" s="2"/>
      <c r="AC50" s="94" t="str">
        <f t="shared" si="7"/>
        <v/>
      </c>
      <c r="AD50" s="95" t="str">
        <f t="shared" si="8"/>
        <v/>
      </c>
      <c r="AE50" s="96" t="str">
        <f t="shared" si="9"/>
        <v/>
      </c>
      <c r="AF50" s="124" t="str">
        <f t="shared" si="10"/>
        <v/>
      </c>
      <c r="AG50" s="2"/>
      <c r="AH50" s="38" t="str">
        <f>IF(A50="","",0.5*EXP(-q*Q49)*_xlfn.NORM.S.DIST(Y49,0)/(E49*sigma*SQRT(Q49))*I49*Mult*(E50-E49)^2)</f>
        <v/>
      </c>
      <c r="AI50" s="2"/>
      <c r="AJ50" s="2"/>
      <c r="AK50" s="2"/>
      <c r="AL50" s="2"/>
    </row>
    <row r="51" spans="1:38" x14ac:dyDescent="0.2">
      <c r="A51" s="45"/>
      <c r="B51" s="43" t="str">
        <f t="shared" si="40"/>
        <v/>
      </c>
      <c r="C51" s="96" t="str">
        <f t="shared" si="16"/>
        <v/>
      </c>
      <c r="D51" s="44" t="str">
        <f t="shared" si="41"/>
        <v/>
      </c>
      <c r="E51" s="98"/>
      <c r="F51" s="63" t="str">
        <f t="shared" si="42"/>
        <v/>
      </c>
      <c r="G51" s="56" t="str">
        <f t="shared" si="43"/>
        <v/>
      </c>
      <c r="H51" s="42"/>
      <c r="I51" s="2" t="str">
        <f t="shared" si="44"/>
        <v/>
      </c>
      <c r="J51" s="100" t="str">
        <f t="shared" si="0"/>
        <v/>
      </c>
      <c r="K51" s="55" t="str">
        <f t="shared" si="45"/>
        <v/>
      </c>
      <c r="L51" s="63" t="str">
        <f t="shared" si="46"/>
        <v/>
      </c>
      <c r="M51" s="96" t="str">
        <f t="shared" si="2"/>
        <v/>
      </c>
      <c r="N51" s="96" t="str">
        <f>IF(A51="","",IF(A51=Expiry,0,EXP(-q*Q51)*_xlfn.NORM.S.DIST(Y51,0)/(sigma*SQRT(Q51))*I51*Mult/100))</f>
        <v/>
      </c>
      <c r="O51" s="96" t="str">
        <f>IF(A51="","",IF(A51=Expiry,0,D51*E51*E51*EXP(-q*Q51)*_xlfn.NORM.S.DIST(Y51,0)*SQRT(Q51)/100))</f>
        <v/>
      </c>
      <c r="P51" s="69" t="str">
        <f>IF(A51="","",IF(A51=Expiry,0,AK51*I51*Mult*((-EXP(-q*Q51)*E51*_xlfn.NORM.S.DIST(Y51,0)*sigma/(2*SQRT(Q51))-r_dom*K*EXP(-r_dom*Q51)*_xlfn.NORM.S.DIST(Z51,1)+q*E51*EXP(-q*Q51)*_xlfn.NORM.S.DIST(Y51,1))/365)))</f>
        <v/>
      </c>
      <c r="Q51" s="83" t="str">
        <f t="shared" si="47"/>
        <v/>
      </c>
      <c r="R51" s="38"/>
      <c r="S51" s="68" t="str">
        <f t="shared" si="48"/>
        <v/>
      </c>
      <c r="T51" s="69" t="str">
        <f t="shared" si="49"/>
        <v/>
      </c>
      <c r="U51" s="70" t="str">
        <f t="shared" si="50"/>
        <v/>
      </c>
      <c r="V51" s="72" t="str">
        <f t="shared" si="51"/>
        <v/>
      </c>
      <c r="W51" s="2" t="str">
        <f t="shared" si="15"/>
        <v/>
      </c>
      <c r="X51" s="2" t="str">
        <f t="shared" si="4"/>
        <v/>
      </c>
      <c r="Y51" s="35" t="str">
        <f t="shared" ca="1" si="52"/>
        <v/>
      </c>
      <c r="Z51" s="36" t="str">
        <f t="shared" ca="1" si="53"/>
        <v/>
      </c>
      <c r="AA51" s="70" t="str">
        <f t="shared" si="54"/>
        <v/>
      </c>
      <c r="AB51" s="2"/>
      <c r="AC51" s="94" t="str">
        <f t="shared" si="7"/>
        <v/>
      </c>
      <c r="AD51" s="95" t="str">
        <f t="shared" si="8"/>
        <v/>
      </c>
      <c r="AE51" s="96" t="str">
        <f t="shared" si="9"/>
        <v/>
      </c>
      <c r="AF51" s="124" t="str">
        <f t="shared" si="10"/>
        <v/>
      </c>
      <c r="AG51" s="2"/>
      <c r="AH51" s="38" t="str">
        <f>IF(A51="","",0.5*EXP(-q*Q50)*_xlfn.NORM.S.DIST(Y50,0)/(E50*sigma*SQRT(Q50))*I50*Mult*(E51-E50)^2)</f>
        <v/>
      </c>
      <c r="AI51" s="2"/>
      <c r="AJ51" s="2"/>
      <c r="AK51" s="2"/>
      <c r="AL51" s="2"/>
    </row>
    <row r="52" spans="1:38" x14ac:dyDescent="0.2">
      <c r="A52" s="45"/>
      <c r="B52" s="43" t="str">
        <f t="shared" si="40"/>
        <v/>
      </c>
      <c r="C52" s="96" t="str">
        <f t="shared" si="16"/>
        <v/>
      </c>
      <c r="D52" s="44" t="str">
        <f t="shared" si="41"/>
        <v/>
      </c>
      <c r="E52" s="98"/>
      <c r="F52" s="63" t="str">
        <f t="shared" si="42"/>
        <v/>
      </c>
      <c r="G52" s="56" t="str">
        <f t="shared" si="43"/>
        <v/>
      </c>
      <c r="H52" s="42"/>
      <c r="I52" s="2" t="str">
        <f t="shared" si="44"/>
        <v/>
      </c>
      <c r="J52" s="100" t="str">
        <f t="shared" si="0"/>
        <v/>
      </c>
      <c r="K52" s="55" t="str">
        <f t="shared" si="45"/>
        <v/>
      </c>
      <c r="L52" s="63" t="str">
        <f t="shared" si="46"/>
        <v/>
      </c>
      <c r="M52" s="96" t="str">
        <f t="shared" si="2"/>
        <v/>
      </c>
      <c r="N52" s="96" t="str">
        <f>IF(A52="","",IF(A52=Expiry,0,EXP(-q*Q52)*_xlfn.NORM.S.DIST(Y52,0)/(sigma*SQRT(Q52))*I52*Mult/100))</f>
        <v/>
      </c>
      <c r="O52" s="96" t="str">
        <f>IF(A52="","",IF(A52=Expiry,0,D52*E52*E52*EXP(-q*Q52)*_xlfn.NORM.S.DIST(Y52,0)*SQRT(Q52)/100))</f>
        <v/>
      </c>
      <c r="P52" s="69" t="str">
        <f>IF(A52="","",IF(A52=Expiry,0,AK52*I52*Mult*((-EXP(-q*Q52)*E52*_xlfn.NORM.S.DIST(Y52,0)*sigma/(2*SQRT(Q52))-r_dom*K*EXP(-r_dom*Q52)*_xlfn.NORM.S.DIST(Z52,1)+q*E52*EXP(-q*Q52)*_xlfn.NORM.S.DIST(Y52,1))/365)))</f>
        <v/>
      </c>
      <c r="Q52" s="83" t="str">
        <f t="shared" si="47"/>
        <v/>
      </c>
      <c r="R52" s="38"/>
      <c r="S52" s="68" t="str">
        <f t="shared" si="48"/>
        <v/>
      </c>
      <c r="T52" s="69" t="str">
        <f t="shared" si="49"/>
        <v/>
      </c>
      <c r="U52" s="70" t="str">
        <f t="shared" si="50"/>
        <v/>
      </c>
      <c r="V52" s="72" t="str">
        <f t="shared" si="51"/>
        <v/>
      </c>
      <c r="W52" s="2" t="str">
        <f t="shared" si="15"/>
        <v/>
      </c>
      <c r="X52" s="2" t="str">
        <f t="shared" si="4"/>
        <v/>
      </c>
      <c r="Y52" s="35" t="str">
        <f t="shared" ca="1" si="52"/>
        <v/>
      </c>
      <c r="Z52" s="36" t="str">
        <f t="shared" ca="1" si="53"/>
        <v/>
      </c>
      <c r="AA52" s="70" t="str">
        <f t="shared" si="54"/>
        <v/>
      </c>
      <c r="AB52" s="2"/>
      <c r="AC52" s="94" t="str">
        <f t="shared" si="7"/>
        <v/>
      </c>
      <c r="AD52" s="95" t="str">
        <f t="shared" si="8"/>
        <v/>
      </c>
      <c r="AE52" s="96" t="str">
        <f t="shared" si="9"/>
        <v/>
      </c>
      <c r="AF52" s="124" t="str">
        <f t="shared" si="10"/>
        <v/>
      </c>
      <c r="AG52" s="2"/>
      <c r="AH52" s="38" t="str">
        <f>IF(A52="","",0.5*EXP(-q*Q51)*_xlfn.NORM.S.DIST(Y51,0)/(E51*sigma*SQRT(Q51))*I51*Mult*(E52-E51)^2)</f>
        <v/>
      </c>
      <c r="AI52" s="2"/>
      <c r="AJ52" s="2"/>
      <c r="AK52" s="2"/>
      <c r="AL52" s="2"/>
    </row>
    <row r="53" spans="1:38" x14ac:dyDescent="0.2">
      <c r="A53" s="45"/>
      <c r="B53" s="43" t="str">
        <f t="shared" si="40"/>
        <v/>
      </c>
      <c r="C53" s="96" t="str">
        <f t="shared" si="16"/>
        <v/>
      </c>
      <c r="D53" s="44" t="str">
        <f t="shared" si="41"/>
        <v/>
      </c>
      <c r="E53" s="98"/>
      <c r="F53" s="63" t="str">
        <f t="shared" si="42"/>
        <v/>
      </c>
      <c r="G53" s="56" t="str">
        <f t="shared" si="43"/>
        <v/>
      </c>
      <c r="H53" s="42"/>
      <c r="I53" s="2" t="str">
        <f t="shared" si="44"/>
        <v/>
      </c>
      <c r="J53" s="100" t="str">
        <f t="shared" si="0"/>
        <v/>
      </c>
      <c r="K53" s="55" t="str">
        <f t="shared" si="45"/>
        <v/>
      </c>
      <c r="L53" s="63" t="str">
        <f t="shared" si="46"/>
        <v/>
      </c>
      <c r="M53" s="96" t="str">
        <f t="shared" si="2"/>
        <v/>
      </c>
      <c r="N53" s="96" t="str">
        <f>IF(A53="","",IF(A53=Expiry,0,EXP(-q*Q53)*_xlfn.NORM.S.DIST(Y53,0)/(sigma*SQRT(Q53))*I53*Mult/100))</f>
        <v/>
      </c>
      <c r="O53" s="96" t="str">
        <f>IF(A53="","",IF(A53=Expiry,0,D53*E53*E53*EXP(-q*Q53)*_xlfn.NORM.S.DIST(Y53,0)*SQRT(Q53)/100))</f>
        <v/>
      </c>
      <c r="P53" s="69" t="str">
        <f>IF(A53="","",IF(A53=Expiry,0,AK53*I53*Mult*((-EXP(-q*Q53)*E53*_xlfn.NORM.S.DIST(Y53,0)*sigma/(2*SQRT(Q53))-r_dom*K*EXP(-r_dom*Q53)*_xlfn.NORM.S.DIST(Z53,1)+q*E53*EXP(-q*Q53)*_xlfn.NORM.S.DIST(Y53,1))/365)))</f>
        <v/>
      </c>
      <c r="Q53" s="83" t="str">
        <f t="shared" si="47"/>
        <v/>
      </c>
      <c r="R53" s="38"/>
      <c r="S53" s="68" t="str">
        <f t="shared" si="48"/>
        <v/>
      </c>
      <c r="T53" s="69" t="str">
        <f t="shared" si="49"/>
        <v/>
      </c>
      <c r="U53" s="70" t="str">
        <f t="shared" si="50"/>
        <v/>
      </c>
      <c r="V53" s="72" t="str">
        <f t="shared" si="51"/>
        <v/>
      </c>
      <c r="W53" s="2" t="str">
        <f t="shared" si="15"/>
        <v/>
      </c>
      <c r="X53" s="2" t="str">
        <f t="shared" si="4"/>
        <v/>
      </c>
      <c r="Y53" s="35" t="str">
        <f t="shared" ca="1" si="52"/>
        <v/>
      </c>
      <c r="Z53" s="36" t="str">
        <f t="shared" ca="1" si="53"/>
        <v/>
      </c>
      <c r="AA53" s="70" t="str">
        <f t="shared" si="54"/>
        <v/>
      </c>
      <c r="AB53" s="2"/>
      <c r="AC53" s="94" t="str">
        <f t="shared" si="7"/>
        <v/>
      </c>
      <c r="AD53" s="95" t="str">
        <f t="shared" si="8"/>
        <v/>
      </c>
      <c r="AE53" s="96" t="str">
        <f t="shared" si="9"/>
        <v/>
      </c>
      <c r="AF53" s="124" t="str">
        <f t="shared" si="10"/>
        <v/>
      </c>
      <c r="AG53" s="2"/>
      <c r="AH53" s="38" t="str">
        <f>IF(A53="","",0.5*EXP(-q*Q52)*_xlfn.NORM.S.DIST(Y52,0)/(E52*sigma*SQRT(Q52))*I52*Mult*(E53-E52)^2)</f>
        <v/>
      </c>
      <c r="AI53" s="2"/>
      <c r="AJ53" s="2"/>
      <c r="AK53" s="2"/>
      <c r="AL53" s="2"/>
    </row>
    <row r="54" spans="1:38" x14ac:dyDescent="0.2">
      <c r="A54" s="45"/>
      <c r="B54" s="43" t="str">
        <f t="shared" si="40"/>
        <v/>
      </c>
      <c r="C54" s="96" t="str">
        <f t="shared" si="16"/>
        <v/>
      </c>
      <c r="D54" s="44" t="str">
        <f t="shared" si="41"/>
        <v/>
      </c>
      <c r="E54" s="98"/>
      <c r="F54" s="63" t="str">
        <f t="shared" si="42"/>
        <v/>
      </c>
      <c r="G54" s="56" t="str">
        <f t="shared" si="43"/>
        <v/>
      </c>
      <c r="H54" s="42"/>
      <c r="I54" s="2" t="str">
        <f t="shared" si="44"/>
        <v/>
      </c>
      <c r="J54" s="100" t="str">
        <f t="shared" si="0"/>
        <v/>
      </c>
      <c r="K54" s="55" t="str">
        <f t="shared" si="45"/>
        <v/>
      </c>
      <c r="L54" s="63" t="str">
        <f t="shared" si="46"/>
        <v/>
      </c>
      <c r="M54" s="96" t="str">
        <f t="shared" si="2"/>
        <v/>
      </c>
      <c r="N54" s="96" t="str">
        <f>IF(A54="","",IF(A54=Expiry,0,EXP(-q*Q54)*_xlfn.NORM.S.DIST(Y54,0)/(sigma*SQRT(Q54))*I54*Mult/100))</f>
        <v/>
      </c>
      <c r="O54" s="96" t="str">
        <f>IF(A54="","",IF(A54=Expiry,0,D54*E54*E54*EXP(-q*Q54)*_xlfn.NORM.S.DIST(Y54,0)*SQRT(Q54)/100))</f>
        <v/>
      </c>
      <c r="P54" s="69" t="str">
        <f>IF(A54="","",IF(A54=Expiry,0,AK54*I54*Mult*((-EXP(-q*Q54)*E54*_xlfn.NORM.S.DIST(Y54,0)*sigma/(2*SQRT(Q54))-r_dom*K*EXP(-r_dom*Q54)*_xlfn.NORM.S.DIST(Z54,1)+q*E54*EXP(-q*Q54)*_xlfn.NORM.S.DIST(Y54,1))/365)))</f>
        <v/>
      </c>
      <c r="Q54" s="83" t="str">
        <f t="shared" si="47"/>
        <v/>
      </c>
      <c r="R54" s="38"/>
      <c r="S54" s="68" t="str">
        <f t="shared" si="48"/>
        <v/>
      </c>
      <c r="T54" s="69" t="str">
        <f t="shared" si="49"/>
        <v/>
      </c>
      <c r="U54" s="70" t="str">
        <f t="shared" si="50"/>
        <v/>
      </c>
      <c r="V54" s="72" t="str">
        <f t="shared" si="51"/>
        <v/>
      </c>
      <c r="W54" s="2" t="str">
        <f t="shared" si="15"/>
        <v/>
      </c>
      <c r="X54" s="2" t="str">
        <f t="shared" si="4"/>
        <v/>
      </c>
      <c r="Y54" s="35" t="str">
        <f t="shared" ca="1" si="52"/>
        <v/>
      </c>
      <c r="Z54" s="36" t="str">
        <f t="shared" ca="1" si="53"/>
        <v/>
      </c>
      <c r="AA54" s="70" t="str">
        <f t="shared" si="54"/>
        <v/>
      </c>
      <c r="AB54" s="2"/>
      <c r="AC54" s="94" t="str">
        <f t="shared" si="7"/>
        <v/>
      </c>
      <c r="AD54" s="95" t="str">
        <f t="shared" si="8"/>
        <v/>
      </c>
      <c r="AE54" s="96" t="str">
        <f t="shared" si="9"/>
        <v/>
      </c>
      <c r="AF54" s="124" t="str">
        <f t="shared" si="10"/>
        <v/>
      </c>
      <c r="AG54" s="2"/>
      <c r="AH54" s="38" t="str">
        <f>IF(A54="","",0.5*EXP(-q*Q53)*_xlfn.NORM.S.DIST(Y53,0)/(E53*sigma*SQRT(Q53))*I53*Mult*(E54-E53)^2)</f>
        <v/>
      </c>
      <c r="AI54" s="2"/>
      <c r="AJ54" s="2"/>
      <c r="AK54" s="2"/>
      <c r="AL54" s="2"/>
    </row>
    <row r="55" spans="1:38" x14ac:dyDescent="0.2">
      <c r="A55" s="45"/>
      <c r="B55" s="43" t="str">
        <f t="shared" si="40"/>
        <v/>
      </c>
      <c r="C55" s="96" t="str">
        <f t="shared" si="16"/>
        <v/>
      </c>
      <c r="D55" s="44" t="str">
        <f t="shared" si="41"/>
        <v/>
      </c>
      <c r="E55" s="98"/>
      <c r="F55" s="63" t="str">
        <f t="shared" si="42"/>
        <v/>
      </c>
      <c r="G55" s="56" t="str">
        <f t="shared" si="43"/>
        <v/>
      </c>
      <c r="H55" s="42"/>
      <c r="I55" s="2" t="str">
        <f t="shared" si="44"/>
        <v/>
      </c>
      <c r="J55" s="100" t="str">
        <f t="shared" si="0"/>
        <v/>
      </c>
      <c r="K55" s="55" t="str">
        <f t="shared" si="45"/>
        <v/>
      </c>
      <c r="L55" s="63" t="str">
        <f t="shared" si="46"/>
        <v/>
      </c>
      <c r="M55" s="96" t="str">
        <f t="shared" si="2"/>
        <v/>
      </c>
      <c r="N55" s="96" t="str">
        <f>IF(A55="","",IF(A55=Expiry,0,EXP(-q*Q55)*_xlfn.NORM.S.DIST(Y55,0)/(sigma*SQRT(Q55))*I55*Mult/100))</f>
        <v/>
      </c>
      <c r="O55" s="96" t="str">
        <f>IF(A55="","",IF(A55=Expiry,0,D55*E55*E55*EXP(-q*Q55)*_xlfn.NORM.S.DIST(Y55,0)*SQRT(Q55)/100))</f>
        <v/>
      </c>
      <c r="P55" s="69" t="str">
        <f>IF(A55="","",IF(A55=Expiry,0,AK55*I55*Mult*((-EXP(-q*Q55)*E55*_xlfn.NORM.S.DIST(Y55,0)*sigma/(2*SQRT(Q55))-r_dom*K*EXP(-r_dom*Q55)*_xlfn.NORM.S.DIST(Z55,1)+q*E55*EXP(-q*Q55)*_xlfn.NORM.S.DIST(Y55,1))/365)))</f>
        <v/>
      </c>
      <c r="Q55" s="83" t="str">
        <f t="shared" si="47"/>
        <v/>
      </c>
      <c r="R55" s="38"/>
      <c r="S55" s="68" t="str">
        <f t="shared" si="48"/>
        <v/>
      </c>
      <c r="T55" s="69" t="str">
        <f t="shared" si="49"/>
        <v/>
      </c>
      <c r="U55" s="70" t="str">
        <f t="shared" si="50"/>
        <v/>
      </c>
      <c r="V55" s="72" t="str">
        <f t="shared" si="51"/>
        <v/>
      </c>
      <c r="W55" s="2" t="str">
        <f t="shared" si="15"/>
        <v/>
      </c>
      <c r="X55" s="2" t="str">
        <f t="shared" si="4"/>
        <v/>
      </c>
      <c r="Y55" s="35" t="str">
        <f t="shared" ca="1" si="52"/>
        <v/>
      </c>
      <c r="Z55" s="36" t="str">
        <f t="shared" ca="1" si="53"/>
        <v/>
      </c>
      <c r="AA55" s="70" t="str">
        <f t="shared" si="54"/>
        <v/>
      </c>
      <c r="AB55" s="2"/>
      <c r="AC55" s="94" t="str">
        <f t="shared" si="7"/>
        <v/>
      </c>
      <c r="AD55" s="95" t="str">
        <f t="shared" si="8"/>
        <v/>
      </c>
      <c r="AE55" s="96" t="str">
        <f t="shared" si="9"/>
        <v/>
      </c>
      <c r="AF55" s="124" t="str">
        <f t="shared" si="10"/>
        <v/>
      </c>
      <c r="AG55" s="2"/>
      <c r="AH55" s="38" t="str">
        <f>IF(A55="","",0.5*EXP(-q*Q54)*_xlfn.NORM.S.DIST(Y54,0)/(E54*sigma*SQRT(Q54))*I54*Mult*(E55-E54)^2)</f>
        <v/>
      </c>
      <c r="AI55" s="2"/>
      <c r="AJ55" s="2"/>
      <c r="AK55" s="2"/>
      <c r="AL55" s="2"/>
    </row>
    <row r="56" spans="1:38" x14ac:dyDescent="0.2">
      <c r="A56" s="45"/>
      <c r="B56" s="43" t="str">
        <f t="shared" si="40"/>
        <v/>
      </c>
      <c r="C56" s="96" t="str">
        <f t="shared" si="16"/>
        <v/>
      </c>
      <c r="D56" s="44" t="str">
        <f t="shared" si="41"/>
        <v/>
      </c>
      <c r="E56" s="98"/>
      <c r="F56" s="63" t="str">
        <f t="shared" si="42"/>
        <v/>
      </c>
      <c r="G56" s="56" t="str">
        <f t="shared" si="43"/>
        <v/>
      </c>
      <c r="H56" s="42"/>
      <c r="I56" s="2" t="str">
        <f t="shared" si="44"/>
        <v/>
      </c>
      <c r="J56" s="100" t="str">
        <f t="shared" si="0"/>
        <v/>
      </c>
      <c r="K56" s="55" t="str">
        <f t="shared" si="45"/>
        <v/>
      </c>
      <c r="L56" s="63" t="str">
        <f t="shared" si="46"/>
        <v/>
      </c>
      <c r="M56" s="96" t="str">
        <f t="shared" si="2"/>
        <v/>
      </c>
      <c r="N56" s="96" t="str">
        <f>IF(A56="","",IF(A56=Expiry,0,EXP(-q*Q56)*_xlfn.NORM.S.DIST(Y56,0)/(sigma*SQRT(Q56))*I56*Mult/100))</f>
        <v/>
      </c>
      <c r="O56" s="96" t="str">
        <f>IF(A56="","",IF(A56=Expiry,0,D56*E56*E56*EXP(-q*Q56)*_xlfn.NORM.S.DIST(Y56,0)*SQRT(Q56)/100))</f>
        <v/>
      </c>
      <c r="P56" s="69" t="str">
        <f>IF(A56="","",IF(A56=Expiry,0,AK56*I56*Mult*((-EXP(-q*Q56)*E56*_xlfn.NORM.S.DIST(Y56,0)*sigma/(2*SQRT(Q56))-r_dom*K*EXP(-r_dom*Q56)*_xlfn.NORM.S.DIST(Z56,1)+q*E56*EXP(-q*Q56)*_xlfn.NORM.S.DIST(Y56,1))/365)))</f>
        <v/>
      </c>
      <c r="Q56" s="83" t="str">
        <f t="shared" si="47"/>
        <v/>
      </c>
      <c r="R56" s="38"/>
      <c r="S56" s="68" t="str">
        <f t="shared" si="48"/>
        <v/>
      </c>
      <c r="T56" s="69" t="str">
        <f t="shared" si="49"/>
        <v/>
      </c>
      <c r="U56" s="70" t="str">
        <f t="shared" si="50"/>
        <v/>
      </c>
      <c r="V56" s="72" t="str">
        <f t="shared" si="51"/>
        <v/>
      </c>
      <c r="W56" s="2" t="str">
        <f t="shared" si="15"/>
        <v/>
      </c>
      <c r="X56" s="2" t="str">
        <f t="shared" si="4"/>
        <v/>
      </c>
      <c r="Y56" s="35" t="str">
        <f t="shared" ca="1" si="52"/>
        <v/>
      </c>
      <c r="Z56" s="36" t="str">
        <f t="shared" ca="1" si="53"/>
        <v/>
      </c>
      <c r="AA56" s="70" t="str">
        <f t="shared" si="54"/>
        <v/>
      </c>
      <c r="AB56" s="2"/>
      <c r="AC56" s="94" t="str">
        <f t="shared" si="7"/>
        <v/>
      </c>
      <c r="AD56" s="95" t="str">
        <f t="shared" si="8"/>
        <v/>
      </c>
      <c r="AE56" s="96" t="str">
        <f t="shared" si="9"/>
        <v/>
      </c>
      <c r="AF56" s="124" t="str">
        <f t="shared" si="10"/>
        <v/>
      </c>
      <c r="AG56" s="2"/>
      <c r="AH56" s="2"/>
      <c r="AI56" s="2"/>
      <c r="AJ56" s="2"/>
      <c r="AK56" s="2"/>
      <c r="AL56" s="2"/>
    </row>
    <row r="57" spans="1:38" x14ac:dyDescent="0.2">
      <c r="A57" s="45"/>
      <c r="B57" s="43" t="str">
        <f t="shared" si="40"/>
        <v/>
      </c>
      <c r="C57" s="96" t="str">
        <f t="shared" si="16"/>
        <v/>
      </c>
      <c r="D57" s="44" t="str">
        <f t="shared" si="41"/>
        <v/>
      </c>
      <c r="E57" s="98"/>
      <c r="F57" s="63" t="str">
        <f t="shared" si="42"/>
        <v/>
      </c>
      <c r="G57" s="56" t="str">
        <f t="shared" si="43"/>
        <v/>
      </c>
      <c r="H57" s="42"/>
      <c r="I57" s="2" t="str">
        <f t="shared" si="44"/>
        <v/>
      </c>
      <c r="J57" s="100" t="str">
        <f t="shared" si="0"/>
        <v/>
      </c>
      <c r="K57" s="55" t="str">
        <f t="shared" si="45"/>
        <v/>
      </c>
      <c r="L57" s="63" t="str">
        <f t="shared" si="46"/>
        <v/>
      </c>
      <c r="M57" s="96" t="str">
        <f t="shared" si="2"/>
        <v/>
      </c>
      <c r="N57" s="96" t="str">
        <f>IF(A57="","",IF(A57=Expiry,0,EXP(-q*Q57)*_xlfn.NORM.S.DIST(Y57,0)/(sigma*SQRT(Q57))*I57*Mult/100))</f>
        <v/>
      </c>
      <c r="O57" s="96" t="str">
        <f>IF(A57="","",IF(A57=Expiry,0,D57*E57*E57*EXP(-q*Q57)*_xlfn.NORM.S.DIST(Y57,0)*SQRT(Q57)/100))</f>
        <v/>
      </c>
      <c r="P57" s="69" t="str">
        <f>IF(A57="","",IF(A57=Expiry,0,AK57*I57*Mult*((-EXP(-q*Q57)*E57*_xlfn.NORM.S.DIST(Y57,0)*sigma/(2*SQRT(Q57))-r_dom*K*EXP(-r_dom*Q57)*_xlfn.NORM.S.DIST(Z57,1)+q*E57*EXP(-q*Q57)*_xlfn.NORM.S.DIST(Y57,1))/365)))</f>
        <v/>
      </c>
      <c r="Q57" s="83" t="str">
        <f t="shared" si="47"/>
        <v/>
      </c>
      <c r="R57" s="38"/>
      <c r="S57" s="68" t="str">
        <f t="shared" si="48"/>
        <v/>
      </c>
      <c r="T57" s="69" t="str">
        <f t="shared" si="49"/>
        <v/>
      </c>
      <c r="U57" s="70" t="str">
        <f t="shared" si="50"/>
        <v/>
      </c>
      <c r="V57" s="72" t="str">
        <f t="shared" si="51"/>
        <v/>
      </c>
      <c r="W57" s="2" t="str">
        <f t="shared" si="15"/>
        <v/>
      </c>
      <c r="X57" s="2" t="str">
        <f t="shared" si="4"/>
        <v/>
      </c>
      <c r="Y57" s="35" t="str">
        <f t="shared" ca="1" si="52"/>
        <v/>
      </c>
      <c r="Z57" s="36" t="str">
        <f t="shared" ca="1" si="53"/>
        <v/>
      </c>
      <c r="AA57" s="70" t="str">
        <f t="shared" si="54"/>
        <v/>
      </c>
      <c r="AB57" s="2"/>
      <c r="AC57" s="94" t="str">
        <f t="shared" si="7"/>
        <v/>
      </c>
      <c r="AD57" s="95" t="str">
        <f t="shared" si="8"/>
        <v/>
      </c>
      <c r="AE57" s="96" t="str">
        <f t="shared" si="9"/>
        <v/>
      </c>
      <c r="AF57" s="124" t="str">
        <f t="shared" si="10"/>
        <v/>
      </c>
      <c r="AG57" s="2"/>
      <c r="AH57" s="2"/>
      <c r="AI57" s="2"/>
      <c r="AJ57" s="2"/>
      <c r="AK57" s="2"/>
      <c r="AL57" s="2"/>
    </row>
    <row r="58" spans="1:38" x14ac:dyDescent="0.2">
      <c r="A58" s="45"/>
      <c r="B58" s="43" t="str">
        <f t="shared" si="40"/>
        <v/>
      </c>
      <c r="C58" s="96" t="str">
        <f t="shared" si="16"/>
        <v/>
      </c>
      <c r="D58" s="44" t="str">
        <f t="shared" si="41"/>
        <v/>
      </c>
      <c r="E58" s="98"/>
      <c r="F58" s="63" t="str">
        <f t="shared" si="42"/>
        <v/>
      </c>
      <c r="G58" s="56" t="str">
        <f t="shared" si="43"/>
        <v/>
      </c>
      <c r="H58" s="42"/>
      <c r="I58" s="2" t="str">
        <f t="shared" si="44"/>
        <v/>
      </c>
      <c r="J58" s="100" t="str">
        <f t="shared" si="0"/>
        <v/>
      </c>
      <c r="K58" s="55" t="str">
        <f t="shared" si="45"/>
        <v/>
      </c>
      <c r="L58" s="63" t="str">
        <f t="shared" si="46"/>
        <v/>
      </c>
      <c r="M58" s="96" t="str">
        <f t="shared" si="2"/>
        <v/>
      </c>
      <c r="N58" s="96" t="str">
        <f>IF(A58="","",IF(A58=Expiry,0,EXP(-q*Q58)*_xlfn.NORM.S.DIST(Y58,0)/(sigma*SQRT(Q58))*I58*Mult/100))</f>
        <v/>
      </c>
      <c r="O58" s="96" t="str">
        <f>IF(A58="","",IF(A58=Expiry,0,D58*E58*E58*EXP(-q*Q58)*_xlfn.NORM.S.DIST(Y58,0)*SQRT(Q58)/100))</f>
        <v/>
      </c>
      <c r="P58" s="69" t="str">
        <f>IF(A58="","",IF(A58=Expiry,0,AK58*I58*Mult*((-EXP(-q*Q58)*E58*_xlfn.NORM.S.DIST(Y58,0)*sigma/(2*SQRT(Q58))-r_dom*K*EXP(-r_dom*Q58)*_xlfn.NORM.S.DIST(Z58,1)+q*E58*EXP(-q*Q58)*_xlfn.NORM.S.DIST(Y58,1))/365)))</f>
        <v/>
      </c>
      <c r="Q58" s="83" t="str">
        <f t="shared" si="47"/>
        <v/>
      </c>
      <c r="R58" s="38"/>
      <c r="S58" s="68" t="str">
        <f t="shared" si="48"/>
        <v/>
      </c>
      <c r="T58" s="69" t="str">
        <f t="shared" si="49"/>
        <v/>
      </c>
      <c r="U58" s="70" t="str">
        <f t="shared" si="50"/>
        <v/>
      </c>
      <c r="V58" s="72" t="str">
        <f t="shared" si="51"/>
        <v/>
      </c>
      <c r="W58" s="2" t="str">
        <f t="shared" si="15"/>
        <v/>
      </c>
      <c r="X58" s="2" t="str">
        <f t="shared" si="4"/>
        <v/>
      </c>
      <c r="Y58" s="35" t="str">
        <f t="shared" ca="1" si="52"/>
        <v/>
      </c>
      <c r="Z58" s="36" t="str">
        <f t="shared" ca="1" si="53"/>
        <v/>
      </c>
      <c r="AA58" s="70" t="str">
        <f t="shared" si="54"/>
        <v/>
      </c>
      <c r="AB58" s="2"/>
      <c r="AC58" s="94" t="str">
        <f t="shared" si="7"/>
        <v/>
      </c>
      <c r="AD58" s="95" t="str">
        <f t="shared" si="8"/>
        <v/>
      </c>
      <c r="AE58" s="96" t="str">
        <f t="shared" si="9"/>
        <v/>
      </c>
      <c r="AF58" s="124" t="str">
        <f t="shared" si="10"/>
        <v/>
      </c>
      <c r="AG58" s="2"/>
      <c r="AH58" s="2"/>
      <c r="AI58" s="2"/>
      <c r="AJ58" s="2"/>
      <c r="AK58" s="2"/>
      <c r="AL58" s="2"/>
    </row>
    <row r="59" spans="1:38" x14ac:dyDescent="0.2">
      <c r="A59" s="45"/>
      <c r="B59" s="43" t="str">
        <f t="shared" si="40"/>
        <v/>
      </c>
      <c r="C59" s="96" t="str">
        <f t="shared" si="16"/>
        <v/>
      </c>
      <c r="D59" s="44" t="str">
        <f t="shared" si="41"/>
        <v/>
      </c>
      <c r="E59" s="98"/>
      <c r="F59" s="63" t="str">
        <f t="shared" si="42"/>
        <v/>
      </c>
      <c r="G59" s="56" t="str">
        <f t="shared" si="43"/>
        <v/>
      </c>
      <c r="H59" s="42"/>
      <c r="I59" s="2" t="str">
        <f t="shared" si="44"/>
        <v/>
      </c>
      <c r="J59" s="100" t="str">
        <f t="shared" si="0"/>
        <v/>
      </c>
      <c r="K59" s="55" t="str">
        <f t="shared" si="45"/>
        <v/>
      </c>
      <c r="L59" s="63" t="str">
        <f t="shared" si="46"/>
        <v/>
      </c>
      <c r="M59" s="96" t="str">
        <f t="shared" si="2"/>
        <v/>
      </c>
      <c r="N59" s="96" t="str">
        <f>IF(A59="","",IF(A59=Expiry,0,EXP(-q*Q59)*_xlfn.NORM.S.DIST(Y59,0)/(sigma*SQRT(Q59))*I59*Mult/100))</f>
        <v/>
      </c>
      <c r="O59" s="96" t="str">
        <f>IF(A59="","",IF(A59=Expiry,0,D59*E59*E59*EXP(-q*Q59)*_xlfn.NORM.S.DIST(Y59,0)*SQRT(Q59)/100))</f>
        <v/>
      </c>
      <c r="P59" s="69" t="str">
        <f>IF(A59="","",IF(A59=Expiry,0,AK59*I59*Mult*((-EXP(-q*Q59)*E59*_xlfn.NORM.S.DIST(Y59,0)*sigma/(2*SQRT(Q59))-r_dom*K*EXP(-r_dom*Q59)*_xlfn.NORM.S.DIST(Z59,1)+q*E59*EXP(-q*Q59)*_xlfn.NORM.S.DIST(Y59,1))/365)))</f>
        <v/>
      </c>
      <c r="Q59" s="83" t="str">
        <f t="shared" si="47"/>
        <v/>
      </c>
      <c r="R59" s="38"/>
      <c r="S59" s="68" t="str">
        <f t="shared" si="48"/>
        <v/>
      </c>
      <c r="T59" s="69" t="str">
        <f t="shared" si="49"/>
        <v/>
      </c>
      <c r="U59" s="70" t="str">
        <f t="shared" si="50"/>
        <v/>
      </c>
      <c r="V59" s="72" t="str">
        <f t="shared" si="51"/>
        <v/>
      </c>
      <c r="W59" s="2" t="str">
        <f t="shared" si="15"/>
        <v/>
      </c>
      <c r="X59" s="2" t="str">
        <f t="shared" si="4"/>
        <v/>
      </c>
      <c r="Y59" s="35" t="str">
        <f t="shared" ca="1" si="52"/>
        <v/>
      </c>
      <c r="Z59" s="36" t="str">
        <f t="shared" ca="1" si="53"/>
        <v/>
      </c>
      <c r="AA59" s="70" t="str">
        <f t="shared" si="54"/>
        <v/>
      </c>
      <c r="AB59" s="2"/>
      <c r="AC59" s="94" t="str">
        <f t="shared" si="7"/>
        <v/>
      </c>
      <c r="AD59" s="95" t="str">
        <f t="shared" si="8"/>
        <v/>
      </c>
      <c r="AE59" s="96" t="str">
        <f t="shared" si="9"/>
        <v/>
      </c>
      <c r="AF59" s="124" t="str">
        <f t="shared" si="10"/>
        <v/>
      </c>
      <c r="AG59" s="2"/>
      <c r="AH59" s="2"/>
      <c r="AI59" s="2"/>
      <c r="AJ59" s="2"/>
      <c r="AK59" s="2"/>
      <c r="AL59" s="2"/>
    </row>
    <row r="60" spans="1:38" x14ac:dyDescent="0.2">
      <c r="A60" s="45"/>
      <c r="B60" s="43" t="str">
        <f t="shared" si="40"/>
        <v/>
      </c>
      <c r="C60" s="96" t="str">
        <f t="shared" si="16"/>
        <v/>
      </c>
      <c r="D60" s="44" t="str">
        <f t="shared" si="41"/>
        <v/>
      </c>
      <c r="E60" s="98"/>
      <c r="F60" s="63" t="str">
        <f t="shared" si="42"/>
        <v/>
      </c>
      <c r="G60" s="56" t="str">
        <f t="shared" si="43"/>
        <v/>
      </c>
      <c r="H60" s="42"/>
      <c r="I60" s="2" t="str">
        <f t="shared" si="44"/>
        <v/>
      </c>
      <c r="J60" s="100" t="str">
        <f t="shared" si="0"/>
        <v/>
      </c>
      <c r="K60" s="55" t="str">
        <f t="shared" si="45"/>
        <v/>
      </c>
      <c r="L60" s="63" t="str">
        <f t="shared" si="46"/>
        <v/>
      </c>
      <c r="M60" s="96" t="str">
        <f t="shared" si="2"/>
        <v/>
      </c>
      <c r="N60" s="96" t="str">
        <f>IF(A60="","",IF(A60=Expiry,0,EXP(-q*Q60)*_xlfn.NORM.S.DIST(Y60,0)/(sigma*SQRT(Q60))*I60*Mult/100))</f>
        <v/>
      </c>
      <c r="O60" s="96" t="str">
        <f>IF(A60="","",IF(A60=Expiry,0,D60*E60*E60*EXP(-q*Q60)*_xlfn.NORM.S.DIST(Y60,0)*SQRT(Q60)/100))</f>
        <v/>
      </c>
      <c r="P60" s="69" t="str">
        <f>IF(A60="","",IF(A60=Expiry,0,AK60*I60*Mult*((-EXP(-q*Q60)*E60*_xlfn.NORM.S.DIST(Y60,0)*sigma/(2*SQRT(Q60))-r_dom*K*EXP(-r_dom*Q60)*_xlfn.NORM.S.DIST(Z60,1)+q*E60*EXP(-q*Q60)*_xlfn.NORM.S.DIST(Y60,1))/365)))</f>
        <v/>
      </c>
      <c r="Q60" s="83" t="str">
        <f t="shared" si="47"/>
        <v/>
      </c>
      <c r="R60" s="38"/>
      <c r="S60" s="68" t="str">
        <f t="shared" si="48"/>
        <v/>
      </c>
      <c r="T60" s="69" t="str">
        <f t="shared" si="49"/>
        <v/>
      </c>
      <c r="U60" s="70" t="str">
        <f t="shared" si="50"/>
        <v/>
      </c>
      <c r="V60" s="72" t="str">
        <f t="shared" si="51"/>
        <v/>
      </c>
      <c r="W60" s="2" t="str">
        <f t="shared" si="15"/>
        <v/>
      </c>
      <c r="X60" s="2" t="str">
        <f t="shared" si="4"/>
        <v/>
      </c>
      <c r="Y60" s="35" t="str">
        <f t="shared" ca="1" si="52"/>
        <v/>
      </c>
      <c r="Z60" s="36" t="str">
        <f t="shared" ca="1" si="53"/>
        <v/>
      </c>
      <c r="AA60" s="70" t="str">
        <f t="shared" si="54"/>
        <v/>
      </c>
      <c r="AB60" s="2"/>
      <c r="AC60" s="94" t="str">
        <f t="shared" si="7"/>
        <v/>
      </c>
      <c r="AD60" s="95" t="str">
        <f t="shared" si="8"/>
        <v/>
      </c>
      <c r="AE60" s="96" t="str">
        <f t="shared" si="9"/>
        <v/>
      </c>
      <c r="AF60" s="124" t="str">
        <f t="shared" si="10"/>
        <v/>
      </c>
      <c r="AG60" s="2"/>
      <c r="AH60" s="2"/>
      <c r="AI60" s="2"/>
      <c r="AJ60" s="2"/>
      <c r="AK60" s="2"/>
      <c r="AL60" s="2"/>
    </row>
    <row r="61" spans="1:38" x14ac:dyDescent="0.2">
      <c r="A61" s="45"/>
      <c r="B61" s="43" t="str">
        <f t="shared" si="40"/>
        <v/>
      </c>
      <c r="C61" s="96" t="str">
        <f t="shared" si="16"/>
        <v/>
      </c>
      <c r="D61" s="44" t="str">
        <f t="shared" si="41"/>
        <v/>
      </c>
      <c r="E61" s="98"/>
      <c r="F61" s="63" t="str">
        <f t="shared" si="42"/>
        <v/>
      </c>
      <c r="G61" s="56" t="str">
        <f t="shared" si="43"/>
        <v/>
      </c>
      <c r="H61" s="42"/>
      <c r="I61" s="2" t="str">
        <f t="shared" si="44"/>
        <v/>
      </c>
      <c r="J61" s="100" t="str">
        <f t="shared" si="0"/>
        <v/>
      </c>
      <c r="K61" s="55" t="str">
        <f t="shared" si="45"/>
        <v/>
      </c>
      <c r="L61" s="63" t="str">
        <f t="shared" si="46"/>
        <v/>
      </c>
      <c r="M61" s="96" t="str">
        <f t="shared" si="2"/>
        <v/>
      </c>
      <c r="N61" s="96" t="str">
        <f>IF(A61="","",IF(A61=Expiry,0,EXP(-q*Q61)*_xlfn.NORM.S.DIST(Y61,0)/(sigma*SQRT(Q61))*I61*Mult/100))</f>
        <v/>
      </c>
      <c r="O61" s="96" t="str">
        <f>IF(A61="","",IF(A61=Expiry,0,D61*E61*E61*EXP(-q*Q61)*_xlfn.NORM.S.DIST(Y61,0)*SQRT(Q61)/100))</f>
        <v/>
      </c>
      <c r="P61" s="69" t="str">
        <f>IF(A61="","",IF(A61=Expiry,0,AK61*I61*Mult*((-EXP(-q*Q61)*E61*_xlfn.NORM.S.DIST(Y61,0)*sigma/(2*SQRT(Q61))-r_dom*K*EXP(-r_dom*Q61)*_xlfn.NORM.S.DIST(Z61,1)+q*E61*EXP(-q*Q61)*_xlfn.NORM.S.DIST(Y61,1))/365)))</f>
        <v/>
      </c>
      <c r="Q61" s="83" t="str">
        <f t="shared" si="47"/>
        <v/>
      </c>
      <c r="R61" s="38"/>
      <c r="S61" s="68" t="str">
        <f t="shared" si="48"/>
        <v/>
      </c>
      <c r="T61" s="69" t="str">
        <f t="shared" si="49"/>
        <v/>
      </c>
      <c r="U61" s="70" t="str">
        <f t="shared" si="50"/>
        <v/>
      </c>
      <c r="V61" s="72" t="str">
        <f t="shared" si="51"/>
        <v/>
      </c>
      <c r="W61" s="2" t="str">
        <f t="shared" si="15"/>
        <v/>
      </c>
      <c r="X61" s="2" t="str">
        <f t="shared" si="4"/>
        <v/>
      </c>
      <c r="Y61" s="35" t="str">
        <f t="shared" ca="1" si="52"/>
        <v/>
      </c>
      <c r="Z61" s="36" t="str">
        <f t="shared" ca="1" si="53"/>
        <v/>
      </c>
      <c r="AA61" s="70" t="str">
        <f t="shared" si="54"/>
        <v/>
      </c>
      <c r="AB61" s="2"/>
      <c r="AC61" s="94" t="str">
        <f t="shared" si="7"/>
        <v/>
      </c>
      <c r="AD61" s="95" t="str">
        <f t="shared" si="8"/>
        <v/>
      </c>
      <c r="AE61" s="96" t="str">
        <f t="shared" si="9"/>
        <v/>
      </c>
      <c r="AF61" s="124" t="str">
        <f t="shared" si="10"/>
        <v/>
      </c>
      <c r="AG61" s="2"/>
      <c r="AH61" s="2"/>
      <c r="AI61" s="2"/>
      <c r="AJ61" s="2"/>
      <c r="AK61" s="2"/>
      <c r="AL61" s="2"/>
    </row>
    <row r="62" spans="1:38" x14ac:dyDescent="0.2">
      <c r="A62" s="45"/>
      <c r="B62" s="43" t="str">
        <f t="shared" si="40"/>
        <v/>
      </c>
      <c r="C62" s="96" t="str">
        <f t="shared" si="16"/>
        <v/>
      </c>
      <c r="D62" s="44" t="str">
        <f t="shared" si="41"/>
        <v/>
      </c>
      <c r="E62" s="98"/>
      <c r="F62" s="63" t="str">
        <f t="shared" si="42"/>
        <v/>
      </c>
      <c r="G62" s="56" t="str">
        <f t="shared" si="43"/>
        <v/>
      </c>
      <c r="H62" s="42"/>
      <c r="I62" s="2" t="str">
        <f t="shared" si="44"/>
        <v/>
      </c>
      <c r="J62" s="100" t="str">
        <f t="shared" si="0"/>
        <v/>
      </c>
      <c r="K62" s="55" t="str">
        <f t="shared" si="45"/>
        <v/>
      </c>
      <c r="L62" s="63" t="str">
        <f t="shared" si="46"/>
        <v/>
      </c>
      <c r="M62" s="96" t="str">
        <f t="shared" si="2"/>
        <v/>
      </c>
      <c r="N62" s="96" t="str">
        <f>IF(A62="","",IF(A62=Expiry,0,EXP(-q*Q62)*_xlfn.NORM.S.DIST(Y62,0)/(sigma*SQRT(Q62))*I62*Mult/100))</f>
        <v/>
      </c>
      <c r="O62" s="96" t="str">
        <f>IF(A62="","",IF(A62=Expiry,0,D62*E62*E62*EXP(-q*Q62)*_xlfn.NORM.S.DIST(Y62,0)*SQRT(Q62)/100))</f>
        <v/>
      </c>
      <c r="P62" s="69" t="str">
        <f>IF(A62="","",IF(A62=Expiry,0,AK62*I62*Mult*((-EXP(-q*Q62)*E62*_xlfn.NORM.S.DIST(Y62,0)*sigma/(2*SQRT(Q62))-r_dom*K*EXP(-r_dom*Q62)*_xlfn.NORM.S.DIST(Z62,1)+q*E62*EXP(-q*Q62)*_xlfn.NORM.S.DIST(Y62,1))/365)))</f>
        <v/>
      </c>
      <c r="Q62" s="83" t="str">
        <f t="shared" si="47"/>
        <v/>
      </c>
      <c r="R62" s="38"/>
      <c r="S62" s="68" t="str">
        <f t="shared" si="48"/>
        <v/>
      </c>
      <c r="T62" s="69" t="str">
        <f t="shared" si="49"/>
        <v/>
      </c>
      <c r="U62" s="70" t="str">
        <f t="shared" si="50"/>
        <v/>
      </c>
      <c r="V62" s="72" t="str">
        <f t="shared" si="51"/>
        <v/>
      </c>
      <c r="W62" s="2" t="str">
        <f t="shared" si="15"/>
        <v/>
      </c>
      <c r="X62" s="2" t="str">
        <f t="shared" si="4"/>
        <v/>
      </c>
      <c r="Y62" s="35" t="str">
        <f t="shared" ca="1" si="52"/>
        <v/>
      </c>
      <c r="Z62" s="36" t="str">
        <f t="shared" ca="1" si="53"/>
        <v/>
      </c>
      <c r="AA62" s="70" t="str">
        <f t="shared" si="54"/>
        <v/>
      </c>
      <c r="AB62" s="2"/>
      <c r="AC62" s="94" t="str">
        <f t="shared" si="7"/>
        <v/>
      </c>
      <c r="AD62" s="95" t="str">
        <f t="shared" si="8"/>
        <v/>
      </c>
      <c r="AE62" s="96" t="str">
        <f t="shared" si="9"/>
        <v/>
      </c>
      <c r="AF62" s="124" t="str">
        <f t="shared" si="10"/>
        <v/>
      </c>
      <c r="AG62" s="2"/>
      <c r="AH62" s="2"/>
      <c r="AI62" s="2"/>
      <c r="AJ62" s="2"/>
      <c r="AK62" s="2"/>
      <c r="AL62" s="2"/>
    </row>
    <row r="63" spans="1:38" x14ac:dyDescent="0.2">
      <c r="A63" s="45"/>
      <c r="B63" s="43" t="str">
        <f t="shared" si="40"/>
        <v/>
      </c>
      <c r="C63" s="96" t="str">
        <f t="shared" si="16"/>
        <v/>
      </c>
      <c r="D63" s="44" t="str">
        <f t="shared" si="41"/>
        <v/>
      </c>
      <c r="E63" s="98"/>
      <c r="F63" s="63" t="str">
        <f t="shared" si="42"/>
        <v/>
      </c>
      <c r="G63" s="56" t="str">
        <f t="shared" si="43"/>
        <v/>
      </c>
      <c r="H63" s="42"/>
      <c r="I63" s="2" t="str">
        <f t="shared" si="44"/>
        <v/>
      </c>
      <c r="J63" s="100" t="str">
        <f t="shared" si="0"/>
        <v/>
      </c>
      <c r="K63" s="55" t="str">
        <f t="shared" si="45"/>
        <v/>
      </c>
      <c r="L63" s="63" t="str">
        <f t="shared" si="46"/>
        <v/>
      </c>
      <c r="M63" s="96" t="str">
        <f t="shared" si="2"/>
        <v/>
      </c>
      <c r="N63" s="96" t="str">
        <f>IF(A63="","",IF(A63=Expiry,0,EXP(-q*Q63)*_xlfn.NORM.S.DIST(Y63,0)/(sigma*SQRT(Q63))*I63*Mult/100))</f>
        <v/>
      </c>
      <c r="O63" s="96" t="str">
        <f>IF(A63="","",IF(A63=Expiry,0,D63*E63*E63*EXP(-q*Q63)*_xlfn.NORM.S.DIST(Y63,0)*SQRT(Q63)/100))</f>
        <v/>
      </c>
      <c r="P63" s="69" t="str">
        <f>IF(A63="","",IF(A63=Expiry,0,AK63*I63*Mult*((-EXP(-q*Q63)*E63*_xlfn.NORM.S.DIST(Y63,0)*sigma/(2*SQRT(Q63))-r_dom*K*EXP(-r_dom*Q63)*_xlfn.NORM.S.DIST(Z63,1)+q*E63*EXP(-q*Q63)*_xlfn.NORM.S.DIST(Y63,1))/365)))</f>
        <v/>
      </c>
      <c r="Q63" s="83" t="str">
        <f t="shared" si="47"/>
        <v/>
      </c>
      <c r="R63" s="38"/>
      <c r="S63" s="68" t="str">
        <f t="shared" si="48"/>
        <v/>
      </c>
      <c r="T63" s="69" t="str">
        <f t="shared" si="49"/>
        <v/>
      </c>
      <c r="U63" s="70" t="str">
        <f t="shared" si="50"/>
        <v/>
      </c>
      <c r="V63" s="72" t="str">
        <f t="shared" si="51"/>
        <v/>
      </c>
      <c r="W63" s="2" t="str">
        <f t="shared" si="15"/>
        <v/>
      </c>
      <c r="X63" s="2" t="str">
        <f t="shared" si="4"/>
        <v/>
      </c>
      <c r="Y63" s="35" t="str">
        <f t="shared" ca="1" si="52"/>
        <v/>
      </c>
      <c r="Z63" s="36" t="str">
        <f t="shared" ca="1" si="53"/>
        <v/>
      </c>
      <c r="AA63" s="70" t="str">
        <f t="shared" si="54"/>
        <v/>
      </c>
      <c r="AB63" s="2"/>
      <c r="AC63" s="94" t="str">
        <f t="shared" si="7"/>
        <v/>
      </c>
      <c r="AD63" s="95" t="str">
        <f t="shared" si="8"/>
        <v/>
      </c>
      <c r="AE63" s="96" t="str">
        <f t="shared" si="9"/>
        <v/>
      </c>
      <c r="AF63" s="124" t="str">
        <f t="shared" si="10"/>
        <v/>
      </c>
      <c r="AG63" s="2"/>
      <c r="AH63" s="2"/>
      <c r="AI63" s="2"/>
      <c r="AJ63" s="2"/>
      <c r="AK63" s="2"/>
      <c r="AL63" s="2"/>
    </row>
    <row r="64" spans="1:38" x14ac:dyDescent="0.2">
      <c r="A64" s="45"/>
      <c r="B64" s="43" t="str">
        <f t="shared" si="40"/>
        <v/>
      </c>
      <c r="C64" s="96" t="str">
        <f t="shared" si="16"/>
        <v/>
      </c>
      <c r="D64" s="44" t="str">
        <f t="shared" si="41"/>
        <v/>
      </c>
      <c r="E64" s="98"/>
      <c r="F64" s="63" t="str">
        <f t="shared" si="42"/>
        <v/>
      </c>
      <c r="G64" s="56" t="str">
        <f t="shared" si="43"/>
        <v/>
      </c>
      <c r="H64" s="42"/>
      <c r="I64" s="2" t="str">
        <f t="shared" si="44"/>
        <v/>
      </c>
      <c r="J64" s="100" t="str">
        <f t="shared" si="0"/>
        <v/>
      </c>
      <c r="K64" s="55" t="str">
        <f t="shared" si="45"/>
        <v/>
      </c>
      <c r="L64" s="63" t="str">
        <f t="shared" si="46"/>
        <v/>
      </c>
      <c r="M64" s="96" t="str">
        <f t="shared" si="2"/>
        <v/>
      </c>
      <c r="N64" s="96" t="str">
        <f>IF(A64="","",IF(A64=Expiry,0,EXP(-q*Q64)*_xlfn.NORM.S.DIST(Y64,0)/(sigma*SQRT(Q64))*I64*Mult/100))</f>
        <v/>
      </c>
      <c r="O64" s="96" t="str">
        <f>IF(A64="","",IF(A64=Expiry,0,D64*E64*E64*EXP(-q*Q64)*_xlfn.NORM.S.DIST(Y64,0)*SQRT(Q64)/100))</f>
        <v/>
      </c>
      <c r="P64" s="69" t="str">
        <f>IF(A64="","",IF(A64=Expiry,0,AK64*I64*Mult*((-EXP(-q*Q64)*E64*_xlfn.NORM.S.DIST(Y64,0)*sigma/(2*SQRT(Q64))-r_dom*K*EXP(-r_dom*Q64)*_xlfn.NORM.S.DIST(Z64,1)+q*E64*EXP(-q*Q64)*_xlfn.NORM.S.DIST(Y64,1))/365)))</f>
        <v/>
      </c>
      <c r="Q64" s="83" t="str">
        <f t="shared" si="47"/>
        <v/>
      </c>
      <c r="R64" s="38"/>
      <c r="S64" s="68" t="str">
        <f t="shared" si="48"/>
        <v/>
      </c>
      <c r="T64" s="69" t="str">
        <f t="shared" si="49"/>
        <v/>
      </c>
      <c r="U64" s="70" t="str">
        <f t="shared" si="50"/>
        <v/>
      </c>
      <c r="V64" s="72" t="str">
        <f t="shared" si="51"/>
        <v/>
      </c>
      <c r="W64" s="2" t="str">
        <f t="shared" si="15"/>
        <v/>
      </c>
      <c r="X64" s="2" t="str">
        <f t="shared" si="4"/>
        <v/>
      </c>
      <c r="Y64" s="35" t="str">
        <f t="shared" ca="1" si="52"/>
        <v/>
      </c>
      <c r="Z64" s="36" t="str">
        <f t="shared" ca="1" si="53"/>
        <v/>
      </c>
      <c r="AA64" s="70" t="str">
        <f t="shared" si="54"/>
        <v/>
      </c>
      <c r="AB64" s="2"/>
      <c r="AC64" s="94" t="str">
        <f t="shared" si="7"/>
        <v/>
      </c>
      <c r="AD64" s="95" t="str">
        <f t="shared" si="8"/>
        <v/>
      </c>
      <c r="AE64" s="96" t="str">
        <f t="shared" si="9"/>
        <v/>
      </c>
      <c r="AF64" s="124" t="str">
        <f t="shared" si="10"/>
        <v/>
      </c>
      <c r="AG64" s="2"/>
      <c r="AH64" s="2"/>
      <c r="AI64" s="2"/>
      <c r="AJ64" s="2"/>
      <c r="AK64" s="2"/>
      <c r="AL64" s="2"/>
    </row>
    <row r="65" spans="1:38" x14ac:dyDescent="0.2">
      <c r="A65" s="45"/>
      <c r="B65" s="43" t="str">
        <f t="shared" si="40"/>
        <v/>
      </c>
      <c r="C65" s="96" t="str">
        <f t="shared" si="16"/>
        <v/>
      </c>
      <c r="D65" s="44" t="str">
        <f t="shared" si="41"/>
        <v/>
      </c>
      <c r="E65" s="98"/>
      <c r="F65" s="63" t="str">
        <f t="shared" si="42"/>
        <v/>
      </c>
      <c r="G65" s="56" t="str">
        <f t="shared" si="43"/>
        <v/>
      </c>
      <c r="H65" s="42"/>
      <c r="I65" s="2" t="str">
        <f t="shared" si="44"/>
        <v/>
      </c>
      <c r="J65" s="100" t="str">
        <f t="shared" si="0"/>
        <v/>
      </c>
      <c r="K65" s="55" t="str">
        <f t="shared" si="45"/>
        <v/>
      </c>
      <c r="L65" s="63" t="str">
        <f t="shared" si="46"/>
        <v/>
      </c>
      <c r="M65" s="96" t="str">
        <f t="shared" si="2"/>
        <v/>
      </c>
      <c r="N65" s="96" t="str">
        <f>IF(A65="","",IF(A65=Expiry,0,EXP(-q*Q65)*_xlfn.NORM.S.DIST(Y65,0)/(sigma*SQRT(Q65))*I65*Mult/100))</f>
        <v/>
      </c>
      <c r="O65" s="96" t="str">
        <f>IF(A65="","",IF(A65=Expiry,0,D65*E65*E65*EXP(-q*Q65)*_xlfn.NORM.S.DIST(Y65,0)*SQRT(Q65)/100))</f>
        <v/>
      </c>
      <c r="P65" s="69" t="str">
        <f>IF(A65="","",IF(A65=Expiry,0,AK65*I65*Mult*((-EXP(-q*Q65)*E65*_xlfn.NORM.S.DIST(Y65,0)*sigma/(2*SQRT(Q65))-r_dom*K*EXP(-r_dom*Q65)*_xlfn.NORM.S.DIST(Z65,1)+q*E65*EXP(-q*Q65)*_xlfn.NORM.S.DIST(Y65,1))/365)))</f>
        <v/>
      </c>
      <c r="Q65" s="83" t="str">
        <f t="shared" si="47"/>
        <v/>
      </c>
      <c r="R65" s="38"/>
      <c r="S65" s="68" t="str">
        <f t="shared" si="48"/>
        <v/>
      </c>
      <c r="T65" s="69" t="str">
        <f t="shared" si="49"/>
        <v/>
      </c>
      <c r="U65" s="70" t="str">
        <f t="shared" si="50"/>
        <v/>
      </c>
      <c r="V65" s="72" t="str">
        <f t="shared" si="51"/>
        <v/>
      </c>
      <c r="W65" s="2" t="str">
        <f t="shared" si="15"/>
        <v/>
      </c>
      <c r="X65" s="2" t="str">
        <f t="shared" si="4"/>
        <v/>
      </c>
      <c r="Y65" s="35" t="str">
        <f t="shared" ca="1" si="52"/>
        <v/>
      </c>
      <c r="Z65" s="36" t="str">
        <f t="shared" ca="1" si="53"/>
        <v/>
      </c>
      <c r="AA65" s="70" t="str">
        <f t="shared" si="54"/>
        <v/>
      </c>
      <c r="AB65" s="2"/>
      <c r="AC65" s="94" t="str">
        <f t="shared" si="7"/>
        <v/>
      </c>
      <c r="AD65" s="95" t="str">
        <f t="shared" si="8"/>
        <v/>
      </c>
      <c r="AE65" s="96" t="str">
        <f t="shared" si="9"/>
        <v/>
      </c>
      <c r="AF65" s="124" t="str">
        <f t="shared" si="10"/>
        <v/>
      </c>
      <c r="AG65" s="2"/>
      <c r="AH65" s="2"/>
      <c r="AI65" s="2"/>
      <c r="AJ65" s="2"/>
      <c r="AK65" s="2"/>
      <c r="AL65" s="2"/>
    </row>
    <row r="66" spans="1:38" x14ac:dyDescent="0.2">
      <c r="A66" s="45"/>
      <c r="B66" s="43" t="str">
        <f t="shared" si="40"/>
        <v/>
      </c>
      <c r="C66" s="96" t="str">
        <f t="shared" si="16"/>
        <v/>
      </c>
      <c r="D66" s="44" t="str">
        <f t="shared" si="41"/>
        <v/>
      </c>
      <c r="E66" s="98"/>
      <c r="F66" s="63" t="str">
        <f t="shared" si="42"/>
        <v/>
      </c>
      <c r="G66" s="56" t="str">
        <f t="shared" si="43"/>
        <v/>
      </c>
      <c r="H66" s="42"/>
      <c r="I66" s="2" t="str">
        <f t="shared" si="44"/>
        <v/>
      </c>
      <c r="J66" s="100" t="str">
        <f t="shared" si="0"/>
        <v/>
      </c>
      <c r="K66" s="55" t="str">
        <f t="shared" si="45"/>
        <v/>
      </c>
      <c r="L66" s="63" t="str">
        <f t="shared" si="46"/>
        <v/>
      </c>
      <c r="M66" s="96" t="str">
        <f t="shared" si="2"/>
        <v/>
      </c>
      <c r="N66" s="96" t="str">
        <f>IF(A66="","",IF(A66=Expiry,0,EXP(-q*Q66)*_xlfn.NORM.S.DIST(Y66,0)/(sigma*SQRT(Q66))*I66*Mult/100))</f>
        <v/>
      </c>
      <c r="O66" s="96" t="str">
        <f>IF(A66="","",IF(A66=Expiry,0,D66*E66*E66*EXP(-q*Q66)*_xlfn.NORM.S.DIST(Y66,0)*SQRT(Q66)/100))</f>
        <v/>
      </c>
      <c r="P66" s="69" t="str">
        <f>IF(A66="","",IF(A66=Expiry,0,AK66*I66*Mult*((-EXP(-q*Q66)*E66*_xlfn.NORM.S.DIST(Y66,0)*sigma/(2*SQRT(Q66))-r_dom*K*EXP(-r_dom*Q66)*_xlfn.NORM.S.DIST(Z66,1)+q*E66*EXP(-q*Q66)*_xlfn.NORM.S.DIST(Y66,1))/365)))</f>
        <v/>
      </c>
      <c r="Q66" s="83" t="str">
        <f t="shared" si="47"/>
        <v/>
      </c>
      <c r="R66" s="38"/>
      <c r="S66" s="68" t="str">
        <f t="shared" si="48"/>
        <v/>
      </c>
      <c r="T66" s="69" t="str">
        <f t="shared" si="49"/>
        <v/>
      </c>
      <c r="U66" s="70" t="str">
        <f t="shared" si="50"/>
        <v/>
      </c>
      <c r="V66" s="72" t="str">
        <f t="shared" si="51"/>
        <v/>
      </c>
      <c r="W66" s="2" t="str">
        <f t="shared" si="15"/>
        <v/>
      </c>
      <c r="X66" s="2" t="str">
        <f t="shared" si="4"/>
        <v/>
      </c>
      <c r="Y66" s="35" t="str">
        <f t="shared" ca="1" si="52"/>
        <v/>
      </c>
      <c r="Z66" s="36" t="str">
        <f t="shared" ca="1" si="53"/>
        <v/>
      </c>
      <c r="AA66" s="70" t="str">
        <f t="shared" si="54"/>
        <v/>
      </c>
      <c r="AB66" s="2"/>
      <c r="AC66" s="94" t="str">
        <f t="shared" si="7"/>
        <v/>
      </c>
      <c r="AD66" s="95" t="str">
        <f t="shared" si="8"/>
        <v/>
      </c>
      <c r="AE66" s="96" t="str">
        <f t="shared" si="9"/>
        <v/>
      </c>
      <c r="AF66" s="124" t="str">
        <f t="shared" si="10"/>
        <v/>
      </c>
      <c r="AG66" s="2"/>
      <c r="AH66" s="2"/>
      <c r="AI66" s="2"/>
      <c r="AJ66" s="2"/>
      <c r="AK66" s="2"/>
      <c r="AL66" s="2"/>
    </row>
    <row r="67" spans="1:38" x14ac:dyDescent="0.2">
      <c r="A67" s="45"/>
      <c r="B67" s="43" t="str">
        <f t="shared" si="40"/>
        <v/>
      </c>
      <c r="C67" s="96" t="str">
        <f t="shared" si="16"/>
        <v/>
      </c>
      <c r="D67" s="44" t="str">
        <f t="shared" si="41"/>
        <v/>
      </c>
      <c r="E67" s="52"/>
      <c r="F67" s="63" t="str">
        <f t="shared" si="42"/>
        <v/>
      </c>
      <c r="G67" s="56" t="str">
        <f t="shared" si="43"/>
        <v/>
      </c>
      <c r="H67" s="42"/>
      <c r="I67" s="2" t="str">
        <f t="shared" si="44"/>
        <v/>
      </c>
      <c r="J67" s="100" t="str">
        <f t="shared" si="0"/>
        <v/>
      </c>
      <c r="K67" s="55" t="str">
        <f t="shared" si="45"/>
        <v/>
      </c>
      <c r="L67" s="63" t="str">
        <f t="shared" si="46"/>
        <v/>
      </c>
      <c r="M67" s="96" t="str">
        <f t="shared" si="2"/>
        <v/>
      </c>
      <c r="N67" s="96" t="str">
        <f>IF(A67="","",IF(A67=Expiry,0,EXP(-q*Q67)*_xlfn.NORM.S.DIST(Y67,0)/(sigma*SQRT(Q67))*I67*Mult/100))</f>
        <v/>
      </c>
      <c r="O67" s="96" t="str">
        <f>IF(A67="","",IF(A67=Expiry,0,D67*E67*E67*EXP(-q*Q67)*_xlfn.NORM.S.DIST(Y67,0)*SQRT(Q67)/100))</f>
        <v/>
      </c>
      <c r="P67" s="69" t="str">
        <f>IF(A67="","",IF(A67=Expiry,0,AK67*I67*Mult*((-EXP(-q*Q67)*E67*_xlfn.NORM.S.DIST(Y67,0)*sigma/(2*SQRT(Q67))-r_dom*K*EXP(-r_dom*Q67)*_xlfn.NORM.S.DIST(Z67,1)+q*E67*EXP(-q*Q67)*_xlfn.NORM.S.DIST(Y67,1))/365)))</f>
        <v/>
      </c>
      <c r="Q67" s="83" t="str">
        <f t="shared" si="47"/>
        <v/>
      </c>
      <c r="R67" s="38"/>
      <c r="S67" s="68" t="str">
        <f t="shared" si="48"/>
        <v/>
      </c>
      <c r="T67" s="69" t="str">
        <f t="shared" si="49"/>
        <v/>
      </c>
      <c r="U67" s="70" t="str">
        <f t="shared" si="50"/>
        <v/>
      </c>
      <c r="V67" s="72" t="str">
        <f t="shared" si="51"/>
        <v/>
      </c>
      <c r="W67" s="2" t="str">
        <f t="shared" si="15"/>
        <v/>
      </c>
      <c r="X67" s="2" t="str">
        <f t="shared" si="4"/>
        <v/>
      </c>
      <c r="Y67" s="35" t="str">
        <f t="shared" ca="1" si="52"/>
        <v/>
      </c>
      <c r="Z67" s="36" t="str">
        <f t="shared" ca="1" si="53"/>
        <v/>
      </c>
      <c r="AA67" s="70" t="str">
        <f t="shared" si="54"/>
        <v/>
      </c>
      <c r="AB67" s="2"/>
      <c r="AC67" s="94" t="str">
        <f t="shared" si="7"/>
        <v/>
      </c>
      <c r="AD67" s="95" t="str">
        <f t="shared" si="8"/>
        <v/>
      </c>
      <c r="AE67" s="96" t="str">
        <f t="shared" si="9"/>
        <v/>
      </c>
      <c r="AF67" s="124" t="str">
        <f t="shared" si="10"/>
        <v/>
      </c>
      <c r="AG67" s="2"/>
      <c r="AH67" s="2"/>
      <c r="AI67" s="2"/>
      <c r="AJ67" s="2"/>
      <c r="AK67" s="2"/>
      <c r="AL67" s="2"/>
    </row>
    <row r="68" spans="1:38" x14ac:dyDescent="0.2">
      <c r="A68" s="45"/>
      <c r="B68" s="43" t="str">
        <f t="shared" si="40"/>
        <v/>
      </c>
      <c r="C68" s="96" t="str">
        <f t="shared" si="16"/>
        <v/>
      </c>
      <c r="D68" s="44" t="str">
        <f t="shared" si="41"/>
        <v/>
      </c>
      <c r="E68" s="52"/>
      <c r="F68" s="63" t="str">
        <f t="shared" si="42"/>
        <v/>
      </c>
      <c r="G68" s="56" t="str">
        <f t="shared" si="43"/>
        <v/>
      </c>
      <c r="H68" s="42"/>
      <c r="I68" s="2" t="str">
        <f t="shared" si="44"/>
        <v/>
      </c>
      <c r="J68" s="100" t="str">
        <f t="shared" si="0"/>
        <v/>
      </c>
      <c r="K68" s="55" t="str">
        <f t="shared" si="45"/>
        <v/>
      </c>
      <c r="L68" s="63" t="str">
        <f t="shared" si="46"/>
        <v/>
      </c>
      <c r="M68" s="96" t="str">
        <f t="shared" si="2"/>
        <v/>
      </c>
      <c r="N68" s="96" t="str">
        <f>IF(A68="","",IF(A68=Expiry,0,EXP(-q*Q68)*_xlfn.NORM.S.DIST(Y68,0)/(sigma*SQRT(Q68))*I68*Mult/100))</f>
        <v/>
      </c>
      <c r="O68" s="96" t="str">
        <f>IF(A68="","",IF(A68=Expiry,0,D68*E68*E68*EXP(-q*Q68)*_xlfn.NORM.S.DIST(Y68,0)*SQRT(Q68)/100))</f>
        <v/>
      </c>
      <c r="P68" s="69" t="str">
        <f>IF(A68="","",IF(A68=Expiry,0,AK68*I68*Mult*((-EXP(-q*Q68)*E68*_xlfn.NORM.S.DIST(Y68,0)*sigma/(2*SQRT(Q68))-r_dom*K*EXP(-r_dom*Q68)*_xlfn.NORM.S.DIST(Z68,1)+q*E68*EXP(-q*Q68)*_xlfn.NORM.S.DIST(Y68,1))/365)))</f>
        <v/>
      </c>
      <c r="Q68" s="83" t="str">
        <f t="shared" si="47"/>
        <v/>
      </c>
      <c r="R68" s="38"/>
      <c r="S68" s="68" t="str">
        <f t="shared" si="48"/>
        <v/>
      </c>
      <c r="T68" s="69" t="str">
        <f t="shared" si="49"/>
        <v/>
      </c>
      <c r="U68" s="70" t="str">
        <f t="shared" si="50"/>
        <v/>
      </c>
      <c r="V68" s="72" t="str">
        <f t="shared" si="51"/>
        <v/>
      </c>
      <c r="W68" s="2" t="str">
        <f t="shared" si="15"/>
        <v/>
      </c>
      <c r="X68" s="2" t="str">
        <f t="shared" si="4"/>
        <v/>
      </c>
      <c r="Y68" s="35" t="str">
        <f t="shared" ca="1" si="52"/>
        <v/>
      </c>
      <c r="Z68" s="36" t="str">
        <f t="shared" ca="1" si="53"/>
        <v/>
      </c>
      <c r="AA68" s="70" t="str">
        <f t="shared" si="54"/>
        <v/>
      </c>
      <c r="AB68" s="2"/>
      <c r="AC68" s="94" t="str">
        <f t="shared" si="7"/>
        <v/>
      </c>
      <c r="AD68" s="95" t="str">
        <f t="shared" si="8"/>
        <v/>
      </c>
      <c r="AE68" s="96" t="str">
        <f t="shared" si="9"/>
        <v/>
      </c>
      <c r="AF68" s="124" t="str">
        <f t="shared" si="10"/>
        <v/>
      </c>
      <c r="AG68" s="2"/>
      <c r="AH68" s="2"/>
      <c r="AI68" s="2"/>
      <c r="AJ68" s="2"/>
      <c r="AK68" s="2"/>
      <c r="AL68" s="2"/>
    </row>
    <row r="69" spans="1:38" x14ac:dyDescent="0.2">
      <c r="A69" s="45"/>
      <c r="B69" s="43" t="str">
        <f t="shared" si="40"/>
        <v/>
      </c>
      <c r="C69" s="96" t="str">
        <f t="shared" si="16"/>
        <v/>
      </c>
      <c r="D69" s="44" t="str">
        <f t="shared" si="41"/>
        <v/>
      </c>
      <c r="E69" s="52"/>
      <c r="F69" s="63" t="str">
        <f t="shared" si="42"/>
        <v/>
      </c>
      <c r="G69" s="56" t="str">
        <f t="shared" si="43"/>
        <v/>
      </c>
      <c r="H69" s="42"/>
      <c r="I69" s="2" t="str">
        <f t="shared" si="44"/>
        <v/>
      </c>
      <c r="J69" s="100" t="str">
        <f t="shared" si="0"/>
        <v/>
      </c>
      <c r="K69" s="55" t="str">
        <f t="shared" si="45"/>
        <v/>
      </c>
      <c r="L69" s="63" t="str">
        <f t="shared" si="46"/>
        <v/>
      </c>
      <c r="M69" s="96" t="str">
        <f t="shared" si="2"/>
        <v/>
      </c>
      <c r="N69" s="96" t="str">
        <f>IF(A69="","",IF(A69=Expiry,0,EXP(-q*Q69)*_xlfn.NORM.S.DIST(Y69,0)/(sigma*SQRT(Q69))*I69*Mult/100))</f>
        <v/>
      </c>
      <c r="O69" s="96" t="str">
        <f>IF(A69="","",IF(A69=Expiry,0,D69*E69*E69*EXP(-q*Q69)*_xlfn.NORM.S.DIST(Y69,0)*SQRT(Q69)/100))</f>
        <v/>
      </c>
      <c r="P69" s="69" t="str">
        <f>IF(A69="","",IF(A69=Expiry,0,AK69*I69*Mult*((-EXP(-q*Q69)*E69*_xlfn.NORM.S.DIST(Y69,0)*sigma/(2*SQRT(Q69))-r_dom*K*EXP(-r_dom*Q69)*_xlfn.NORM.S.DIST(Z69,1)+q*E69*EXP(-q*Q69)*_xlfn.NORM.S.DIST(Y69,1))/365)))</f>
        <v/>
      </c>
      <c r="Q69" s="83" t="str">
        <f t="shared" si="47"/>
        <v/>
      </c>
      <c r="R69" s="38"/>
      <c r="S69" s="68" t="str">
        <f t="shared" si="48"/>
        <v/>
      </c>
      <c r="T69" s="69" t="str">
        <f t="shared" si="49"/>
        <v/>
      </c>
      <c r="U69" s="70" t="str">
        <f t="shared" si="50"/>
        <v/>
      </c>
      <c r="V69" s="72" t="str">
        <f t="shared" si="51"/>
        <v/>
      </c>
      <c r="W69" s="2" t="str">
        <f t="shared" si="15"/>
        <v/>
      </c>
      <c r="X69" s="2" t="str">
        <f t="shared" si="4"/>
        <v/>
      </c>
      <c r="Y69" s="35" t="str">
        <f t="shared" ca="1" si="52"/>
        <v/>
      </c>
      <c r="Z69" s="36" t="str">
        <f t="shared" ca="1" si="53"/>
        <v/>
      </c>
      <c r="AA69" s="70" t="str">
        <f t="shared" si="54"/>
        <v/>
      </c>
      <c r="AB69" s="2"/>
      <c r="AC69" s="94" t="str">
        <f t="shared" si="7"/>
        <v/>
      </c>
      <c r="AD69" s="95" t="str">
        <f t="shared" si="8"/>
        <v/>
      </c>
      <c r="AE69" s="96" t="str">
        <f t="shared" si="9"/>
        <v/>
      </c>
      <c r="AF69" s="124" t="str">
        <f t="shared" si="10"/>
        <v/>
      </c>
      <c r="AG69" s="2"/>
      <c r="AH69" s="2"/>
      <c r="AI69" s="2"/>
      <c r="AJ69" s="2"/>
      <c r="AK69" s="2"/>
      <c r="AL69" s="2"/>
    </row>
    <row r="70" spans="1:38" x14ac:dyDescent="0.2">
      <c r="A70" s="45"/>
      <c r="B70" s="43" t="str">
        <f t="shared" si="40"/>
        <v/>
      </c>
      <c r="C70" s="96" t="str">
        <f t="shared" si="16"/>
        <v/>
      </c>
      <c r="D70" s="44" t="str">
        <f t="shared" si="41"/>
        <v/>
      </c>
      <c r="E70" s="52"/>
      <c r="F70" s="63" t="str">
        <f t="shared" si="42"/>
        <v/>
      </c>
      <c r="G70" s="56" t="str">
        <f t="shared" si="43"/>
        <v/>
      </c>
      <c r="H70" s="42"/>
      <c r="I70" s="2" t="str">
        <f t="shared" si="44"/>
        <v/>
      </c>
      <c r="J70" s="100" t="str">
        <f t="shared" si="0"/>
        <v/>
      </c>
      <c r="K70" s="55" t="str">
        <f t="shared" si="45"/>
        <v/>
      </c>
      <c r="L70" s="63" t="str">
        <f t="shared" si="46"/>
        <v/>
      </c>
      <c r="M70" s="96" t="str">
        <f t="shared" si="2"/>
        <v/>
      </c>
      <c r="N70" s="96" t="str">
        <f>IF(A70="","",IF(A70=Expiry,0,EXP(-q*Q70)*_xlfn.NORM.S.DIST(Y70,0)/(sigma*SQRT(Q70))*I70*Mult/100))</f>
        <v/>
      </c>
      <c r="O70" s="96" t="str">
        <f>IF(A70="","",IF(A70=Expiry,0,D70*E70*E70*EXP(-q*Q70)*_xlfn.NORM.S.DIST(Y70,0)*SQRT(Q70)/100))</f>
        <v/>
      </c>
      <c r="P70" s="69" t="str">
        <f>IF(A70="","",IF(A70=Expiry,0,AK70*I70*Mult*((-EXP(-q*Q70)*E70*_xlfn.NORM.S.DIST(Y70,0)*sigma/(2*SQRT(Q70))-r_dom*K*EXP(-r_dom*Q70)*_xlfn.NORM.S.DIST(Z70,1)+q*E70*EXP(-q*Q70)*_xlfn.NORM.S.DIST(Y70,1))/365)))</f>
        <v/>
      </c>
      <c r="Q70" s="83" t="str">
        <f t="shared" si="47"/>
        <v/>
      </c>
      <c r="R70" s="38"/>
      <c r="S70" s="68" t="str">
        <f t="shared" si="48"/>
        <v/>
      </c>
      <c r="T70" s="69" t="str">
        <f t="shared" si="49"/>
        <v/>
      </c>
      <c r="U70" s="70" t="str">
        <f t="shared" si="50"/>
        <v/>
      </c>
      <c r="V70" s="72" t="str">
        <f t="shared" si="51"/>
        <v/>
      </c>
      <c r="W70" s="2" t="str">
        <f t="shared" si="15"/>
        <v/>
      </c>
      <c r="X70" s="2" t="str">
        <f t="shared" si="4"/>
        <v/>
      </c>
      <c r="Y70" s="35" t="str">
        <f t="shared" ca="1" si="52"/>
        <v/>
      </c>
      <c r="Z70" s="36" t="str">
        <f t="shared" ca="1" si="53"/>
        <v/>
      </c>
      <c r="AA70" s="70" t="str">
        <f t="shared" si="54"/>
        <v/>
      </c>
      <c r="AB70" s="2"/>
      <c r="AC70" s="94" t="str">
        <f t="shared" si="7"/>
        <v/>
      </c>
      <c r="AD70" s="95" t="str">
        <f t="shared" si="8"/>
        <v/>
      </c>
      <c r="AE70" s="96" t="str">
        <f t="shared" si="9"/>
        <v/>
      </c>
      <c r="AF70" s="124" t="str">
        <f t="shared" si="10"/>
        <v/>
      </c>
      <c r="AG70" s="2"/>
      <c r="AH70" s="2"/>
      <c r="AI70" s="2"/>
      <c r="AJ70" s="2"/>
      <c r="AK70" s="2"/>
      <c r="AL70" s="2"/>
    </row>
    <row r="71" spans="1:38" x14ac:dyDescent="0.2">
      <c r="A71" s="45"/>
      <c r="B71" s="43" t="str">
        <f t="shared" si="40"/>
        <v/>
      </c>
      <c r="C71" s="96" t="str">
        <f t="shared" si="16"/>
        <v/>
      </c>
      <c r="D71" s="44" t="str">
        <f t="shared" si="41"/>
        <v/>
      </c>
      <c r="E71" s="52"/>
      <c r="F71" s="63" t="str">
        <f t="shared" si="42"/>
        <v/>
      </c>
      <c r="G71" s="56" t="str">
        <f t="shared" si="43"/>
        <v/>
      </c>
      <c r="H71" s="42"/>
      <c r="I71" s="2" t="str">
        <f t="shared" si="44"/>
        <v/>
      </c>
      <c r="J71" s="100" t="str">
        <f t="shared" si="0"/>
        <v/>
      </c>
      <c r="K71" s="55" t="str">
        <f t="shared" si="45"/>
        <v/>
      </c>
      <c r="L71" s="63" t="str">
        <f t="shared" si="46"/>
        <v/>
      </c>
      <c r="M71" s="96" t="str">
        <f t="shared" si="2"/>
        <v/>
      </c>
      <c r="N71" s="96" t="str">
        <f>IF(A71="","",IF(A71=Expiry,0,EXP(-q*Q71)*_xlfn.NORM.S.DIST(Y71,0)/(sigma*SQRT(Q71))*I71*Mult/100))</f>
        <v/>
      </c>
      <c r="O71" s="96" t="str">
        <f>IF(A71="","",IF(A71=Expiry,0,D71*E71*E71*EXP(-q*Q71)*_xlfn.NORM.S.DIST(Y71,0)*SQRT(Q71)/100))</f>
        <v/>
      </c>
      <c r="P71" s="69" t="str">
        <f>IF(A71="","",IF(A71=Expiry,0,AK71*I71*Mult*((-EXP(-q*Q71)*E71*_xlfn.NORM.S.DIST(Y71,0)*sigma/(2*SQRT(Q71))-r_dom*K*EXP(-r_dom*Q71)*_xlfn.NORM.S.DIST(Z71,1)+q*E71*EXP(-q*Q71)*_xlfn.NORM.S.DIST(Y71,1))/365)))</f>
        <v/>
      </c>
      <c r="Q71" s="83" t="str">
        <f t="shared" si="47"/>
        <v/>
      </c>
      <c r="R71" s="38"/>
      <c r="S71" s="68" t="str">
        <f t="shared" si="48"/>
        <v/>
      </c>
      <c r="T71" s="69" t="str">
        <f t="shared" si="49"/>
        <v/>
      </c>
      <c r="U71" s="70" t="str">
        <f t="shared" si="50"/>
        <v/>
      </c>
      <c r="V71" s="72" t="str">
        <f t="shared" si="51"/>
        <v/>
      </c>
      <c r="W71" s="2" t="str">
        <f t="shared" si="15"/>
        <v/>
      </c>
      <c r="X71" s="2" t="str">
        <f t="shared" si="4"/>
        <v/>
      </c>
      <c r="Y71" s="35" t="str">
        <f t="shared" ca="1" si="52"/>
        <v/>
      </c>
      <c r="Z71" s="36" t="str">
        <f t="shared" ca="1" si="53"/>
        <v/>
      </c>
      <c r="AA71" s="70" t="str">
        <f t="shared" si="54"/>
        <v/>
      </c>
      <c r="AB71" s="2"/>
      <c r="AC71" s="94" t="str">
        <f t="shared" si="7"/>
        <v/>
      </c>
      <c r="AD71" s="95" t="str">
        <f t="shared" si="8"/>
        <v/>
      </c>
      <c r="AE71" s="96" t="str">
        <f t="shared" si="9"/>
        <v/>
      </c>
      <c r="AF71" s="124" t="str">
        <f t="shared" si="10"/>
        <v/>
      </c>
      <c r="AG71" s="2"/>
      <c r="AH71" s="2"/>
      <c r="AI71" s="2"/>
      <c r="AJ71" s="2"/>
      <c r="AK71" s="2"/>
      <c r="AL71" s="2"/>
    </row>
    <row r="72" spans="1:38" x14ac:dyDescent="0.2">
      <c r="A72" s="45"/>
      <c r="B72" s="43" t="str">
        <f t="shared" si="40"/>
        <v/>
      </c>
      <c r="C72" s="96" t="str">
        <f t="shared" si="16"/>
        <v/>
      </c>
      <c r="D72" s="44" t="str">
        <f t="shared" si="41"/>
        <v/>
      </c>
      <c r="E72" s="52"/>
      <c r="F72" s="63" t="str">
        <f t="shared" si="42"/>
        <v/>
      </c>
      <c r="G72" s="56" t="str">
        <f t="shared" si="43"/>
        <v/>
      </c>
      <c r="H72" s="42"/>
      <c r="I72" s="2" t="str">
        <f t="shared" si="44"/>
        <v/>
      </c>
      <c r="J72" s="100" t="str">
        <f t="shared" si="0"/>
        <v/>
      </c>
      <c r="K72" s="55" t="str">
        <f t="shared" si="45"/>
        <v/>
      </c>
      <c r="L72" s="63" t="str">
        <f t="shared" si="46"/>
        <v/>
      </c>
      <c r="M72" s="96" t="str">
        <f t="shared" si="2"/>
        <v/>
      </c>
      <c r="N72" s="96" t="str">
        <f>IF(A72="","",IF(A72=Expiry,0,EXP(-q*Q72)*_xlfn.NORM.S.DIST(Y72,0)/(sigma*SQRT(Q72))*I72*Mult/100))</f>
        <v/>
      </c>
      <c r="O72" s="96" t="str">
        <f>IF(A72="","",IF(A72=Expiry,0,D72*E72*E72*EXP(-q*Q72)*_xlfn.NORM.S.DIST(Y72,0)*SQRT(Q72)/100))</f>
        <v/>
      </c>
      <c r="P72" s="69" t="str">
        <f>IF(A72="","",IF(A72=Expiry,0,AK72*I72*Mult*((-EXP(-q*Q72)*E72*_xlfn.NORM.S.DIST(Y72,0)*sigma/(2*SQRT(Q72))-r_dom*K*EXP(-r_dom*Q72)*_xlfn.NORM.S.DIST(Z72,1)+q*E72*EXP(-q*Q72)*_xlfn.NORM.S.DIST(Y72,1))/365)))</f>
        <v/>
      </c>
      <c r="Q72" s="83" t="str">
        <f t="shared" si="47"/>
        <v/>
      </c>
      <c r="R72" s="38"/>
      <c r="S72" s="68" t="str">
        <f t="shared" si="48"/>
        <v/>
      </c>
      <c r="T72" s="69" t="str">
        <f t="shared" si="49"/>
        <v/>
      </c>
      <c r="U72" s="70" t="str">
        <f t="shared" si="50"/>
        <v/>
      </c>
      <c r="V72" s="72" t="str">
        <f t="shared" si="51"/>
        <v/>
      </c>
      <c r="W72" s="2" t="str">
        <f t="shared" si="15"/>
        <v/>
      </c>
      <c r="X72" s="2" t="str">
        <f t="shared" si="4"/>
        <v/>
      </c>
      <c r="Y72" s="35" t="str">
        <f t="shared" ca="1" si="52"/>
        <v/>
      </c>
      <c r="Z72" s="36" t="str">
        <f t="shared" ca="1" si="53"/>
        <v/>
      </c>
      <c r="AA72" s="70" t="str">
        <f t="shared" si="54"/>
        <v/>
      </c>
      <c r="AB72" s="2"/>
      <c r="AC72" s="94" t="str">
        <f t="shared" si="7"/>
        <v/>
      </c>
      <c r="AD72" s="95" t="str">
        <f t="shared" si="8"/>
        <v/>
      </c>
      <c r="AE72" s="96" t="str">
        <f t="shared" si="9"/>
        <v/>
      </c>
      <c r="AF72" s="124" t="str">
        <f t="shared" si="10"/>
        <v/>
      </c>
      <c r="AG72" s="2"/>
      <c r="AH72" s="2"/>
      <c r="AI72" s="2"/>
      <c r="AJ72" s="2"/>
      <c r="AK72" s="2"/>
      <c r="AL72" s="2"/>
    </row>
    <row r="73" spans="1:38" x14ac:dyDescent="0.2">
      <c r="A73" s="45"/>
      <c r="B73" s="43" t="str">
        <f t="shared" si="40"/>
        <v/>
      </c>
      <c r="C73" s="96" t="str">
        <f t="shared" si="16"/>
        <v/>
      </c>
      <c r="D73" s="44" t="str">
        <f t="shared" si="41"/>
        <v/>
      </c>
      <c r="E73" s="52"/>
      <c r="F73" s="63" t="str">
        <f t="shared" si="42"/>
        <v/>
      </c>
      <c r="G73" s="56" t="str">
        <f t="shared" si="43"/>
        <v/>
      </c>
      <c r="H73" s="42"/>
      <c r="I73" s="2" t="str">
        <f t="shared" si="44"/>
        <v/>
      </c>
      <c r="J73" s="100" t="str">
        <f t="shared" si="0"/>
        <v/>
      </c>
      <c r="K73" s="55" t="str">
        <f t="shared" si="45"/>
        <v/>
      </c>
      <c r="L73" s="63" t="str">
        <f t="shared" si="46"/>
        <v/>
      </c>
      <c r="M73" s="96" t="str">
        <f t="shared" si="2"/>
        <v/>
      </c>
      <c r="N73" s="96" t="str">
        <f>IF(A73="","",IF(A73=Expiry,0,EXP(-q*Q73)*_xlfn.NORM.S.DIST(Y73,0)/(sigma*SQRT(Q73))*I73*Mult/100))</f>
        <v/>
      </c>
      <c r="O73" s="96" t="str">
        <f>IF(A73="","",IF(A73=Expiry,0,D73*E73*E73*EXP(-q*Q73)*_xlfn.NORM.S.DIST(Y73,0)*SQRT(Q73)/100))</f>
        <v/>
      </c>
      <c r="P73" s="69" t="str">
        <f>IF(A73="","",IF(A73=Expiry,0,AK73*I73*Mult*((-EXP(-q*Q73)*E73*_xlfn.NORM.S.DIST(Y73,0)*sigma/(2*SQRT(Q73))-r_dom*K*EXP(-r_dom*Q73)*_xlfn.NORM.S.DIST(Z73,1)+q*E73*EXP(-q*Q73)*_xlfn.NORM.S.DIST(Y73,1))/365)))</f>
        <v/>
      </c>
      <c r="Q73" s="83" t="str">
        <f t="shared" si="47"/>
        <v/>
      </c>
      <c r="R73" s="38"/>
      <c r="S73" s="68" t="str">
        <f t="shared" si="48"/>
        <v/>
      </c>
      <c r="T73" s="69" t="str">
        <f t="shared" si="49"/>
        <v/>
      </c>
      <c r="U73" s="70" t="str">
        <f t="shared" si="50"/>
        <v/>
      </c>
      <c r="V73" s="72" t="str">
        <f t="shared" si="51"/>
        <v/>
      </c>
      <c r="W73" s="2" t="str">
        <f t="shared" si="15"/>
        <v/>
      </c>
      <c r="X73" s="2" t="str">
        <f t="shared" si="4"/>
        <v/>
      </c>
      <c r="Y73" s="35" t="str">
        <f t="shared" ca="1" si="52"/>
        <v/>
      </c>
      <c r="Z73" s="36" t="str">
        <f t="shared" ca="1" si="53"/>
        <v/>
      </c>
      <c r="AA73" s="70" t="str">
        <f t="shared" si="54"/>
        <v/>
      </c>
      <c r="AB73" s="2"/>
      <c r="AC73" s="94" t="str">
        <f t="shared" si="7"/>
        <v/>
      </c>
      <c r="AD73" s="95" t="str">
        <f t="shared" si="8"/>
        <v/>
      </c>
      <c r="AE73" s="96" t="str">
        <f t="shared" si="9"/>
        <v/>
      </c>
      <c r="AF73" s="124" t="str">
        <f t="shared" si="10"/>
        <v/>
      </c>
      <c r="AG73" s="2"/>
      <c r="AH73" s="2"/>
      <c r="AI73" s="2"/>
      <c r="AJ73" s="2"/>
      <c r="AK73" s="2"/>
      <c r="AL73" s="2"/>
    </row>
    <row r="74" spans="1:38" x14ac:dyDescent="0.2">
      <c r="A74" s="45"/>
      <c r="B74" s="43" t="str">
        <f t="shared" si="40"/>
        <v/>
      </c>
      <c r="C74" s="96" t="str">
        <f t="shared" si="16"/>
        <v/>
      </c>
      <c r="D74" s="44" t="str">
        <f t="shared" si="41"/>
        <v/>
      </c>
      <c r="E74" s="52"/>
      <c r="F74" s="63" t="str">
        <f t="shared" si="42"/>
        <v/>
      </c>
      <c r="G74" s="56" t="str">
        <f t="shared" si="43"/>
        <v/>
      </c>
      <c r="H74" s="42"/>
      <c r="I74" s="2" t="str">
        <f t="shared" si="44"/>
        <v/>
      </c>
      <c r="J74" s="100" t="str">
        <f t="shared" si="0"/>
        <v/>
      </c>
      <c r="K74" s="55" t="str">
        <f t="shared" si="45"/>
        <v/>
      </c>
      <c r="L74" s="63" t="str">
        <f t="shared" si="46"/>
        <v/>
      </c>
      <c r="M74" s="96" t="str">
        <f t="shared" si="2"/>
        <v/>
      </c>
      <c r="N74" s="96" t="str">
        <f>IF(A74="","",IF(A74=Expiry,0,EXP(-q*Q74)*_xlfn.NORM.S.DIST(Y74,0)/(sigma*SQRT(Q74))*I74*Mult/100))</f>
        <v/>
      </c>
      <c r="O74" s="96" t="str">
        <f>IF(A74="","",IF(A74=Expiry,0,D74*E74*E74*EXP(-q*Q74)*_xlfn.NORM.S.DIST(Y74,0)*SQRT(Q74)/100))</f>
        <v/>
      </c>
      <c r="P74" s="69" t="str">
        <f>IF(A74="","",IF(A74=Expiry,0,AK74*I74*Mult*((-EXP(-q*Q74)*E74*_xlfn.NORM.S.DIST(Y74,0)*sigma/(2*SQRT(Q74))-r_dom*K*EXP(-r_dom*Q74)*_xlfn.NORM.S.DIST(Z74,1)+q*E74*EXP(-q*Q74)*_xlfn.NORM.S.DIST(Y74,1))/365)))</f>
        <v/>
      </c>
      <c r="Q74" s="83" t="str">
        <f t="shared" si="47"/>
        <v/>
      </c>
      <c r="R74" s="38"/>
      <c r="S74" s="68" t="str">
        <f t="shared" si="48"/>
        <v/>
      </c>
      <c r="T74" s="69" t="str">
        <f t="shared" si="49"/>
        <v/>
      </c>
      <c r="U74" s="70" t="str">
        <f t="shared" si="50"/>
        <v/>
      </c>
      <c r="V74" s="72" t="str">
        <f t="shared" si="51"/>
        <v/>
      </c>
      <c r="W74" s="2" t="str">
        <f t="shared" si="15"/>
        <v/>
      </c>
      <c r="X74" s="2" t="str">
        <f t="shared" si="4"/>
        <v/>
      </c>
      <c r="Y74" s="35" t="str">
        <f t="shared" ca="1" si="52"/>
        <v/>
      </c>
      <c r="Z74" s="36" t="str">
        <f t="shared" ca="1" si="53"/>
        <v/>
      </c>
      <c r="AA74" s="70" t="str">
        <f t="shared" si="54"/>
        <v/>
      </c>
      <c r="AB74" s="2"/>
      <c r="AC74" s="94" t="str">
        <f t="shared" si="7"/>
        <v/>
      </c>
      <c r="AD74" s="95" t="str">
        <f t="shared" si="8"/>
        <v/>
      </c>
      <c r="AE74" s="96" t="str">
        <f t="shared" si="9"/>
        <v/>
      </c>
      <c r="AF74" s="124" t="str">
        <f t="shared" si="10"/>
        <v/>
      </c>
      <c r="AG74" s="2"/>
      <c r="AH74" s="2"/>
      <c r="AI74" s="2"/>
      <c r="AJ74" s="2"/>
      <c r="AK74" s="2"/>
      <c r="AL74" s="2"/>
    </row>
    <row r="75" spans="1:38" x14ac:dyDescent="0.2">
      <c r="A75" s="45"/>
      <c r="B75" s="43" t="str">
        <f t="shared" si="40"/>
        <v/>
      </c>
      <c r="C75" s="96" t="str">
        <f t="shared" si="16"/>
        <v/>
      </c>
      <c r="D75" s="44" t="str">
        <f t="shared" si="41"/>
        <v/>
      </c>
      <c r="E75" s="52"/>
      <c r="F75" s="63" t="str">
        <f t="shared" si="42"/>
        <v/>
      </c>
      <c r="G75" s="56" t="str">
        <f t="shared" si="43"/>
        <v/>
      </c>
      <c r="H75" s="42"/>
      <c r="I75" s="2" t="str">
        <f t="shared" si="44"/>
        <v/>
      </c>
      <c r="J75" s="100" t="str">
        <f t="shared" si="0"/>
        <v/>
      </c>
      <c r="K75" s="55" t="str">
        <f t="shared" si="45"/>
        <v/>
      </c>
      <c r="L75" s="63" t="str">
        <f t="shared" si="46"/>
        <v/>
      </c>
      <c r="M75" s="96" t="str">
        <f t="shared" si="2"/>
        <v/>
      </c>
      <c r="N75" s="96" t="str">
        <f>IF(A75="","",IF(A75=Expiry,0,EXP(-q*Q75)*_xlfn.NORM.S.DIST(Y75,0)/(sigma*SQRT(Q75))*I75*Mult/100))</f>
        <v/>
      </c>
      <c r="O75" s="96" t="str">
        <f>IF(A75="","",IF(A75=Expiry,0,D75*E75*E75*EXP(-q*Q75)*_xlfn.NORM.S.DIST(Y75,0)*SQRT(Q75)/100))</f>
        <v/>
      </c>
      <c r="P75" s="69" t="str">
        <f>IF(A75="","",IF(A75=Expiry,0,AK75*I75*Mult*((-EXP(-q*Q75)*E75*_xlfn.NORM.S.DIST(Y75,0)*sigma/(2*SQRT(Q75))-r_dom*K*EXP(-r_dom*Q75)*_xlfn.NORM.S.DIST(Z75,1)+q*E75*EXP(-q*Q75)*_xlfn.NORM.S.DIST(Y75,1))/365)))</f>
        <v/>
      </c>
      <c r="Q75" s="83" t="str">
        <f t="shared" si="47"/>
        <v/>
      </c>
      <c r="R75" s="38"/>
      <c r="S75" s="68" t="str">
        <f t="shared" si="48"/>
        <v/>
      </c>
      <c r="T75" s="69" t="str">
        <f t="shared" si="49"/>
        <v/>
      </c>
      <c r="U75" s="70" t="str">
        <f t="shared" si="50"/>
        <v/>
      </c>
      <c r="V75" s="72" t="str">
        <f t="shared" si="51"/>
        <v/>
      </c>
      <c r="W75" s="2" t="str">
        <f t="shared" si="15"/>
        <v/>
      </c>
      <c r="X75" s="2" t="str">
        <f t="shared" si="4"/>
        <v/>
      </c>
      <c r="Y75" s="35" t="str">
        <f t="shared" ca="1" si="52"/>
        <v/>
      </c>
      <c r="Z75" s="36" t="str">
        <f t="shared" ca="1" si="53"/>
        <v/>
      </c>
      <c r="AA75" s="70" t="str">
        <f t="shared" si="54"/>
        <v/>
      </c>
      <c r="AB75" s="2"/>
      <c r="AC75" s="94" t="str">
        <f t="shared" si="7"/>
        <v/>
      </c>
      <c r="AD75" s="95" t="str">
        <f t="shared" si="8"/>
        <v/>
      </c>
      <c r="AE75" s="96" t="str">
        <f t="shared" si="9"/>
        <v/>
      </c>
      <c r="AF75" s="124" t="str">
        <f t="shared" si="10"/>
        <v/>
      </c>
      <c r="AG75" s="2"/>
      <c r="AH75" s="2"/>
      <c r="AI75" s="2"/>
      <c r="AJ75" s="2"/>
      <c r="AK75" s="2"/>
      <c r="AL75" s="2"/>
    </row>
    <row r="76" spans="1:38" x14ac:dyDescent="0.2">
      <c r="A76" s="45"/>
      <c r="B76" s="43" t="str">
        <f t="shared" si="40"/>
        <v/>
      </c>
      <c r="C76" s="96" t="str">
        <f t="shared" si="16"/>
        <v/>
      </c>
      <c r="D76" s="44" t="str">
        <f t="shared" si="41"/>
        <v/>
      </c>
      <c r="E76" s="52"/>
      <c r="F76" s="63" t="str">
        <f t="shared" si="42"/>
        <v/>
      </c>
      <c r="G76" s="56" t="str">
        <f t="shared" si="43"/>
        <v/>
      </c>
      <c r="H76" s="42"/>
      <c r="I76" s="2" t="str">
        <f t="shared" si="44"/>
        <v/>
      </c>
      <c r="J76" s="100" t="str">
        <f t="shared" si="0"/>
        <v/>
      </c>
      <c r="K76" s="55" t="str">
        <f t="shared" si="45"/>
        <v/>
      </c>
      <c r="L76" s="63" t="str">
        <f t="shared" si="46"/>
        <v/>
      </c>
      <c r="M76" s="96" t="str">
        <f t="shared" si="2"/>
        <v/>
      </c>
      <c r="N76" s="96" t="str">
        <f>IF(A76="","",IF(A76=Expiry,0,EXP(-q*Q76)*_xlfn.NORM.S.DIST(Y76,0)/(sigma*SQRT(Q76))*I76*Mult/100))</f>
        <v/>
      </c>
      <c r="O76" s="96" t="str">
        <f>IF(A76="","",IF(A76=Expiry,0,D76*E76*E76*EXP(-q*Q76)*_xlfn.NORM.S.DIST(Y76,0)*SQRT(Q76)/100))</f>
        <v/>
      </c>
      <c r="P76" s="69" t="str">
        <f>IF(A76="","",IF(A76=Expiry,0,AK76*I76*Mult*((-EXP(-q*Q76)*E76*_xlfn.NORM.S.DIST(Y76,0)*sigma/(2*SQRT(Q76))-r_dom*K*EXP(-r_dom*Q76)*_xlfn.NORM.S.DIST(Z76,1)+q*E76*EXP(-q*Q76)*_xlfn.NORM.S.DIST(Y76,1))/365)))</f>
        <v/>
      </c>
      <c r="Q76" s="83" t="str">
        <f t="shared" si="47"/>
        <v/>
      </c>
      <c r="R76" s="38"/>
      <c r="S76" s="68" t="str">
        <f t="shared" si="48"/>
        <v/>
      </c>
      <c r="T76" s="69" t="str">
        <f t="shared" si="49"/>
        <v/>
      </c>
      <c r="U76" s="70" t="str">
        <f t="shared" si="50"/>
        <v/>
      </c>
      <c r="V76" s="72" t="str">
        <f t="shared" si="51"/>
        <v/>
      </c>
      <c r="W76" s="2" t="str">
        <f t="shared" si="15"/>
        <v/>
      </c>
      <c r="X76" s="2" t="str">
        <f t="shared" si="4"/>
        <v/>
      </c>
      <c r="Y76" s="35" t="str">
        <f t="shared" ca="1" si="52"/>
        <v/>
      </c>
      <c r="Z76" s="36" t="str">
        <f t="shared" ca="1" si="53"/>
        <v/>
      </c>
      <c r="AA76" s="70" t="str">
        <f t="shared" si="54"/>
        <v/>
      </c>
      <c r="AB76" s="2"/>
      <c r="AC76" s="94" t="str">
        <f t="shared" si="7"/>
        <v/>
      </c>
      <c r="AD76" s="95" t="str">
        <f t="shared" si="8"/>
        <v/>
      </c>
      <c r="AE76" s="96" t="str">
        <f t="shared" si="9"/>
        <v/>
      </c>
      <c r="AF76" s="124" t="str">
        <f t="shared" si="10"/>
        <v/>
      </c>
      <c r="AG76" s="2"/>
      <c r="AH76" s="2"/>
      <c r="AI76" s="2"/>
      <c r="AJ76" s="2"/>
      <c r="AK76" s="2"/>
      <c r="AL76" s="2"/>
    </row>
    <row r="77" spans="1:38" x14ac:dyDescent="0.2">
      <c r="A77" s="45"/>
      <c r="B77" s="43" t="str">
        <f t="shared" si="40"/>
        <v/>
      </c>
      <c r="C77" s="96" t="str">
        <f t="shared" si="16"/>
        <v/>
      </c>
      <c r="D77" s="44" t="str">
        <f t="shared" si="41"/>
        <v/>
      </c>
      <c r="E77" s="52"/>
      <c r="F77" s="63" t="str">
        <f t="shared" si="42"/>
        <v/>
      </c>
      <c r="G77" s="56" t="str">
        <f t="shared" si="43"/>
        <v/>
      </c>
      <c r="H77" s="42"/>
      <c r="I77" s="2" t="str">
        <f t="shared" si="44"/>
        <v/>
      </c>
      <c r="J77" s="100" t="str">
        <f t="shared" si="0"/>
        <v/>
      </c>
      <c r="K77" s="55" t="str">
        <f t="shared" si="45"/>
        <v/>
      </c>
      <c r="L77" s="63" t="str">
        <f t="shared" si="46"/>
        <v/>
      </c>
      <c r="M77" s="96" t="str">
        <f t="shared" si="2"/>
        <v/>
      </c>
      <c r="N77" s="96" t="str">
        <f>IF(A77="","",IF(A77=Expiry,0,EXP(-q*Q77)*_xlfn.NORM.S.DIST(Y77,0)/(sigma*SQRT(Q77))*I77*Mult/100))</f>
        <v/>
      </c>
      <c r="O77" s="96" t="str">
        <f>IF(A77="","",IF(A77=Expiry,0,D77*E77*E77*EXP(-q*Q77)*_xlfn.NORM.S.DIST(Y77,0)*SQRT(Q77)/100))</f>
        <v/>
      </c>
      <c r="P77" s="69" t="str">
        <f>IF(A77="","",IF(A77=Expiry,0,AK77*I77*Mult*((-EXP(-q*Q77)*E77*_xlfn.NORM.S.DIST(Y77,0)*sigma/(2*SQRT(Q77))-r_dom*K*EXP(-r_dom*Q77)*_xlfn.NORM.S.DIST(Z77,1)+q*E77*EXP(-q*Q77)*_xlfn.NORM.S.DIST(Y77,1))/365)))</f>
        <v/>
      </c>
      <c r="Q77" s="83" t="str">
        <f t="shared" si="47"/>
        <v/>
      </c>
      <c r="R77" s="38"/>
      <c r="S77" s="68" t="str">
        <f t="shared" si="48"/>
        <v/>
      </c>
      <c r="T77" s="69" t="str">
        <f t="shared" si="49"/>
        <v/>
      </c>
      <c r="U77" s="70" t="str">
        <f t="shared" si="50"/>
        <v/>
      </c>
      <c r="V77" s="72" t="str">
        <f t="shared" si="51"/>
        <v/>
      </c>
      <c r="W77" s="2" t="str">
        <f t="shared" si="15"/>
        <v/>
      </c>
      <c r="X77" s="2" t="str">
        <f t="shared" si="4"/>
        <v/>
      </c>
      <c r="Y77" s="35" t="str">
        <f t="shared" ca="1" si="52"/>
        <v/>
      </c>
      <c r="Z77" s="36" t="str">
        <f t="shared" ca="1" si="53"/>
        <v/>
      </c>
      <c r="AA77" s="70" t="str">
        <f t="shared" si="54"/>
        <v/>
      </c>
      <c r="AB77" s="2"/>
      <c r="AC77" s="94" t="str">
        <f t="shared" si="7"/>
        <v/>
      </c>
      <c r="AD77" s="95" t="str">
        <f t="shared" si="8"/>
        <v/>
      </c>
      <c r="AE77" s="96" t="str">
        <f t="shared" si="9"/>
        <v/>
      </c>
      <c r="AF77" s="124" t="str">
        <f t="shared" si="10"/>
        <v/>
      </c>
      <c r="AG77" s="2"/>
      <c r="AH77" s="2"/>
      <c r="AI77" s="2"/>
      <c r="AJ77" s="2"/>
      <c r="AK77" s="2"/>
      <c r="AL77" s="2"/>
    </row>
    <row r="78" spans="1:38" x14ac:dyDescent="0.2">
      <c r="A78" s="45"/>
      <c r="B78" s="43" t="str">
        <f t="shared" si="40"/>
        <v/>
      </c>
      <c r="C78" s="96" t="str">
        <f t="shared" si="16"/>
        <v/>
      </c>
      <c r="D78" s="44" t="str">
        <f t="shared" si="41"/>
        <v/>
      </c>
      <c r="E78" s="52"/>
      <c r="F78" s="63" t="str">
        <f t="shared" si="42"/>
        <v/>
      </c>
      <c r="G78" s="56" t="str">
        <f t="shared" si="43"/>
        <v/>
      </c>
      <c r="H78" s="42"/>
      <c r="I78" s="2" t="str">
        <f t="shared" si="44"/>
        <v/>
      </c>
      <c r="J78" s="100" t="str">
        <f t="shared" si="0"/>
        <v/>
      </c>
      <c r="K78" s="55" t="str">
        <f t="shared" si="45"/>
        <v/>
      </c>
      <c r="L78" s="63" t="str">
        <f t="shared" si="46"/>
        <v/>
      </c>
      <c r="M78" s="96" t="str">
        <f t="shared" si="2"/>
        <v/>
      </c>
      <c r="N78" s="96" t="str">
        <f>IF(A78="","",IF(A78=Expiry,0,EXP(-q*Q78)*_xlfn.NORM.S.DIST(Y78,0)/(sigma*SQRT(Q78))*I78*Mult/100))</f>
        <v/>
      </c>
      <c r="O78" s="96" t="str">
        <f>IF(A78="","",IF(A78=Expiry,0,D78*E78*E78*EXP(-q*Q78)*_xlfn.NORM.S.DIST(Y78,0)*SQRT(Q78)/100))</f>
        <v/>
      </c>
      <c r="P78" s="69" t="str">
        <f>IF(A78="","",IF(A78=Expiry,0,AK78*I78*Mult*((-EXP(-q*Q78)*E78*_xlfn.NORM.S.DIST(Y78,0)*sigma/(2*SQRT(Q78))-r_dom*K*EXP(-r_dom*Q78)*_xlfn.NORM.S.DIST(Z78,1)+q*E78*EXP(-q*Q78)*_xlfn.NORM.S.DIST(Y78,1))/365)))</f>
        <v/>
      </c>
      <c r="Q78" s="83" t="str">
        <f t="shared" si="47"/>
        <v/>
      </c>
      <c r="R78" s="38"/>
      <c r="S78" s="68" t="str">
        <f t="shared" si="48"/>
        <v/>
      </c>
      <c r="T78" s="69" t="str">
        <f t="shared" si="49"/>
        <v/>
      </c>
      <c r="U78" s="70" t="str">
        <f t="shared" si="50"/>
        <v/>
      </c>
      <c r="V78" s="72" t="str">
        <f t="shared" si="51"/>
        <v/>
      </c>
      <c r="W78" s="2" t="str">
        <f t="shared" si="15"/>
        <v/>
      </c>
      <c r="X78" s="2" t="str">
        <f t="shared" si="4"/>
        <v/>
      </c>
      <c r="Y78" s="35" t="str">
        <f t="shared" ca="1" si="52"/>
        <v/>
      </c>
      <c r="Z78" s="36" t="str">
        <f t="shared" ca="1" si="53"/>
        <v/>
      </c>
      <c r="AA78" s="70" t="str">
        <f t="shared" si="54"/>
        <v/>
      </c>
      <c r="AB78" s="2"/>
      <c r="AC78" s="94" t="str">
        <f t="shared" si="7"/>
        <v/>
      </c>
      <c r="AD78" s="95" t="str">
        <f t="shared" si="8"/>
        <v/>
      </c>
      <c r="AE78" s="96" t="str">
        <f t="shared" si="9"/>
        <v/>
      </c>
      <c r="AF78" s="124" t="str">
        <f t="shared" si="10"/>
        <v/>
      </c>
      <c r="AG78" s="2"/>
      <c r="AH78" s="2"/>
      <c r="AI78" s="2"/>
      <c r="AJ78" s="2"/>
      <c r="AK78" s="2"/>
      <c r="AL78" s="2"/>
    </row>
    <row r="79" spans="1:38" x14ac:dyDescent="0.2">
      <c r="A79" s="45"/>
      <c r="B79" s="43" t="str">
        <f t="shared" si="40"/>
        <v/>
      </c>
      <c r="C79" s="96" t="str">
        <f t="shared" si="16"/>
        <v/>
      </c>
      <c r="D79" s="44" t="str">
        <f t="shared" si="41"/>
        <v/>
      </c>
      <c r="E79" s="52"/>
      <c r="F79" s="63" t="str">
        <f t="shared" si="42"/>
        <v/>
      </c>
      <c r="G79" s="56" t="str">
        <f t="shared" si="43"/>
        <v/>
      </c>
      <c r="H79" s="42"/>
      <c r="I79" s="2" t="str">
        <f t="shared" si="44"/>
        <v/>
      </c>
      <c r="J79" s="100" t="str">
        <f t="shared" si="0"/>
        <v/>
      </c>
      <c r="K79" s="55" t="str">
        <f t="shared" si="45"/>
        <v/>
      </c>
      <c r="L79" s="63" t="str">
        <f t="shared" si="46"/>
        <v/>
      </c>
      <c r="M79" s="96" t="str">
        <f t="shared" si="2"/>
        <v/>
      </c>
      <c r="N79" s="96" t="str">
        <f>IF(A79="","",IF(A79=Expiry,0,EXP(-q*Q79)*_xlfn.NORM.S.DIST(Y79,0)/(sigma*SQRT(Q79))*I79*Mult/100))</f>
        <v/>
      </c>
      <c r="O79" s="96" t="str">
        <f>IF(A79="","",IF(A79=Expiry,0,D79*E79*E79*EXP(-q*Q79)*_xlfn.NORM.S.DIST(Y79,0)*SQRT(Q79)/100))</f>
        <v/>
      </c>
      <c r="P79" s="69" t="str">
        <f>IF(A79="","",IF(A79=Expiry,0,AK79*I79*Mult*((-EXP(-q*Q79)*E79*_xlfn.NORM.S.DIST(Y79,0)*sigma/(2*SQRT(Q79))-r_dom*K*EXP(-r_dom*Q79)*_xlfn.NORM.S.DIST(Z79,1)+q*E79*EXP(-q*Q79)*_xlfn.NORM.S.DIST(Y79,1))/365)))</f>
        <v/>
      </c>
      <c r="Q79" s="83" t="str">
        <f t="shared" si="47"/>
        <v/>
      </c>
      <c r="R79" s="38"/>
      <c r="S79" s="68" t="str">
        <f t="shared" si="48"/>
        <v/>
      </c>
      <c r="T79" s="69" t="str">
        <f t="shared" si="49"/>
        <v/>
      </c>
      <c r="U79" s="70" t="str">
        <f t="shared" si="50"/>
        <v/>
      </c>
      <c r="V79" s="72" t="str">
        <f t="shared" si="51"/>
        <v/>
      </c>
      <c r="W79" s="2" t="str">
        <f t="shared" si="15"/>
        <v/>
      </c>
      <c r="X79" s="2" t="str">
        <f t="shared" si="4"/>
        <v/>
      </c>
      <c r="Y79" s="35" t="str">
        <f t="shared" ca="1" si="52"/>
        <v/>
      </c>
      <c r="Z79" s="36" t="str">
        <f t="shared" ca="1" si="53"/>
        <v/>
      </c>
      <c r="AA79" s="70" t="str">
        <f t="shared" si="54"/>
        <v/>
      </c>
      <c r="AB79" s="2"/>
      <c r="AC79" s="94" t="str">
        <f t="shared" si="7"/>
        <v/>
      </c>
      <c r="AD79" s="95" t="str">
        <f t="shared" si="8"/>
        <v/>
      </c>
      <c r="AE79" s="96" t="str">
        <f t="shared" si="9"/>
        <v/>
      </c>
      <c r="AF79" s="124" t="str">
        <f t="shared" si="10"/>
        <v/>
      </c>
      <c r="AG79" s="2"/>
      <c r="AH79" s="2"/>
      <c r="AI79" s="2"/>
      <c r="AJ79" s="2"/>
      <c r="AK79" s="2"/>
      <c r="AL79" s="2"/>
    </row>
    <row r="80" spans="1:38" x14ac:dyDescent="0.2">
      <c r="A80" s="45"/>
      <c r="B80" s="43" t="str">
        <f t="shared" si="40"/>
        <v/>
      </c>
      <c r="C80" s="96" t="str">
        <f t="shared" si="16"/>
        <v/>
      </c>
      <c r="D80" s="44" t="str">
        <f t="shared" si="41"/>
        <v/>
      </c>
      <c r="E80" s="52"/>
      <c r="F80" s="63" t="str">
        <f t="shared" si="42"/>
        <v/>
      </c>
      <c r="G80" s="56" t="str">
        <f t="shared" si="43"/>
        <v/>
      </c>
      <c r="H80" s="42"/>
      <c r="I80" s="2" t="str">
        <f t="shared" si="44"/>
        <v/>
      </c>
      <c r="J80" s="100" t="str">
        <f t="shared" si="0"/>
        <v/>
      </c>
      <c r="K80" s="55" t="str">
        <f t="shared" si="45"/>
        <v/>
      </c>
      <c r="L80" s="63" t="str">
        <f t="shared" si="46"/>
        <v/>
      </c>
      <c r="M80" s="96" t="str">
        <f t="shared" si="2"/>
        <v/>
      </c>
      <c r="N80" s="96" t="str">
        <f>IF(A80="","",IF(A80=Expiry,0,EXP(-q*Q80)*_xlfn.NORM.S.DIST(Y80,0)/(sigma*SQRT(Q80))*I80*Mult/100))</f>
        <v/>
      </c>
      <c r="O80" s="96" t="str">
        <f>IF(A80="","",IF(A80=Expiry,0,D80*E80*E80*EXP(-q*Q80)*_xlfn.NORM.S.DIST(Y80,0)*SQRT(Q80)/100))</f>
        <v/>
      </c>
      <c r="P80" s="69" t="str">
        <f>IF(A80="","",IF(A80=Expiry,0,AK80*I80*Mult*((-EXP(-q*Q80)*E80*_xlfn.NORM.S.DIST(Y80,0)*sigma/(2*SQRT(Q80))-r_dom*K*EXP(-r_dom*Q80)*_xlfn.NORM.S.DIST(Z80,1)+q*E80*EXP(-q*Q80)*_xlfn.NORM.S.DIST(Y80,1))/365)))</f>
        <v/>
      </c>
      <c r="Q80" s="83" t="str">
        <f t="shared" si="47"/>
        <v/>
      </c>
      <c r="R80" s="38"/>
      <c r="S80" s="68" t="str">
        <f t="shared" si="48"/>
        <v/>
      </c>
      <c r="T80" s="69" t="str">
        <f t="shared" si="49"/>
        <v/>
      </c>
      <c r="U80" s="70" t="str">
        <f t="shared" si="50"/>
        <v/>
      </c>
      <c r="V80" s="72" t="str">
        <f t="shared" si="51"/>
        <v/>
      </c>
      <c r="W80" s="2" t="str">
        <f t="shared" si="15"/>
        <v/>
      </c>
      <c r="X80" s="2" t="str">
        <f t="shared" si="4"/>
        <v/>
      </c>
      <c r="Y80" s="35" t="str">
        <f t="shared" ca="1" si="52"/>
        <v/>
      </c>
      <c r="Z80" s="36" t="str">
        <f t="shared" ca="1" si="53"/>
        <v/>
      </c>
      <c r="AA80" s="70" t="str">
        <f t="shared" si="54"/>
        <v/>
      </c>
      <c r="AB80" s="2"/>
      <c r="AC80" s="94" t="str">
        <f t="shared" si="7"/>
        <v/>
      </c>
      <c r="AD80" s="95" t="str">
        <f t="shared" si="8"/>
        <v/>
      </c>
      <c r="AE80" s="96" t="str">
        <f t="shared" si="9"/>
        <v/>
      </c>
      <c r="AF80" s="124" t="str">
        <f t="shared" si="10"/>
        <v/>
      </c>
      <c r="AG80" s="2"/>
      <c r="AH80" s="2"/>
      <c r="AI80" s="2"/>
      <c r="AJ80" s="2"/>
      <c r="AK80" s="2"/>
      <c r="AL80" s="2"/>
    </row>
    <row r="81" spans="1:38" x14ac:dyDescent="0.2">
      <c r="A81" s="45"/>
      <c r="B81" s="43" t="str">
        <f t="shared" si="40"/>
        <v/>
      </c>
      <c r="C81" s="96" t="str">
        <f t="shared" si="16"/>
        <v/>
      </c>
      <c r="D81" s="44" t="str">
        <f t="shared" si="41"/>
        <v/>
      </c>
      <c r="E81" s="52"/>
      <c r="F81" s="63" t="str">
        <f t="shared" si="42"/>
        <v/>
      </c>
      <c r="G81" s="56" t="str">
        <f t="shared" si="43"/>
        <v/>
      </c>
      <c r="H81" s="42"/>
      <c r="I81" s="2" t="str">
        <f t="shared" si="44"/>
        <v/>
      </c>
      <c r="J81" s="100" t="str">
        <f t="shared" si="0"/>
        <v/>
      </c>
      <c r="K81" s="55" t="str">
        <f t="shared" si="45"/>
        <v/>
      </c>
      <c r="L81" s="63" t="str">
        <f t="shared" si="46"/>
        <v/>
      </c>
      <c r="M81" s="96" t="str">
        <f t="shared" si="2"/>
        <v/>
      </c>
      <c r="N81" s="96" t="str">
        <f>IF(A81="","",IF(A81=Expiry,0,EXP(-q*Q81)*_xlfn.NORM.S.DIST(Y81,0)/(sigma*SQRT(Q81))*I81*Mult/100))</f>
        <v/>
      </c>
      <c r="O81" s="96" t="str">
        <f>IF(A81="","",IF(A81=Expiry,0,D81*E81*E81*EXP(-q*Q81)*_xlfn.NORM.S.DIST(Y81,0)*SQRT(Q81)/100))</f>
        <v/>
      </c>
      <c r="P81" s="69" t="str">
        <f>IF(A81="","",IF(A81=Expiry,0,AK81*I81*Mult*((-EXP(-q*Q81)*E81*_xlfn.NORM.S.DIST(Y81,0)*sigma/(2*SQRT(Q81))-r_dom*K*EXP(-r_dom*Q81)*_xlfn.NORM.S.DIST(Z81,1)+q*E81*EXP(-q*Q81)*_xlfn.NORM.S.DIST(Y81,1))/365)))</f>
        <v/>
      </c>
      <c r="Q81" s="83" t="str">
        <f t="shared" si="47"/>
        <v/>
      </c>
      <c r="R81" s="38"/>
      <c r="S81" s="68" t="str">
        <f t="shared" si="48"/>
        <v/>
      </c>
      <c r="T81" s="69" t="str">
        <f t="shared" si="49"/>
        <v/>
      </c>
      <c r="U81" s="70" t="str">
        <f t="shared" si="50"/>
        <v/>
      </c>
      <c r="V81" s="72" t="str">
        <f t="shared" si="51"/>
        <v/>
      </c>
      <c r="W81" s="2" t="str">
        <f t="shared" si="15"/>
        <v/>
      </c>
      <c r="X81" s="2" t="str">
        <f t="shared" si="4"/>
        <v/>
      </c>
      <c r="Y81" s="35" t="str">
        <f t="shared" ca="1" si="52"/>
        <v/>
      </c>
      <c r="Z81" s="36" t="str">
        <f t="shared" ca="1" si="53"/>
        <v/>
      </c>
      <c r="AA81" s="70" t="str">
        <f t="shared" si="54"/>
        <v/>
      </c>
      <c r="AB81" s="2"/>
      <c r="AC81" s="94" t="str">
        <f t="shared" si="7"/>
        <v/>
      </c>
      <c r="AD81" s="95" t="str">
        <f t="shared" si="8"/>
        <v/>
      </c>
      <c r="AE81" s="96" t="str">
        <f t="shared" si="9"/>
        <v/>
      </c>
      <c r="AF81" s="124" t="str">
        <f t="shared" si="10"/>
        <v/>
      </c>
      <c r="AG81" s="2"/>
      <c r="AH81" s="2"/>
      <c r="AI81" s="2"/>
      <c r="AJ81" s="2"/>
      <c r="AK81" s="2"/>
      <c r="AL81" s="2"/>
    </row>
    <row r="82" spans="1:38" x14ac:dyDescent="0.2">
      <c r="A82" s="45"/>
      <c r="B82" s="43" t="str">
        <f t="shared" si="40"/>
        <v/>
      </c>
      <c r="C82" s="96" t="str">
        <f t="shared" si="16"/>
        <v/>
      </c>
      <c r="D82" s="44" t="str">
        <f t="shared" si="41"/>
        <v/>
      </c>
      <c r="E82" s="52"/>
      <c r="F82" s="63" t="str">
        <f t="shared" si="42"/>
        <v/>
      </c>
      <c r="G82" s="56" t="str">
        <f t="shared" si="43"/>
        <v/>
      </c>
      <c r="H82" s="42"/>
      <c r="I82" s="2" t="str">
        <f t="shared" si="44"/>
        <v/>
      </c>
      <c r="J82" s="54" t="str">
        <f t="shared" si="0"/>
        <v/>
      </c>
      <c r="K82" s="55" t="str">
        <f t="shared" si="45"/>
        <v/>
      </c>
      <c r="L82" s="63" t="str">
        <f t="shared" si="46"/>
        <v/>
      </c>
      <c r="M82" s="96" t="str">
        <f t="shared" si="2"/>
        <v/>
      </c>
      <c r="N82" s="96" t="str">
        <f>IF(A82="","",IF(A82=Expiry,0,EXP(-q*Q82)*_xlfn.NORM.S.DIST(Y82,0)/(sigma*SQRT(Q82))*I82*Mult/100))</f>
        <v/>
      </c>
      <c r="O82" s="96" t="str">
        <f>IF(A82="","",IF(A82=Expiry,0,D82*E82*E82*EXP(-q*Q82)*_xlfn.NORM.S.DIST(Y82,0)*SQRT(Q82)/100))</f>
        <v/>
      </c>
      <c r="P82" s="69" t="str">
        <f>IF(A82="","",IF(A82=Expiry,0,AK82*I82*Mult*((-EXP(-q*Q82)*E82*_xlfn.NORM.S.DIST(Y82,0)*sigma/(2*SQRT(Q82))-r_dom*K*EXP(-r_dom*Q82)*_xlfn.NORM.S.DIST(Z82,1)+q*E82*EXP(-q*Q82)*_xlfn.NORM.S.DIST(Y82,1))/365)))</f>
        <v/>
      </c>
      <c r="Q82" s="83" t="str">
        <f t="shared" si="47"/>
        <v/>
      </c>
      <c r="R82" s="38"/>
      <c r="S82" s="68" t="str">
        <f t="shared" si="48"/>
        <v/>
      </c>
      <c r="T82" s="69" t="str">
        <f t="shared" si="49"/>
        <v/>
      </c>
      <c r="U82" s="70" t="str">
        <f t="shared" si="50"/>
        <v/>
      </c>
      <c r="V82" s="72" t="str">
        <f t="shared" si="51"/>
        <v/>
      </c>
      <c r="W82" s="2" t="str">
        <f t="shared" si="15"/>
        <v/>
      </c>
      <c r="X82" s="2" t="str">
        <f t="shared" si="4"/>
        <v/>
      </c>
      <c r="Y82" s="35" t="str">
        <f t="shared" ca="1" si="52"/>
        <v/>
      </c>
      <c r="Z82" s="36" t="str">
        <f t="shared" ca="1" si="53"/>
        <v/>
      </c>
      <c r="AA82" s="70" t="str">
        <f t="shared" si="54"/>
        <v/>
      </c>
      <c r="AB82" s="2"/>
      <c r="AC82" s="94" t="str">
        <f t="shared" si="7"/>
        <v/>
      </c>
      <c r="AD82" s="95" t="str">
        <f t="shared" si="8"/>
        <v/>
      </c>
      <c r="AE82" s="96" t="str">
        <f t="shared" si="9"/>
        <v/>
      </c>
      <c r="AF82" s="124" t="str">
        <f t="shared" si="10"/>
        <v/>
      </c>
      <c r="AG82" s="2"/>
      <c r="AH82" s="2"/>
      <c r="AI82" s="2"/>
      <c r="AJ82" s="2"/>
      <c r="AK82" s="2"/>
      <c r="AL82" s="2"/>
    </row>
    <row r="83" spans="1:38" x14ac:dyDescent="0.2">
      <c r="A83" s="45"/>
      <c r="B83" s="43" t="str">
        <f t="shared" si="40"/>
        <v/>
      </c>
      <c r="C83" s="96" t="str">
        <f t="shared" si="16"/>
        <v/>
      </c>
      <c r="D83" s="44" t="str">
        <f t="shared" si="41"/>
        <v/>
      </c>
      <c r="E83" s="52"/>
      <c r="F83" s="63" t="str">
        <f t="shared" si="42"/>
        <v/>
      </c>
      <c r="G83" s="56" t="str">
        <f t="shared" si="43"/>
        <v/>
      </c>
      <c r="H83" s="42"/>
      <c r="I83" s="2" t="str">
        <f t="shared" si="44"/>
        <v/>
      </c>
      <c r="J83" s="54" t="str">
        <f t="shared" si="0"/>
        <v/>
      </c>
      <c r="K83" s="55" t="str">
        <f t="shared" si="45"/>
        <v/>
      </c>
      <c r="L83" s="63" t="str">
        <f t="shared" si="46"/>
        <v/>
      </c>
      <c r="M83" s="96" t="str">
        <f t="shared" si="2"/>
        <v/>
      </c>
      <c r="N83" s="96" t="str">
        <f>IF(A83="","",IF(A83=Expiry,0,EXP(-q*Q83)*_xlfn.NORM.S.DIST(Y83,0)/(sigma*SQRT(Q83))*I83*Mult/100))</f>
        <v/>
      </c>
      <c r="O83" s="96" t="str">
        <f>IF(A83="","",IF(A83=Expiry,0,D83*E83*E83*EXP(-q*Q83)*_xlfn.NORM.S.DIST(Y83,0)*SQRT(Q83)/100))</f>
        <v/>
      </c>
      <c r="P83" s="69" t="str">
        <f>IF(A83="","",IF(A83=Expiry,0,AK83*I83*Mult*((-EXP(-q*Q83)*E83*_xlfn.NORM.S.DIST(Y83,0)*sigma/(2*SQRT(Q83))-r_dom*K*EXP(-r_dom*Q83)*_xlfn.NORM.S.DIST(Z83,1)+q*E83*EXP(-q*Q83)*_xlfn.NORM.S.DIST(Y83,1))/365)))</f>
        <v/>
      </c>
      <c r="Q83" s="83" t="str">
        <f t="shared" si="47"/>
        <v/>
      </c>
      <c r="R83" s="38"/>
      <c r="S83" s="68" t="str">
        <f t="shared" si="48"/>
        <v/>
      </c>
      <c r="T83" s="69" t="str">
        <f t="shared" si="49"/>
        <v/>
      </c>
      <c r="U83" s="70" t="str">
        <f t="shared" si="50"/>
        <v/>
      </c>
      <c r="V83" s="72" t="str">
        <f t="shared" si="51"/>
        <v/>
      </c>
      <c r="W83" s="2" t="str">
        <f t="shared" si="15"/>
        <v/>
      </c>
      <c r="X83" s="2" t="str">
        <f t="shared" si="4"/>
        <v/>
      </c>
      <c r="Y83" s="35" t="str">
        <f t="shared" ca="1" si="52"/>
        <v/>
      </c>
      <c r="Z83" s="36" t="str">
        <f t="shared" ca="1" si="53"/>
        <v/>
      </c>
      <c r="AA83" s="70" t="str">
        <f t="shared" si="54"/>
        <v/>
      </c>
      <c r="AB83" s="2"/>
      <c r="AC83" s="94" t="str">
        <f t="shared" si="7"/>
        <v/>
      </c>
      <c r="AD83" s="95" t="str">
        <f t="shared" si="8"/>
        <v/>
      </c>
      <c r="AE83" s="96" t="str">
        <f t="shared" si="9"/>
        <v/>
      </c>
      <c r="AF83" s="124" t="str">
        <f t="shared" si="10"/>
        <v/>
      </c>
      <c r="AG83" s="2"/>
      <c r="AH83" s="2"/>
      <c r="AI83" s="2"/>
      <c r="AJ83" s="2"/>
      <c r="AK83" s="2"/>
      <c r="AL83" s="2"/>
    </row>
    <row r="84" spans="1:38" x14ac:dyDescent="0.2">
      <c r="A84" s="45"/>
      <c r="B84" s="43" t="str">
        <f t="shared" si="40"/>
        <v/>
      </c>
      <c r="C84" s="96" t="str">
        <f t="shared" si="16"/>
        <v/>
      </c>
      <c r="D84" s="44" t="str">
        <f t="shared" si="41"/>
        <v/>
      </c>
      <c r="E84" s="52"/>
      <c r="F84" s="63" t="str">
        <f t="shared" si="42"/>
        <v/>
      </c>
      <c r="G84" s="56" t="str">
        <f t="shared" si="43"/>
        <v/>
      </c>
      <c r="H84" s="42"/>
      <c r="I84" s="2" t="str">
        <f t="shared" si="44"/>
        <v/>
      </c>
      <c r="J84" s="54" t="str">
        <f t="shared" si="0"/>
        <v/>
      </c>
      <c r="K84" s="55" t="str">
        <f t="shared" si="45"/>
        <v/>
      </c>
      <c r="L84" s="63" t="str">
        <f t="shared" si="46"/>
        <v/>
      </c>
      <c r="M84" s="96" t="str">
        <f t="shared" si="2"/>
        <v/>
      </c>
      <c r="N84" s="96" t="str">
        <f>IF(A84="","",IF(A84=Expiry,0,EXP(-q*Q84)*_xlfn.NORM.S.DIST(Y84,0)/(sigma*SQRT(Q84))*I84*Mult/100))</f>
        <v/>
      </c>
      <c r="O84" s="96" t="str">
        <f>IF(A84="","",IF(A84=Expiry,0,D84*E84*E84*EXP(-q*Q84)*_xlfn.NORM.S.DIST(Y84,0)*SQRT(Q84)/100))</f>
        <v/>
      </c>
      <c r="P84" s="69" t="str">
        <f>IF(A84="","",IF(A84=Expiry,0,AK84*I84*Mult*((-EXP(-q*Q84)*E84*_xlfn.NORM.S.DIST(Y84,0)*sigma/(2*SQRT(Q84))-r_dom*K*EXP(-r_dom*Q84)*_xlfn.NORM.S.DIST(Z84,1)+q*E84*EXP(-q*Q84)*_xlfn.NORM.S.DIST(Y84,1))/365)))</f>
        <v/>
      </c>
      <c r="Q84" s="83" t="str">
        <f t="shared" si="47"/>
        <v/>
      </c>
      <c r="R84" s="38"/>
      <c r="S84" s="68" t="str">
        <f t="shared" si="48"/>
        <v/>
      </c>
      <c r="T84" s="69" t="str">
        <f t="shared" si="49"/>
        <v/>
      </c>
      <c r="U84" s="70" t="str">
        <f t="shared" si="50"/>
        <v/>
      </c>
      <c r="V84" s="72" t="str">
        <f t="shared" si="51"/>
        <v/>
      </c>
      <c r="W84" s="2" t="str">
        <f t="shared" si="15"/>
        <v/>
      </c>
      <c r="X84" s="2" t="str">
        <f t="shared" si="4"/>
        <v/>
      </c>
      <c r="Y84" s="35" t="str">
        <f t="shared" ca="1" si="52"/>
        <v/>
      </c>
      <c r="Z84" s="36" t="str">
        <f t="shared" ca="1" si="53"/>
        <v/>
      </c>
      <c r="AA84" s="70" t="str">
        <f t="shared" si="54"/>
        <v/>
      </c>
      <c r="AB84" s="2"/>
      <c r="AC84" s="94" t="str">
        <f t="shared" si="7"/>
        <v/>
      </c>
      <c r="AD84" s="95" t="str">
        <f t="shared" si="8"/>
        <v/>
      </c>
      <c r="AE84" s="96" t="str">
        <f t="shared" si="9"/>
        <v/>
      </c>
      <c r="AF84" s="124" t="str">
        <f t="shared" si="10"/>
        <v/>
      </c>
      <c r="AG84" s="2"/>
      <c r="AH84" s="2"/>
      <c r="AI84" s="2"/>
      <c r="AJ84" s="2"/>
      <c r="AK84" s="2"/>
      <c r="AL84" s="2"/>
    </row>
    <row r="85" spans="1:38" x14ac:dyDescent="0.2">
      <c r="A85" s="45"/>
      <c r="B85" s="43" t="str">
        <f t="shared" si="40"/>
        <v/>
      </c>
      <c r="C85" s="96" t="str">
        <f t="shared" si="16"/>
        <v/>
      </c>
      <c r="D85" s="44" t="str">
        <f t="shared" si="41"/>
        <v/>
      </c>
      <c r="E85" s="52"/>
      <c r="F85" s="63" t="str">
        <f t="shared" si="42"/>
        <v/>
      </c>
      <c r="G85" s="56" t="str">
        <f t="shared" si="43"/>
        <v/>
      </c>
      <c r="H85" s="42"/>
      <c r="I85" s="2" t="str">
        <f t="shared" si="44"/>
        <v/>
      </c>
      <c r="J85" s="54" t="str">
        <f t="shared" si="0"/>
        <v/>
      </c>
      <c r="K85" s="55" t="str">
        <f t="shared" si="45"/>
        <v/>
      </c>
      <c r="L85" s="63" t="str">
        <f t="shared" si="46"/>
        <v/>
      </c>
      <c r="M85" s="96" t="str">
        <f t="shared" si="2"/>
        <v/>
      </c>
      <c r="N85" s="96" t="str">
        <f>IF(A85="","",IF(A85=Expiry,0,EXP(-q*Q85)*_xlfn.NORM.S.DIST(Y85,0)/(sigma*SQRT(Q85))*I85*Mult/100))</f>
        <v/>
      </c>
      <c r="O85" s="96" t="str">
        <f>IF(A85="","",IF(A85=Expiry,0,D85*E85*E85*EXP(-q*Q85)*_xlfn.NORM.S.DIST(Y85,0)*SQRT(Q85)/100))</f>
        <v/>
      </c>
      <c r="P85" s="69" t="str">
        <f>IF(A85="","",IF(A85=Expiry,0,AK85*I85*Mult*((-EXP(-q*Q85)*E85*_xlfn.NORM.S.DIST(Y85,0)*sigma/(2*SQRT(Q85))-r_dom*K*EXP(-r_dom*Q85)*_xlfn.NORM.S.DIST(Z85,1)+q*E85*EXP(-q*Q85)*_xlfn.NORM.S.DIST(Y85,1))/365)))</f>
        <v/>
      </c>
      <c r="Q85" s="83" t="str">
        <f t="shared" si="47"/>
        <v/>
      </c>
      <c r="R85" s="38"/>
      <c r="S85" s="68" t="str">
        <f t="shared" si="48"/>
        <v/>
      </c>
      <c r="T85" s="69" t="str">
        <f t="shared" si="49"/>
        <v/>
      </c>
      <c r="U85" s="70" t="str">
        <f t="shared" si="50"/>
        <v/>
      </c>
      <c r="V85" s="72" t="str">
        <f t="shared" si="51"/>
        <v/>
      </c>
      <c r="W85" s="2" t="str">
        <f t="shared" si="15"/>
        <v/>
      </c>
      <c r="X85" s="2" t="str">
        <f t="shared" si="4"/>
        <v/>
      </c>
      <c r="Y85" s="35" t="str">
        <f t="shared" ca="1" si="52"/>
        <v/>
      </c>
      <c r="Z85" s="36" t="str">
        <f t="shared" ca="1" si="53"/>
        <v/>
      </c>
      <c r="AA85" s="70" t="str">
        <f t="shared" si="54"/>
        <v/>
      </c>
      <c r="AB85" s="2"/>
      <c r="AC85" s="94" t="str">
        <f t="shared" si="7"/>
        <v/>
      </c>
      <c r="AD85" s="95" t="str">
        <f t="shared" si="8"/>
        <v/>
      </c>
      <c r="AE85" s="96" t="str">
        <f t="shared" si="9"/>
        <v/>
      </c>
      <c r="AF85" s="124" t="str">
        <f t="shared" si="10"/>
        <v/>
      </c>
      <c r="AG85" s="2"/>
      <c r="AH85" s="2"/>
      <c r="AI85" s="2"/>
      <c r="AJ85" s="2"/>
      <c r="AK85" s="2"/>
      <c r="AL85" s="2"/>
    </row>
    <row r="86" spans="1:38" x14ac:dyDescent="0.2">
      <c r="A86" s="45"/>
      <c r="B86" s="43" t="str">
        <f t="shared" si="40"/>
        <v/>
      </c>
      <c r="C86" s="96" t="str">
        <f t="shared" si="16"/>
        <v/>
      </c>
      <c r="D86" s="44" t="str">
        <f t="shared" si="41"/>
        <v/>
      </c>
      <c r="E86" s="52"/>
      <c r="F86" s="63" t="str">
        <f t="shared" si="42"/>
        <v/>
      </c>
      <c r="G86" s="56" t="str">
        <f t="shared" si="43"/>
        <v/>
      </c>
      <c r="H86" s="42"/>
      <c r="I86" s="2" t="str">
        <f t="shared" si="44"/>
        <v/>
      </c>
      <c r="J86" s="54" t="str">
        <f t="shared" si="0"/>
        <v/>
      </c>
      <c r="K86" s="55" t="str">
        <f t="shared" si="45"/>
        <v/>
      </c>
      <c r="L86" s="63" t="str">
        <f t="shared" si="46"/>
        <v/>
      </c>
      <c r="M86" s="96" t="str">
        <f t="shared" si="2"/>
        <v/>
      </c>
      <c r="N86" s="96" t="str">
        <f>IF(A86="","",IF(A86=Expiry,0,EXP(-q*Q86)*_xlfn.NORM.S.DIST(Y86,0)/(sigma*SQRT(Q86))*I86*Mult/100))</f>
        <v/>
      </c>
      <c r="O86" s="96" t="str">
        <f>IF(A86="","",IF(A86=Expiry,0,D86*E86*E86*EXP(-q*Q86)*_xlfn.NORM.S.DIST(Y86,0)*SQRT(Q86)/100))</f>
        <v/>
      </c>
      <c r="P86" s="69" t="str">
        <f>IF(A86="","",IF(A86=Expiry,0,AK86*I86*Mult*((-EXP(-q*Q86)*E86*_xlfn.NORM.S.DIST(Y86,0)*sigma/(2*SQRT(Q86))-r_dom*K*EXP(-r_dom*Q86)*_xlfn.NORM.S.DIST(Z86,1)+q*E86*EXP(-q*Q86)*_xlfn.NORM.S.DIST(Y86,1))/365)))</f>
        <v/>
      </c>
      <c r="Q86" s="83" t="str">
        <f t="shared" si="47"/>
        <v/>
      </c>
      <c r="R86" s="38"/>
      <c r="S86" s="68" t="str">
        <f t="shared" si="48"/>
        <v/>
      </c>
      <c r="T86" s="69" t="str">
        <f t="shared" si="49"/>
        <v/>
      </c>
      <c r="U86" s="70" t="str">
        <f t="shared" si="50"/>
        <v/>
      </c>
      <c r="V86" s="72" t="str">
        <f t="shared" si="51"/>
        <v/>
      </c>
      <c r="W86" s="2" t="str">
        <f t="shared" si="15"/>
        <v/>
      </c>
      <c r="X86" s="2" t="str">
        <f t="shared" si="4"/>
        <v/>
      </c>
      <c r="Y86" s="35" t="str">
        <f t="shared" ca="1" si="52"/>
        <v/>
      </c>
      <c r="Z86" s="36" t="str">
        <f t="shared" ca="1" si="53"/>
        <v/>
      </c>
      <c r="AA86" s="70" t="str">
        <f t="shared" si="54"/>
        <v/>
      </c>
      <c r="AB86" s="2"/>
      <c r="AC86" s="94" t="str">
        <f t="shared" si="7"/>
        <v/>
      </c>
      <c r="AD86" s="95" t="str">
        <f t="shared" si="8"/>
        <v/>
      </c>
      <c r="AE86" s="96" t="str">
        <f t="shared" si="9"/>
        <v/>
      </c>
      <c r="AF86" s="124" t="str">
        <f t="shared" si="10"/>
        <v/>
      </c>
      <c r="AG86" s="2"/>
      <c r="AH86" s="2"/>
      <c r="AI86" s="2"/>
      <c r="AJ86" s="2"/>
      <c r="AK86" s="2"/>
      <c r="AL86" s="2"/>
    </row>
    <row r="87" spans="1:38" x14ac:dyDescent="0.2">
      <c r="A87" s="45"/>
      <c r="B87" s="43" t="str">
        <f t="shared" si="40"/>
        <v/>
      </c>
      <c r="C87" s="96" t="str">
        <f t="shared" si="16"/>
        <v/>
      </c>
      <c r="D87" s="44" t="str">
        <f t="shared" si="41"/>
        <v/>
      </c>
      <c r="E87" s="52"/>
      <c r="F87" s="63" t="str">
        <f t="shared" si="42"/>
        <v/>
      </c>
      <c r="G87" s="56" t="str">
        <f t="shared" si="43"/>
        <v/>
      </c>
      <c r="H87" s="42"/>
      <c r="I87" s="2" t="str">
        <f t="shared" si="44"/>
        <v/>
      </c>
      <c r="J87" s="54" t="str">
        <f t="shared" si="0"/>
        <v/>
      </c>
      <c r="K87" s="55" t="str">
        <f t="shared" si="45"/>
        <v/>
      </c>
      <c r="L87" s="63" t="str">
        <f t="shared" si="46"/>
        <v/>
      </c>
      <c r="M87" s="96" t="str">
        <f t="shared" si="2"/>
        <v/>
      </c>
      <c r="N87" s="96" t="str">
        <f>IF(A87="","",IF(A87=Expiry,0,EXP(-q*Q87)*_xlfn.NORM.S.DIST(Y87,0)/(sigma*SQRT(Q87))*I87*Mult/100))</f>
        <v/>
      </c>
      <c r="O87" s="96" t="str">
        <f>IF(A87="","",IF(A87=Expiry,0,D87*E87*E87*EXP(-q*Q87)*_xlfn.NORM.S.DIST(Y87,0)*SQRT(Q87)/100))</f>
        <v/>
      </c>
      <c r="P87" s="69" t="str">
        <f>IF(A87="","",IF(A87=Expiry,0,AK87*I87*Mult*((-EXP(-q*Q87)*E87*_xlfn.NORM.S.DIST(Y87,0)*sigma/(2*SQRT(Q87))-r_dom*K*EXP(-r_dom*Q87)*_xlfn.NORM.S.DIST(Z87,1)+q*E87*EXP(-q*Q87)*_xlfn.NORM.S.DIST(Y87,1))/365)))</f>
        <v/>
      </c>
      <c r="Q87" s="83" t="str">
        <f t="shared" si="47"/>
        <v/>
      </c>
      <c r="R87" s="38"/>
      <c r="S87" s="68" t="str">
        <f t="shared" si="48"/>
        <v/>
      </c>
      <c r="T87" s="69" t="str">
        <f t="shared" si="49"/>
        <v/>
      </c>
      <c r="U87" s="70" t="str">
        <f t="shared" si="50"/>
        <v/>
      </c>
      <c r="V87" s="72" t="str">
        <f t="shared" si="51"/>
        <v/>
      </c>
      <c r="W87" s="2" t="str">
        <f t="shared" si="15"/>
        <v/>
      </c>
      <c r="X87" s="2" t="str">
        <f t="shared" si="4"/>
        <v/>
      </c>
      <c r="Y87" s="35" t="str">
        <f t="shared" ca="1" si="52"/>
        <v/>
      </c>
      <c r="Z87" s="36" t="str">
        <f t="shared" ca="1" si="53"/>
        <v/>
      </c>
      <c r="AA87" s="70" t="str">
        <f t="shared" si="54"/>
        <v/>
      </c>
      <c r="AB87" s="2"/>
      <c r="AC87" s="94" t="str">
        <f t="shared" si="7"/>
        <v/>
      </c>
      <c r="AD87" s="95" t="str">
        <f t="shared" si="8"/>
        <v/>
      </c>
      <c r="AE87" s="96" t="str">
        <f t="shared" si="9"/>
        <v/>
      </c>
      <c r="AF87" s="124" t="str">
        <f t="shared" si="10"/>
        <v/>
      </c>
      <c r="AG87" s="2"/>
      <c r="AH87" s="2"/>
      <c r="AI87" s="2"/>
      <c r="AJ87" s="2"/>
      <c r="AK87" s="2"/>
      <c r="AL87" s="2"/>
    </row>
    <row r="88" spans="1:38" x14ac:dyDescent="0.2">
      <c r="A88" s="45"/>
      <c r="B88" s="43" t="str">
        <f t="shared" si="40"/>
        <v/>
      </c>
      <c r="C88" s="96" t="str">
        <f t="shared" si="16"/>
        <v/>
      </c>
      <c r="D88" s="44" t="str">
        <f t="shared" si="41"/>
        <v/>
      </c>
      <c r="E88" s="52"/>
      <c r="F88" s="63" t="str">
        <f t="shared" si="42"/>
        <v/>
      </c>
      <c r="G88" s="56" t="str">
        <f t="shared" si="43"/>
        <v/>
      </c>
      <c r="H88" s="42"/>
      <c r="I88" s="2" t="str">
        <f t="shared" si="44"/>
        <v/>
      </c>
      <c r="J88" s="54" t="str">
        <f t="shared" si="0"/>
        <v/>
      </c>
      <c r="K88" s="55" t="str">
        <f t="shared" si="45"/>
        <v/>
      </c>
      <c r="L88" s="63" t="str">
        <f t="shared" si="46"/>
        <v/>
      </c>
      <c r="M88" s="96" t="str">
        <f t="shared" si="2"/>
        <v/>
      </c>
      <c r="N88" s="96" t="str">
        <f>IF(A88="","",IF(A88=Expiry,0,EXP(-q*Q88)*_xlfn.NORM.S.DIST(Y88,0)/(sigma*SQRT(Q88))*I88*Mult/100))</f>
        <v/>
      </c>
      <c r="O88" s="96" t="str">
        <f>IF(A88="","",IF(A88=Expiry,0,D88*E88*E88*EXP(-q*Q88)*_xlfn.NORM.S.DIST(Y88,0)*SQRT(Q88)/100))</f>
        <v/>
      </c>
      <c r="P88" s="69" t="str">
        <f>IF(A88="","",IF(A88=Expiry,0,AK88*I88*Mult*((-EXP(-q*Q88)*E88*_xlfn.NORM.S.DIST(Y88,0)*sigma/(2*SQRT(Q88))-r_dom*K*EXP(-r_dom*Q88)*_xlfn.NORM.S.DIST(Z88,1)+q*E88*EXP(-q*Q88)*_xlfn.NORM.S.DIST(Y88,1))/365)))</f>
        <v/>
      </c>
      <c r="Q88" s="83" t="str">
        <f t="shared" si="47"/>
        <v/>
      </c>
      <c r="R88" s="38"/>
      <c r="S88" s="68" t="str">
        <f t="shared" si="48"/>
        <v/>
      </c>
      <c r="T88" s="69" t="str">
        <f t="shared" si="49"/>
        <v/>
      </c>
      <c r="U88" s="70" t="str">
        <f t="shared" si="50"/>
        <v/>
      </c>
      <c r="V88" s="72" t="str">
        <f t="shared" si="51"/>
        <v/>
      </c>
      <c r="W88" s="2" t="str">
        <f t="shared" si="15"/>
        <v/>
      </c>
      <c r="X88" s="2" t="str">
        <f t="shared" si="4"/>
        <v/>
      </c>
      <c r="Y88" s="35" t="str">
        <f t="shared" ca="1" si="52"/>
        <v/>
      </c>
      <c r="Z88" s="36" t="str">
        <f t="shared" ca="1" si="53"/>
        <v/>
      </c>
      <c r="AA88" s="70" t="str">
        <f t="shared" si="54"/>
        <v/>
      </c>
      <c r="AB88" s="2"/>
      <c r="AC88" s="94" t="str">
        <f t="shared" si="7"/>
        <v/>
      </c>
      <c r="AD88" s="95" t="str">
        <f t="shared" si="8"/>
        <v/>
      </c>
      <c r="AE88" s="96" t="str">
        <f t="shared" si="9"/>
        <v/>
      </c>
      <c r="AF88" s="124" t="str">
        <f t="shared" si="10"/>
        <v/>
      </c>
      <c r="AG88" s="2"/>
      <c r="AH88" s="2"/>
      <c r="AI88" s="2"/>
      <c r="AJ88" s="2"/>
      <c r="AK88" s="2"/>
      <c r="AL88" s="2"/>
    </row>
    <row r="89" spans="1:38" x14ac:dyDescent="0.2">
      <c r="A89" s="45"/>
      <c r="B89" s="43" t="str">
        <f t="shared" si="40"/>
        <v/>
      </c>
      <c r="C89" s="96" t="str">
        <f t="shared" si="16"/>
        <v/>
      </c>
      <c r="D89" s="44" t="str">
        <f t="shared" si="41"/>
        <v/>
      </c>
      <c r="E89" s="52"/>
      <c r="F89" s="63" t="str">
        <f t="shared" si="42"/>
        <v/>
      </c>
      <c r="G89" s="56" t="str">
        <f t="shared" si="43"/>
        <v/>
      </c>
      <c r="H89" s="42"/>
      <c r="I89" s="2" t="str">
        <f t="shared" si="44"/>
        <v/>
      </c>
      <c r="J89" s="54" t="str">
        <f t="shared" si="0"/>
        <v/>
      </c>
      <c r="K89" s="55" t="str">
        <f t="shared" si="45"/>
        <v/>
      </c>
      <c r="L89" s="63" t="str">
        <f t="shared" si="46"/>
        <v/>
      </c>
      <c r="M89" s="96" t="str">
        <f t="shared" si="2"/>
        <v/>
      </c>
      <c r="N89" s="96" t="str">
        <f>IF(A89="","",IF(A89=Expiry,0,EXP(-q*Q89)*_xlfn.NORM.S.DIST(Y89,0)/(sigma*SQRT(Q89))*I89*Mult/100))</f>
        <v/>
      </c>
      <c r="O89" s="96" t="str">
        <f>IF(A89="","",IF(A89=Expiry,0,D89*E89*E89*EXP(-q*Q89)*_xlfn.NORM.S.DIST(Y89,0)*SQRT(Q89)/100))</f>
        <v/>
      </c>
      <c r="P89" s="69" t="str">
        <f>IF(A89="","",IF(A89=Expiry,0,AK89*I89*Mult*((-EXP(-q*Q89)*E89*_xlfn.NORM.S.DIST(Y89,0)*sigma/(2*SQRT(Q89))-r_dom*K*EXP(-r_dom*Q89)*_xlfn.NORM.S.DIST(Z89,1)+q*E89*EXP(-q*Q89)*_xlfn.NORM.S.DIST(Y89,1))/365)))</f>
        <v/>
      </c>
      <c r="Q89" s="83" t="str">
        <f t="shared" si="47"/>
        <v/>
      </c>
      <c r="R89" s="38"/>
      <c r="S89" s="68" t="str">
        <f t="shared" si="48"/>
        <v/>
      </c>
      <c r="T89" s="69" t="str">
        <f t="shared" si="49"/>
        <v/>
      </c>
      <c r="U89" s="70" t="str">
        <f t="shared" si="50"/>
        <v/>
      </c>
      <c r="V89" s="72" t="str">
        <f t="shared" si="51"/>
        <v/>
      </c>
      <c r="W89" s="2" t="str">
        <f t="shared" si="15"/>
        <v/>
      </c>
      <c r="X89" s="2" t="str">
        <f t="shared" si="4"/>
        <v/>
      </c>
      <c r="Y89" s="35" t="str">
        <f t="shared" ca="1" si="52"/>
        <v/>
      </c>
      <c r="Z89" s="36" t="str">
        <f t="shared" ca="1" si="53"/>
        <v/>
      </c>
      <c r="AA89" s="70" t="str">
        <f t="shared" si="54"/>
        <v/>
      </c>
      <c r="AB89" s="2"/>
      <c r="AC89" s="94" t="str">
        <f t="shared" si="7"/>
        <v/>
      </c>
      <c r="AD89" s="95" t="str">
        <f t="shared" si="8"/>
        <v/>
      </c>
      <c r="AE89" s="96" t="str">
        <f t="shared" si="9"/>
        <v/>
      </c>
      <c r="AF89" s="124" t="str">
        <f t="shared" si="10"/>
        <v/>
      </c>
      <c r="AG89" s="2"/>
      <c r="AH89" s="2"/>
      <c r="AI89" s="2"/>
      <c r="AJ89" s="2"/>
      <c r="AK89" s="2"/>
      <c r="AL89" s="2"/>
    </row>
    <row r="90" spans="1:38" x14ac:dyDescent="0.2">
      <c r="A90" s="45"/>
      <c r="B90" s="43" t="str">
        <f t="shared" si="40"/>
        <v/>
      </c>
      <c r="C90" s="96" t="str">
        <f t="shared" si="16"/>
        <v/>
      </c>
      <c r="D90" s="44" t="str">
        <f t="shared" si="41"/>
        <v/>
      </c>
      <c r="E90" s="52"/>
      <c r="F90" s="63" t="str">
        <f t="shared" si="42"/>
        <v/>
      </c>
      <c r="G90" s="56" t="str">
        <f t="shared" si="43"/>
        <v/>
      </c>
      <c r="H90" s="42"/>
      <c r="I90" s="2" t="str">
        <f t="shared" si="44"/>
        <v/>
      </c>
      <c r="J90" s="54" t="str">
        <f t="shared" si="0"/>
        <v/>
      </c>
      <c r="K90" s="55" t="str">
        <f t="shared" si="45"/>
        <v/>
      </c>
      <c r="L90" s="63" t="str">
        <f t="shared" si="46"/>
        <v/>
      </c>
      <c r="M90" s="96" t="str">
        <f t="shared" si="2"/>
        <v/>
      </c>
      <c r="N90" s="96" t="str">
        <f>IF(A90="","",IF(A90=Expiry,0,EXP(-q*Q90)*_xlfn.NORM.S.DIST(Y90,0)/(sigma*SQRT(Q90))*I90*Mult/100))</f>
        <v/>
      </c>
      <c r="O90" s="96" t="str">
        <f>IF(A90="","",IF(A90=Expiry,0,D90*E90*E90*EXP(-q*Q90)*_xlfn.NORM.S.DIST(Y90,0)*SQRT(Q90)/100))</f>
        <v/>
      </c>
      <c r="P90" s="69" t="str">
        <f>IF(A90="","",IF(A90=Expiry,0,AK90*I90*Mult*((-EXP(-q*Q90)*E90*_xlfn.NORM.S.DIST(Y90,0)*sigma/(2*SQRT(Q90))-r_dom*K*EXP(-r_dom*Q90)*_xlfn.NORM.S.DIST(Z90,1)+q*E90*EXP(-q*Q90)*_xlfn.NORM.S.DIST(Y90,1))/365)))</f>
        <v/>
      </c>
      <c r="Q90" s="83" t="str">
        <f t="shared" si="47"/>
        <v/>
      </c>
      <c r="R90" s="38"/>
      <c r="S90" s="68" t="str">
        <f t="shared" si="48"/>
        <v/>
      </c>
      <c r="T90" s="69" t="str">
        <f t="shared" si="49"/>
        <v/>
      </c>
      <c r="U90" s="70" t="str">
        <f t="shared" si="50"/>
        <v/>
      </c>
      <c r="V90" s="72" t="str">
        <f t="shared" si="51"/>
        <v/>
      </c>
      <c r="W90" s="2" t="str">
        <f t="shared" si="15"/>
        <v/>
      </c>
      <c r="X90" s="2" t="str">
        <f t="shared" si="4"/>
        <v/>
      </c>
      <c r="Y90" s="35" t="str">
        <f t="shared" ca="1" si="52"/>
        <v/>
      </c>
      <c r="Z90" s="36" t="str">
        <f t="shared" ca="1" si="53"/>
        <v/>
      </c>
      <c r="AA90" s="70" t="str">
        <f t="shared" si="54"/>
        <v/>
      </c>
      <c r="AB90" s="2"/>
      <c r="AC90" s="94" t="str">
        <f t="shared" si="7"/>
        <v/>
      </c>
      <c r="AD90" s="95" t="str">
        <f t="shared" si="8"/>
        <v/>
      </c>
      <c r="AE90" s="96" t="str">
        <f t="shared" si="9"/>
        <v/>
      </c>
      <c r="AF90" s="124" t="str">
        <f t="shared" si="10"/>
        <v/>
      </c>
      <c r="AG90" s="2"/>
      <c r="AH90" s="2"/>
      <c r="AI90" s="2"/>
      <c r="AJ90" s="2"/>
      <c r="AK90" s="2"/>
      <c r="AL90" s="2"/>
    </row>
    <row r="91" spans="1:38" x14ac:dyDescent="0.2">
      <c r="A91" s="45"/>
      <c r="B91" s="43" t="str">
        <f t="shared" si="40"/>
        <v/>
      </c>
      <c r="C91" s="96" t="str">
        <f t="shared" si="16"/>
        <v/>
      </c>
      <c r="D91" s="44" t="str">
        <f t="shared" si="41"/>
        <v/>
      </c>
      <c r="E91" s="52"/>
      <c r="F91" s="63" t="str">
        <f t="shared" si="42"/>
        <v/>
      </c>
      <c r="G91" s="56" t="str">
        <f t="shared" si="43"/>
        <v/>
      </c>
      <c r="H91" s="42"/>
      <c r="I91" s="2" t="str">
        <f t="shared" si="44"/>
        <v/>
      </c>
      <c r="J91" s="54" t="str">
        <f t="shared" si="0"/>
        <v/>
      </c>
      <c r="K91" s="55" t="str">
        <f t="shared" si="45"/>
        <v/>
      </c>
      <c r="L91" s="63" t="str">
        <f t="shared" si="46"/>
        <v/>
      </c>
      <c r="M91" s="96" t="str">
        <f t="shared" si="2"/>
        <v/>
      </c>
      <c r="N91" s="96" t="str">
        <f>IF(A91="","",IF(A91=Expiry,0,EXP(-q*Q91)*_xlfn.NORM.S.DIST(Y91,0)/(sigma*SQRT(Q91))*I91*Mult/100))</f>
        <v/>
      </c>
      <c r="O91" s="96" t="str">
        <f>IF(A91="","",IF(A91=Expiry,0,D91*E91*E91*EXP(-q*Q91)*_xlfn.NORM.S.DIST(Y91,0)*SQRT(Q91)/100))</f>
        <v/>
      </c>
      <c r="P91" s="69" t="str">
        <f>IF(A91="","",IF(A91=Expiry,0,AK91*I91*Mult*((-EXP(-q*Q91)*E91*_xlfn.NORM.S.DIST(Y91,0)*sigma/(2*SQRT(Q91))-r_dom*K*EXP(-r_dom*Q91)*_xlfn.NORM.S.DIST(Z91,1)+q*E91*EXP(-q*Q91)*_xlfn.NORM.S.DIST(Y91,1))/365)))</f>
        <v/>
      </c>
      <c r="Q91" s="83" t="str">
        <f t="shared" si="47"/>
        <v/>
      </c>
      <c r="R91" s="38"/>
      <c r="S91" s="68" t="str">
        <f t="shared" si="48"/>
        <v/>
      </c>
      <c r="T91" s="69" t="str">
        <f t="shared" si="49"/>
        <v/>
      </c>
      <c r="U91" s="70" t="str">
        <f t="shared" si="50"/>
        <v/>
      </c>
      <c r="V91" s="72" t="str">
        <f t="shared" si="51"/>
        <v/>
      </c>
      <c r="W91" s="2" t="str">
        <f t="shared" si="15"/>
        <v/>
      </c>
      <c r="X91" s="2" t="str">
        <f t="shared" si="4"/>
        <v/>
      </c>
      <c r="Y91" s="35" t="str">
        <f t="shared" ca="1" si="52"/>
        <v/>
      </c>
      <c r="Z91" s="36" t="str">
        <f t="shared" ca="1" si="53"/>
        <v/>
      </c>
      <c r="AA91" s="70" t="str">
        <f t="shared" si="54"/>
        <v/>
      </c>
      <c r="AB91" s="2"/>
      <c r="AC91" s="94" t="str">
        <f t="shared" si="7"/>
        <v/>
      </c>
      <c r="AD91" s="95" t="str">
        <f t="shared" si="8"/>
        <v/>
      </c>
      <c r="AE91" s="96" t="str">
        <f t="shared" si="9"/>
        <v/>
      </c>
      <c r="AF91" s="124" t="str">
        <f t="shared" si="10"/>
        <v/>
      </c>
      <c r="AG91" s="2"/>
      <c r="AH91" s="2"/>
      <c r="AI91" s="2"/>
      <c r="AJ91" s="2"/>
      <c r="AK91" s="2"/>
      <c r="AL91" s="2"/>
    </row>
    <row r="92" spans="1:38" x14ac:dyDescent="0.2">
      <c r="A92" s="45"/>
      <c r="B92" s="43" t="str">
        <f t="shared" si="40"/>
        <v/>
      </c>
      <c r="C92" s="96" t="str">
        <f t="shared" si="16"/>
        <v/>
      </c>
      <c r="D92" s="44" t="str">
        <f t="shared" si="41"/>
        <v/>
      </c>
      <c r="E92" s="52"/>
      <c r="F92" s="63" t="str">
        <f t="shared" si="42"/>
        <v/>
      </c>
      <c r="G92" s="56" t="str">
        <f t="shared" si="43"/>
        <v/>
      </c>
      <c r="H92" s="42"/>
      <c r="I92" s="2" t="str">
        <f t="shared" si="44"/>
        <v/>
      </c>
      <c r="J92" s="54" t="str">
        <f t="shared" si="0"/>
        <v/>
      </c>
      <c r="K92" s="55" t="str">
        <f t="shared" si="45"/>
        <v/>
      </c>
      <c r="L92" s="63" t="str">
        <f t="shared" si="46"/>
        <v/>
      </c>
      <c r="M92" s="96" t="str">
        <f t="shared" si="2"/>
        <v/>
      </c>
      <c r="N92" s="96" t="str">
        <f>IF(A92="","",IF(A92=Expiry,0,EXP(-q*Q92)*_xlfn.NORM.S.DIST(Y92,0)/(sigma*SQRT(Q92))*I92*Mult/100))</f>
        <v/>
      </c>
      <c r="O92" s="96" t="str">
        <f>IF(A92="","",IF(A92=Expiry,0,D92*E92*E92*EXP(-q*Q92)*_xlfn.NORM.S.DIST(Y92,0)*SQRT(Q92)/100))</f>
        <v/>
      </c>
      <c r="P92" s="69" t="str">
        <f>IF(A92="","",IF(A92=Expiry,0,AK92*I92*Mult*((-EXP(-q*Q92)*E92*_xlfn.NORM.S.DIST(Y92,0)*sigma/(2*SQRT(Q92))-r_dom*K*EXP(-r_dom*Q92)*_xlfn.NORM.S.DIST(Z92,1)+q*E92*EXP(-q*Q92)*_xlfn.NORM.S.DIST(Y92,1))/365)))</f>
        <v/>
      </c>
      <c r="Q92" s="83" t="str">
        <f t="shared" si="47"/>
        <v/>
      </c>
      <c r="R92" s="38"/>
      <c r="S92" s="68" t="str">
        <f t="shared" si="48"/>
        <v/>
      </c>
      <c r="T92" s="69" t="str">
        <f t="shared" si="49"/>
        <v/>
      </c>
      <c r="U92" s="70" t="str">
        <f t="shared" si="50"/>
        <v/>
      </c>
      <c r="V92" s="72" t="str">
        <f t="shared" si="51"/>
        <v/>
      </c>
      <c r="W92" s="2" t="str">
        <f t="shared" si="15"/>
        <v/>
      </c>
      <c r="X92" s="2" t="str">
        <f t="shared" si="4"/>
        <v/>
      </c>
      <c r="Y92" s="35" t="str">
        <f t="shared" ca="1" si="52"/>
        <v/>
      </c>
      <c r="Z92" s="36" t="str">
        <f t="shared" ca="1" si="53"/>
        <v/>
      </c>
      <c r="AA92" s="70" t="str">
        <f t="shared" si="54"/>
        <v/>
      </c>
      <c r="AB92" s="2"/>
      <c r="AC92" s="94" t="str">
        <f t="shared" si="7"/>
        <v/>
      </c>
      <c r="AD92" s="95" t="str">
        <f t="shared" si="8"/>
        <v/>
      </c>
      <c r="AE92" s="96" t="str">
        <f t="shared" si="9"/>
        <v/>
      </c>
      <c r="AF92" s="124" t="str">
        <f t="shared" si="10"/>
        <v/>
      </c>
      <c r="AG92" s="2"/>
      <c r="AH92" s="2"/>
      <c r="AI92" s="2"/>
      <c r="AJ92" s="2"/>
      <c r="AK92" s="2"/>
      <c r="AL92" s="2"/>
    </row>
    <row r="93" spans="1:38" x14ac:dyDescent="0.2">
      <c r="A93" s="45"/>
      <c r="B93" s="43" t="str">
        <f t="shared" si="40"/>
        <v/>
      </c>
      <c r="C93" s="96" t="str">
        <f t="shared" si="16"/>
        <v/>
      </c>
      <c r="D93" s="44" t="str">
        <f t="shared" si="41"/>
        <v/>
      </c>
      <c r="E93" s="52"/>
      <c r="F93" s="63" t="str">
        <f t="shared" si="42"/>
        <v/>
      </c>
      <c r="G93" s="56" t="str">
        <f t="shared" si="43"/>
        <v/>
      </c>
      <c r="H93" s="42"/>
      <c r="I93" s="2" t="str">
        <f t="shared" si="44"/>
        <v/>
      </c>
      <c r="J93" s="54" t="str">
        <f t="shared" si="0"/>
        <v/>
      </c>
      <c r="K93" s="55" t="str">
        <f t="shared" si="45"/>
        <v/>
      </c>
      <c r="L93" s="63" t="str">
        <f t="shared" si="46"/>
        <v/>
      </c>
      <c r="M93" s="96" t="str">
        <f t="shared" si="2"/>
        <v/>
      </c>
      <c r="N93" s="96" t="str">
        <f>IF(A93="","",IF(A93=Expiry,0,EXP(-q*Q93)*_xlfn.NORM.S.DIST(Y93,0)/(sigma*SQRT(Q93))*I93*Mult/100))</f>
        <v/>
      </c>
      <c r="O93" s="96" t="str">
        <f>IF(A93="","",IF(A93=Expiry,0,D93*E93*E93*EXP(-q*Q93)*_xlfn.NORM.S.DIST(Y93,0)*SQRT(Q93)/100))</f>
        <v/>
      </c>
      <c r="P93" s="69" t="str">
        <f>IF(A93="","",IF(A93=Expiry,0,AK93*I93*Mult*((-EXP(-q*Q93)*E93*_xlfn.NORM.S.DIST(Y93,0)*sigma/(2*SQRT(Q93))-r_dom*K*EXP(-r_dom*Q93)*_xlfn.NORM.S.DIST(Z93,1)+q*E93*EXP(-q*Q93)*_xlfn.NORM.S.DIST(Y93,1))/365)))</f>
        <v/>
      </c>
      <c r="Q93" s="83" t="str">
        <f t="shared" si="47"/>
        <v/>
      </c>
      <c r="R93" s="38"/>
      <c r="S93" s="68" t="str">
        <f t="shared" si="48"/>
        <v/>
      </c>
      <c r="T93" s="69" t="str">
        <f t="shared" si="49"/>
        <v/>
      </c>
      <c r="U93" s="70" t="str">
        <f t="shared" si="50"/>
        <v/>
      </c>
      <c r="V93" s="72" t="str">
        <f t="shared" si="51"/>
        <v/>
      </c>
      <c r="W93" s="2" t="str">
        <f t="shared" si="15"/>
        <v/>
      </c>
      <c r="X93" s="2" t="str">
        <f t="shared" si="4"/>
        <v/>
      </c>
      <c r="Y93" s="35" t="str">
        <f t="shared" ca="1" si="52"/>
        <v/>
      </c>
      <c r="Z93" s="36" t="str">
        <f t="shared" ca="1" si="53"/>
        <v/>
      </c>
      <c r="AA93" s="70" t="str">
        <f t="shared" si="54"/>
        <v/>
      </c>
      <c r="AB93" s="2"/>
      <c r="AC93" s="94" t="str">
        <f t="shared" si="7"/>
        <v/>
      </c>
      <c r="AD93" s="95" t="str">
        <f t="shared" si="8"/>
        <v/>
      </c>
      <c r="AE93" s="96" t="str">
        <f t="shared" si="9"/>
        <v/>
      </c>
      <c r="AF93" s="124" t="str">
        <f t="shared" si="10"/>
        <v/>
      </c>
      <c r="AG93" s="2"/>
      <c r="AH93" s="2"/>
      <c r="AI93" s="2"/>
      <c r="AJ93" s="2"/>
      <c r="AK93" s="2"/>
      <c r="AL93" s="2"/>
    </row>
    <row r="94" spans="1:38" x14ac:dyDescent="0.2">
      <c r="A94" s="45"/>
      <c r="B94" s="43" t="str">
        <f t="shared" si="40"/>
        <v/>
      </c>
      <c r="C94" s="96" t="str">
        <f t="shared" si="16"/>
        <v/>
      </c>
      <c r="D94" s="44" t="str">
        <f t="shared" si="41"/>
        <v/>
      </c>
      <c r="E94" s="52"/>
      <c r="F94" s="63" t="str">
        <f t="shared" si="42"/>
        <v/>
      </c>
      <c r="G94" s="56" t="str">
        <f t="shared" si="43"/>
        <v/>
      </c>
      <c r="H94" s="42"/>
      <c r="I94" s="2" t="str">
        <f t="shared" si="44"/>
        <v/>
      </c>
      <c r="J94" s="54" t="str">
        <f t="shared" si="0"/>
        <v/>
      </c>
      <c r="K94" s="55" t="str">
        <f t="shared" si="45"/>
        <v/>
      </c>
      <c r="L94" s="63" t="str">
        <f t="shared" si="46"/>
        <v/>
      </c>
      <c r="M94" s="96" t="str">
        <f t="shared" si="2"/>
        <v/>
      </c>
      <c r="N94" s="96" t="str">
        <f>IF(A94="","",IF(A94=Expiry,0,EXP(-q*Q94)*_xlfn.NORM.S.DIST(Y94,0)/(sigma*SQRT(Q94))*I94*Mult/100))</f>
        <v/>
      </c>
      <c r="O94" s="96" t="str">
        <f>IF(A94="","",IF(A94=Expiry,0,D94*E94*E94*EXP(-q*Q94)*_xlfn.NORM.S.DIST(Y94,0)*SQRT(Q94)/100))</f>
        <v/>
      </c>
      <c r="P94" s="69" t="str">
        <f>IF(A94="","",IF(A94=Expiry,0,AK94*I94*Mult*((-EXP(-q*Q94)*E94*_xlfn.NORM.S.DIST(Y94,0)*sigma/(2*SQRT(Q94))-r_dom*K*EXP(-r_dom*Q94)*_xlfn.NORM.S.DIST(Z94,1)+q*E94*EXP(-q*Q94)*_xlfn.NORM.S.DIST(Y94,1))/365)))</f>
        <v/>
      </c>
      <c r="Q94" s="83" t="str">
        <f t="shared" si="47"/>
        <v/>
      </c>
      <c r="R94" s="38"/>
      <c r="S94" s="68" t="str">
        <f t="shared" si="48"/>
        <v/>
      </c>
      <c r="T94" s="69" t="str">
        <f t="shared" si="49"/>
        <v/>
      </c>
      <c r="U94" s="70" t="str">
        <f t="shared" si="50"/>
        <v/>
      </c>
      <c r="V94" s="72" t="str">
        <f t="shared" si="51"/>
        <v/>
      </c>
      <c r="W94" s="2" t="str">
        <f t="shared" si="15"/>
        <v/>
      </c>
      <c r="X94" s="2" t="str">
        <f t="shared" si="4"/>
        <v/>
      </c>
      <c r="Y94" s="35" t="str">
        <f t="shared" ca="1" si="52"/>
        <v/>
      </c>
      <c r="Z94" s="36" t="str">
        <f t="shared" ca="1" si="53"/>
        <v/>
      </c>
      <c r="AA94" s="70" t="str">
        <f t="shared" si="54"/>
        <v/>
      </c>
      <c r="AB94" s="2"/>
      <c r="AC94" s="94" t="str">
        <f t="shared" si="7"/>
        <v/>
      </c>
      <c r="AD94" s="95" t="str">
        <f t="shared" si="8"/>
        <v/>
      </c>
      <c r="AE94" s="96" t="str">
        <f t="shared" si="9"/>
        <v/>
      </c>
      <c r="AF94" s="124" t="str">
        <f t="shared" si="10"/>
        <v/>
      </c>
      <c r="AG94" s="2"/>
      <c r="AH94" s="2"/>
      <c r="AI94" s="2"/>
      <c r="AJ94" s="2"/>
      <c r="AK94" s="2"/>
      <c r="AL94" s="2"/>
    </row>
    <row r="95" spans="1:38" x14ac:dyDescent="0.2">
      <c r="A95" s="45"/>
      <c r="B95" s="43" t="str">
        <f t="shared" si="40"/>
        <v/>
      </c>
      <c r="C95" s="96" t="str">
        <f t="shared" si="16"/>
        <v/>
      </c>
      <c r="D95" s="44" t="str">
        <f t="shared" si="41"/>
        <v/>
      </c>
      <c r="E95" s="52"/>
      <c r="F95" s="63" t="str">
        <f t="shared" si="42"/>
        <v/>
      </c>
      <c r="G95" s="56" t="str">
        <f t="shared" si="43"/>
        <v/>
      </c>
      <c r="H95" s="42"/>
      <c r="I95" s="2" t="str">
        <f t="shared" si="44"/>
        <v/>
      </c>
      <c r="J95" s="54" t="str">
        <f t="shared" si="0"/>
        <v/>
      </c>
      <c r="K95" s="55" t="str">
        <f t="shared" si="45"/>
        <v/>
      </c>
      <c r="L95" s="63" t="str">
        <f t="shared" si="46"/>
        <v/>
      </c>
      <c r="M95" s="96" t="str">
        <f t="shared" si="2"/>
        <v/>
      </c>
      <c r="N95" s="96" t="str">
        <f>IF(A95="","",IF(A95=Expiry,0,EXP(-q*Q95)*_xlfn.NORM.S.DIST(Y95,0)/(sigma*SQRT(Q95))*I95*Mult/100))</f>
        <v/>
      </c>
      <c r="O95" s="96" t="str">
        <f>IF(A95="","",IF(A95=Expiry,0,D95*E95*E95*EXP(-q*Q95)*_xlfn.NORM.S.DIST(Y95,0)*SQRT(Q95)/100))</f>
        <v/>
      </c>
      <c r="P95" s="69" t="str">
        <f>IF(A95="","",IF(A95=Expiry,0,AK95*I95*Mult*((-EXP(-q*Q95)*E95*_xlfn.NORM.S.DIST(Y95,0)*sigma/(2*SQRT(Q95))-r_dom*K*EXP(-r_dom*Q95)*_xlfn.NORM.S.DIST(Z95,1)+q*E95*EXP(-q*Q95)*_xlfn.NORM.S.DIST(Y95,1))/365)))</f>
        <v/>
      </c>
      <c r="Q95" s="83" t="str">
        <f t="shared" si="47"/>
        <v/>
      </c>
      <c r="R95" s="38"/>
      <c r="S95" s="68" t="str">
        <f t="shared" si="48"/>
        <v/>
      </c>
      <c r="T95" s="69" t="str">
        <f t="shared" si="49"/>
        <v/>
      </c>
      <c r="U95" s="70" t="str">
        <f t="shared" si="50"/>
        <v/>
      </c>
      <c r="V95" s="72" t="str">
        <f t="shared" si="51"/>
        <v/>
      </c>
      <c r="W95" s="2" t="str">
        <f t="shared" si="15"/>
        <v/>
      </c>
      <c r="X95" s="2" t="str">
        <f t="shared" si="4"/>
        <v/>
      </c>
      <c r="Y95" s="35" t="str">
        <f t="shared" ca="1" si="52"/>
        <v/>
      </c>
      <c r="Z95" s="36" t="str">
        <f t="shared" ca="1" si="53"/>
        <v/>
      </c>
      <c r="AA95" s="70" t="str">
        <f t="shared" si="54"/>
        <v/>
      </c>
      <c r="AB95" s="2"/>
      <c r="AC95" s="94" t="str">
        <f t="shared" si="7"/>
        <v/>
      </c>
      <c r="AD95" s="95" t="str">
        <f t="shared" si="8"/>
        <v/>
      </c>
      <c r="AE95" s="96" t="str">
        <f t="shared" si="9"/>
        <v/>
      </c>
      <c r="AF95" s="124" t="str">
        <f t="shared" si="10"/>
        <v/>
      </c>
      <c r="AG95" s="2"/>
      <c r="AH95" s="2"/>
      <c r="AI95" s="2"/>
      <c r="AJ95" s="2"/>
      <c r="AK95" s="2"/>
      <c r="AL95" s="2"/>
    </row>
    <row r="96" spans="1:38" x14ac:dyDescent="0.2">
      <c r="A96" s="45"/>
      <c r="B96" s="43" t="str">
        <f t="shared" si="40"/>
        <v/>
      </c>
      <c r="C96" s="96" t="str">
        <f t="shared" si="16"/>
        <v/>
      </c>
      <c r="D96" s="44" t="str">
        <f t="shared" si="41"/>
        <v/>
      </c>
      <c r="E96" s="52"/>
      <c r="F96" s="63" t="str">
        <f t="shared" si="42"/>
        <v/>
      </c>
      <c r="G96" s="56" t="str">
        <f t="shared" si="43"/>
        <v/>
      </c>
      <c r="H96" s="42"/>
      <c r="I96" s="2" t="str">
        <f t="shared" si="44"/>
        <v/>
      </c>
      <c r="J96" s="54" t="str">
        <f t="shared" si="0"/>
        <v/>
      </c>
      <c r="K96" s="55" t="str">
        <f t="shared" si="45"/>
        <v/>
      </c>
      <c r="L96" s="63" t="str">
        <f t="shared" si="46"/>
        <v/>
      </c>
      <c r="M96" s="96" t="str">
        <f t="shared" si="2"/>
        <v/>
      </c>
      <c r="N96" s="96" t="str">
        <f>IF(A96="","",IF(A96=Expiry,0,EXP(-q*Q96)*_xlfn.NORM.S.DIST(Y96,0)/(sigma*SQRT(Q96))*I96*Mult/100))</f>
        <v/>
      </c>
      <c r="O96" s="96" t="str">
        <f>IF(A96="","",IF(A96=Expiry,0,D96*E96*E96*EXP(-q*Q96)*_xlfn.NORM.S.DIST(Y96,0)*SQRT(Q96)/100))</f>
        <v/>
      </c>
      <c r="P96" s="69" t="str">
        <f>IF(A96="","",IF(A96=Expiry,0,AK96*I96*Mult*((-EXP(-q*Q96)*E96*_xlfn.NORM.S.DIST(Y96,0)*sigma/(2*SQRT(Q96))-r_dom*K*EXP(-r_dom*Q96)*_xlfn.NORM.S.DIST(Z96,1)+q*E96*EXP(-q*Q96)*_xlfn.NORM.S.DIST(Y96,1))/365)))</f>
        <v/>
      </c>
      <c r="Q96" s="83" t="str">
        <f t="shared" si="47"/>
        <v/>
      </c>
      <c r="R96" s="38"/>
      <c r="S96" s="68" t="str">
        <f t="shared" si="48"/>
        <v/>
      </c>
      <c r="T96" s="69" t="str">
        <f t="shared" si="49"/>
        <v/>
      </c>
      <c r="U96" s="70" t="str">
        <f t="shared" si="50"/>
        <v/>
      </c>
      <c r="V96" s="72" t="str">
        <f t="shared" si="51"/>
        <v/>
      </c>
      <c r="W96" s="2" t="str">
        <f t="shared" si="15"/>
        <v/>
      </c>
      <c r="X96" s="2" t="str">
        <f t="shared" si="4"/>
        <v/>
      </c>
      <c r="Y96" s="35" t="str">
        <f t="shared" ca="1" si="52"/>
        <v/>
      </c>
      <c r="Z96" s="36" t="str">
        <f t="shared" ca="1" si="53"/>
        <v/>
      </c>
      <c r="AA96" s="70" t="str">
        <f t="shared" si="54"/>
        <v/>
      </c>
      <c r="AB96" s="2"/>
      <c r="AC96" s="94" t="str">
        <f t="shared" si="7"/>
        <v/>
      </c>
      <c r="AD96" s="95" t="str">
        <f t="shared" si="8"/>
        <v/>
      </c>
      <c r="AE96" s="96" t="str">
        <f t="shared" si="9"/>
        <v/>
      </c>
      <c r="AF96" s="124" t="str">
        <f t="shared" si="10"/>
        <v/>
      </c>
      <c r="AG96" s="2"/>
      <c r="AH96" s="2"/>
      <c r="AI96" s="2"/>
      <c r="AJ96" s="2"/>
      <c r="AK96" s="2"/>
      <c r="AL96" s="2"/>
    </row>
    <row r="97" spans="1:38" x14ac:dyDescent="0.2">
      <c r="A97" s="45"/>
      <c r="B97" s="43" t="str">
        <f t="shared" si="40"/>
        <v/>
      </c>
      <c r="C97" s="96" t="str">
        <f t="shared" si="16"/>
        <v/>
      </c>
      <c r="D97" s="44" t="str">
        <f t="shared" si="41"/>
        <v/>
      </c>
      <c r="E97" s="52"/>
      <c r="F97" s="63" t="str">
        <f t="shared" si="42"/>
        <v/>
      </c>
      <c r="G97" s="56" t="str">
        <f t="shared" si="43"/>
        <v/>
      </c>
      <c r="H97" s="42"/>
      <c r="I97" s="2" t="str">
        <f t="shared" si="44"/>
        <v/>
      </c>
      <c r="J97" s="54" t="str">
        <f t="shared" si="0"/>
        <v/>
      </c>
      <c r="K97" s="55" t="str">
        <f t="shared" si="45"/>
        <v/>
      </c>
      <c r="L97" s="63" t="str">
        <f t="shared" si="46"/>
        <v/>
      </c>
      <c r="M97" s="96" t="str">
        <f t="shared" si="2"/>
        <v/>
      </c>
      <c r="N97" s="96" t="str">
        <f>IF(A97="","",IF(A97=Expiry,0,EXP(-q*Q97)*_xlfn.NORM.S.DIST(Y97,0)/(sigma*SQRT(Q97))*I97*Mult/100))</f>
        <v/>
      </c>
      <c r="O97" s="96" t="str">
        <f>IF(A97="","",IF(A97=Expiry,0,D97*E97*E97*EXP(-q*Q97)*_xlfn.NORM.S.DIST(Y97,0)*SQRT(Q97)/100))</f>
        <v/>
      </c>
      <c r="P97" s="69" t="str">
        <f>IF(A97="","",IF(A97=Expiry,0,AK97*I97*Mult*((-EXP(-q*Q97)*E97*_xlfn.NORM.S.DIST(Y97,0)*sigma/(2*SQRT(Q97))-r_dom*K*EXP(-r_dom*Q97)*_xlfn.NORM.S.DIST(Z97,1)+q*E97*EXP(-q*Q97)*_xlfn.NORM.S.DIST(Y97,1))/365)))</f>
        <v/>
      </c>
      <c r="Q97" s="83" t="str">
        <f t="shared" si="47"/>
        <v/>
      </c>
      <c r="R97" s="38"/>
      <c r="S97" s="68" t="str">
        <f t="shared" si="48"/>
        <v/>
      </c>
      <c r="T97" s="69" t="str">
        <f t="shared" si="49"/>
        <v/>
      </c>
      <c r="U97" s="70" t="str">
        <f t="shared" si="50"/>
        <v/>
      </c>
      <c r="V97" s="72" t="str">
        <f t="shared" si="51"/>
        <v/>
      </c>
      <c r="W97" s="2" t="str">
        <f t="shared" si="15"/>
        <v/>
      </c>
      <c r="X97" s="2" t="str">
        <f t="shared" si="4"/>
        <v/>
      </c>
      <c r="Y97" s="35" t="str">
        <f t="shared" ca="1" si="52"/>
        <v/>
      </c>
      <c r="Z97" s="36" t="str">
        <f t="shared" ca="1" si="53"/>
        <v/>
      </c>
      <c r="AA97" s="70" t="str">
        <f t="shared" si="54"/>
        <v/>
      </c>
      <c r="AB97" s="2"/>
      <c r="AC97" s="94" t="str">
        <f t="shared" si="7"/>
        <v/>
      </c>
      <c r="AD97" s="95" t="str">
        <f t="shared" si="8"/>
        <v/>
      </c>
      <c r="AE97" s="96" t="str">
        <f t="shared" si="9"/>
        <v/>
      </c>
      <c r="AF97" s="124" t="str">
        <f t="shared" si="10"/>
        <v/>
      </c>
      <c r="AG97" s="2"/>
      <c r="AH97" s="2"/>
      <c r="AI97" s="2"/>
      <c r="AJ97" s="2"/>
      <c r="AK97" s="2"/>
      <c r="AL97" s="2"/>
    </row>
    <row r="98" spans="1:38" x14ac:dyDescent="0.2">
      <c r="A98" s="45"/>
      <c r="B98" s="43" t="str">
        <f t="shared" si="40"/>
        <v/>
      </c>
      <c r="C98" s="96" t="str">
        <f t="shared" si="16"/>
        <v/>
      </c>
      <c r="D98" s="44" t="str">
        <f t="shared" si="41"/>
        <v/>
      </c>
      <c r="E98" s="52"/>
      <c r="F98" s="63" t="str">
        <f t="shared" si="42"/>
        <v/>
      </c>
      <c r="G98" s="56" t="str">
        <f t="shared" si="43"/>
        <v/>
      </c>
      <c r="H98" s="42"/>
      <c r="I98" s="2" t="str">
        <f t="shared" si="44"/>
        <v/>
      </c>
      <c r="J98" s="54" t="str">
        <f t="shared" si="0"/>
        <v/>
      </c>
      <c r="K98" s="55" t="str">
        <f t="shared" si="45"/>
        <v/>
      </c>
      <c r="L98" s="63" t="str">
        <f t="shared" si="46"/>
        <v/>
      </c>
      <c r="M98" s="96" t="str">
        <f t="shared" si="2"/>
        <v/>
      </c>
      <c r="N98" s="96" t="str">
        <f>IF(A98="","",IF(A98=Expiry,0,EXP(-q*Q98)*_xlfn.NORM.S.DIST(Y98,0)/(sigma*SQRT(Q98))*I98*Mult/100))</f>
        <v/>
      </c>
      <c r="O98" s="96" t="str">
        <f>IF(A98="","",IF(A98=Expiry,0,D98*E98*E98*EXP(-q*Q98)*_xlfn.NORM.S.DIST(Y98,0)*SQRT(Q98)/100))</f>
        <v/>
      </c>
      <c r="P98" s="69" t="str">
        <f>IF(A98="","",IF(A98=Expiry,0,AK98*I98*Mult*((-EXP(-q*Q98)*E98*_xlfn.NORM.S.DIST(Y98,0)*sigma/(2*SQRT(Q98))-r_dom*K*EXP(-r_dom*Q98)*_xlfn.NORM.S.DIST(Z98,1)+q*E98*EXP(-q*Q98)*_xlfn.NORM.S.DIST(Y98,1))/365)))</f>
        <v/>
      </c>
      <c r="Q98" s="83" t="str">
        <f t="shared" si="47"/>
        <v/>
      </c>
      <c r="R98" s="38"/>
      <c r="S98" s="68" t="str">
        <f t="shared" si="48"/>
        <v/>
      </c>
      <c r="T98" s="69" t="str">
        <f t="shared" si="49"/>
        <v/>
      </c>
      <c r="U98" s="70" t="str">
        <f t="shared" si="50"/>
        <v/>
      </c>
      <c r="V98" s="72" t="str">
        <f t="shared" si="51"/>
        <v/>
      </c>
      <c r="W98" s="2" t="str">
        <f t="shared" si="15"/>
        <v/>
      </c>
      <c r="X98" s="2" t="str">
        <f t="shared" si="4"/>
        <v/>
      </c>
      <c r="Y98" s="35" t="str">
        <f t="shared" ca="1" si="52"/>
        <v/>
      </c>
      <c r="Z98" s="36" t="str">
        <f t="shared" ca="1" si="53"/>
        <v/>
      </c>
      <c r="AA98" s="70" t="str">
        <f t="shared" si="54"/>
        <v/>
      </c>
      <c r="AB98" s="2"/>
      <c r="AC98" s="94" t="str">
        <f t="shared" si="7"/>
        <v/>
      </c>
      <c r="AD98" s="95" t="str">
        <f t="shared" si="8"/>
        <v/>
      </c>
      <c r="AE98" s="96" t="str">
        <f t="shared" si="9"/>
        <v/>
      </c>
      <c r="AF98" s="124" t="str">
        <f t="shared" si="10"/>
        <v/>
      </c>
      <c r="AG98" s="2"/>
      <c r="AH98" s="2"/>
      <c r="AI98" s="2"/>
      <c r="AJ98" s="2"/>
      <c r="AK98" s="2"/>
      <c r="AL98" s="2"/>
    </row>
    <row r="99" spans="1:38" x14ac:dyDescent="0.2">
      <c r="A99" s="45"/>
      <c r="B99" s="43" t="str">
        <f t="shared" si="40"/>
        <v/>
      </c>
      <c r="C99" s="96" t="str">
        <f t="shared" si="16"/>
        <v/>
      </c>
      <c r="D99" s="44" t="str">
        <f t="shared" si="41"/>
        <v/>
      </c>
      <c r="E99" s="52"/>
      <c r="F99" s="63" t="str">
        <f t="shared" si="42"/>
        <v/>
      </c>
      <c r="G99" s="56" t="str">
        <f t="shared" si="43"/>
        <v/>
      </c>
      <c r="H99" s="42"/>
      <c r="I99" s="2" t="str">
        <f t="shared" si="44"/>
        <v/>
      </c>
      <c r="J99" s="54" t="str">
        <f t="shared" si="0"/>
        <v/>
      </c>
      <c r="K99" s="55" t="str">
        <f t="shared" si="45"/>
        <v/>
      </c>
      <c r="L99" s="63" t="str">
        <f t="shared" si="46"/>
        <v/>
      </c>
      <c r="M99" s="96" t="str">
        <f t="shared" si="2"/>
        <v/>
      </c>
      <c r="N99" s="96" t="str">
        <f>IF(A99="","",IF(A99=Expiry,0,EXP(-q*Q99)*_xlfn.NORM.S.DIST(Y99,0)/(sigma*SQRT(Q99))*I99*Mult/100))</f>
        <v/>
      </c>
      <c r="O99" s="96" t="str">
        <f>IF(A99="","",IF(A99=Expiry,0,D99*E99*E99*EXP(-q*Q99)*_xlfn.NORM.S.DIST(Y99,0)*SQRT(Q99)/100))</f>
        <v/>
      </c>
      <c r="P99" s="69" t="str">
        <f>IF(A99="","",IF(A99=Expiry,0,AK99*I99*Mult*((-EXP(-q*Q99)*E99*_xlfn.NORM.S.DIST(Y99,0)*sigma/(2*SQRT(Q99))-r_dom*K*EXP(-r_dom*Q99)*_xlfn.NORM.S.DIST(Z99,1)+q*E99*EXP(-q*Q99)*_xlfn.NORM.S.DIST(Y99,1))/365)))</f>
        <v/>
      </c>
      <c r="Q99" s="83" t="str">
        <f t="shared" si="47"/>
        <v/>
      </c>
      <c r="R99" s="38"/>
      <c r="S99" s="68" t="str">
        <f t="shared" si="48"/>
        <v/>
      </c>
      <c r="T99" s="69" t="str">
        <f t="shared" si="49"/>
        <v/>
      </c>
      <c r="U99" s="70" t="str">
        <f t="shared" si="50"/>
        <v/>
      </c>
      <c r="V99" s="72" t="str">
        <f t="shared" si="51"/>
        <v/>
      </c>
      <c r="W99" s="2" t="str">
        <f t="shared" si="15"/>
        <v/>
      </c>
      <c r="X99" s="2" t="str">
        <f t="shared" si="4"/>
        <v/>
      </c>
      <c r="Y99" s="35" t="str">
        <f t="shared" ca="1" si="52"/>
        <v/>
      </c>
      <c r="Z99" s="36" t="str">
        <f t="shared" ca="1" si="53"/>
        <v/>
      </c>
      <c r="AA99" s="70" t="str">
        <f t="shared" si="54"/>
        <v/>
      </c>
      <c r="AB99" s="2"/>
      <c r="AC99" s="94" t="str">
        <f t="shared" si="7"/>
        <v/>
      </c>
      <c r="AD99" s="95" t="str">
        <f t="shared" si="8"/>
        <v/>
      </c>
      <c r="AE99" s="96" t="str">
        <f t="shared" si="9"/>
        <v/>
      </c>
      <c r="AF99" s="124" t="str">
        <f t="shared" si="10"/>
        <v/>
      </c>
      <c r="AG99" s="2"/>
      <c r="AH99" s="2"/>
      <c r="AI99" s="2"/>
      <c r="AJ99" s="2"/>
      <c r="AK99" s="2"/>
      <c r="AL99" s="2"/>
    </row>
    <row r="100" spans="1:38" x14ac:dyDescent="0.2">
      <c r="A100" s="45"/>
      <c r="B100" s="43" t="str">
        <f t="shared" si="40"/>
        <v/>
      </c>
      <c r="C100" s="96" t="str">
        <f t="shared" si="16"/>
        <v/>
      </c>
      <c r="D100" s="44" t="str">
        <f t="shared" si="41"/>
        <v/>
      </c>
      <c r="E100" s="52"/>
      <c r="F100" s="63" t="str">
        <f t="shared" si="42"/>
        <v/>
      </c>
      <c r="G100" s="56" t="str">
        <f t="shared" si="43"/>
        <v/>
      </c>
      <c r="H100" s="42"/>
      <c r="I100" s="2" t="str">
        <f t="shared" si="44"/>
        <v/>
      </c>
      <c r="J100" s="54" t="str">
        <f t="shared" ref="J100:J163" si="55">IF(CorP="C",AC100,AD100)</f>
        <v/>
      </c>
      <c r="K100" s="55" t="str">
        <f t="shared" si="45"/>
        <v/>
      </c>
      <c r="L100" s="63" t="str">
        <f t="shared" si="46"/>
        <v/>
      </c>
      <c r="M100" s="96" t="str">
        <f t="shared" ref="M100:M163" si="56">IF(CorP="C",AE100,AF100)</f>
        <v/>
      </c>
      <c r="N100" s="96" t="str">
        <f>IF(A100="","",IF(A100=Expiry,0,EXP(-q*Q100)*_xlfn.NORM.S.DIST(Y100,0)/(sigma*SQRT(Q100))*I100*Mult/100))</f>
        <v/>
      </c>
      <c r="O100" s="96" t="str">
        <f>IF(A100="","",IF(A100=Expiry,0,D100*E100*E100*EXP(-q*Q100)*_xlfn.NORM.S.DIST(Y100,0)*SQRT(Q100)/100))</f>
        <v/>
      </c>
      <c r="P100" s="69" t="str">
        <f>IF(A100="","",IF(A100=Expiry,0,AK100*I100*Mult*((-EXP(-q*Q100)*E100*_xlfn.NORM.S.DIST(Y100,0)*sigma/(2*SQRT(Q100))-r_dom*K*EXP(-r_dom*Q100)*_xlfn.NORM.S.DIST(Z100,1)+q*E100*EXP(-q*Q100)*_xlfn.NORM.S.DIST(Y100,1))/365)))</f>
        <v/>
      </c>
      <c r="Q100" s="83" t="str">
        <f t="shared" si="47"/>
        <v/>
      </c>
      <c r="R100" s="38"/>
      <c r="S100" s="68" t="str">
        <f t="shared" si="48"/>
        <v/>
      </c>
      <c r="T100" s="69" t="str">
        <f t="shared" si="49"/>
        <v/>
      </c>
      <c r="U100" s="70" t="str">
        <f t="shared" si="50"/>
        <v/>
      </c>
      <c r="V100" s="72" t="str">
        <f t="shared" si="51"/>
        <v/>
      </c>
      <c r="W100" s="2" t="str">
        <f t="shared" si="15"/>
        <v/>
      </c>
      <c r="X100" s="2" t="str">
        <f t="shared" ref="X100:X163" si="57">IF(A100="","",K)</f>
        <v/>
      </c>
      <c r="Y100" s="35" t="str">
        <f t="shared" ca="1" si="52"/>
        <v/>
      </c>
      <c r="Z100" s="36" t="str">
        <f t="shared" ca="1" si="53"/>
        <v/>
      </c>
      <c r="AA100" s="70" t="str">
        <f t="shared" si="54"/>
        <v/>
      </c>
      <c r="AB100" s="2"/>
      <c r="AC100" s="94" t="str">
        <f t="shared" ref="AC100:AC163" si="58">IF(A100="","",IF(A100=Expiry,MAX(E100-K,0),E100*EXP(-q*Q100)*_xlfn.NORM.S.DIST(Y100,1)-K*EXP(-r_dom*Q100)*_xlfn.NORM.S.DIST(Z100,1)))</f>
        <v/>
      </c>
      <c r="AD100" s="95" t="str">
        <f t="shared" ref="AD100:AD163" si="59">IF(A100="","",IF(A100=Expiry,MAX(K-E100,0),K*EXP(-r_dom*Q100)*_xlfn.NORM.S.DIST(-Z100,1)-E100*EXP(-q*Q100)*_xlfn.NORM.S.DIST(-Y100,1)))</f>
        <v/>
      </c>
      <c r="AE100" s="96" t="str">
        <f t="shared" ref="AE100:AE163" si="60">IF(A100="","",I100*Mult*IF(A100=Expiry,IF(E100&gt;K,1,0),EXP(-q*Q100)*_xlfn.NORM.S.DIST(Y100,1)))</f>
        <v/>
      </c>
      <c r="AF100" s="124" t="str">
        <f t="shared" ref="AF100:AF163" si="61">IF(A100="","",I100*Mult*IF(A100=Expiry,IF(E100&lt;K,-1,0),-EXP(-q*Q100)*_xlfn.NORM.S.DIST(-Y100,1)))</f>
        <v/>
      </c>
      <c r="AG100" s="2"/>
      <c r="AH100" s="2"/>
      <c r="AI100" s="2"/>
      <c r="AJ100" s="2"/>
      <c r="AK100" s="2"/>
      <c r="AL100" s="2"/>
    </row>
    <row r="101" spans="1:38" x14ac:dyDescent="0.2">
      <c r="A101" s="45"/>
      <c r="B101" s="43" t="str">
        <f t="shared" si="40"/>
        <v/>
      </c>
      <c r="C101" s="96" t="str">
        <f t="shared" si="16"/>
        <v/>
      </c>
      <c r="D101" s="44" t="str">
        <f t="shared" si="41"/>
        <v/>
      </c>
      <c r="E101" s="52"/>
      <c r="F101" s="63" t="str">
        <f t="shared" si="42"/>
        <v/>
      </c>
      <c r="G101" s="56" t="str">
        <f t="shared" si="43"/>
        <v/>
      </c>
      <c r="H101" s="42"/>
      <c r="I101" s="2" t="str">
        <f t="shared" si="44"/>
        <v/>
      </c>
      <c r="J101" s="54" t="str">
        <f t="shared" si="55"/>
        <v/>
      </c>
      <c r="K101" s="55" t="str">
        <f t="shared" si="45"/>
        <v/>
      </c>
      <c r="L101" s="63" t="str">
        <f t="shared" si="46"/>
        <v/>
      </c>
      <c r="M101" s="96" t="str">
        <f t="shared" si="56"/>
        <v/>
      </c>
      <c r="N101" s="96" t="str">
        <f>IF(A101="","",IF(A101=Expiry,0,EXP(-q*Q101)*_xlfn.NORM.S.DIST(Y101,0)/(sigma*SQRT(Q101))*I101*Mult/100))</f>
        <v/>
      </c>
      <c r="O101" s="96" t="str">
        <f>IF(A101="","",IF(A101=Expiry,0,D101*E101*E101*EXP(-q*Q101)*_xlfn.NORM.S.DIST(Y101,0)*SQRT(Q101)/100))</f>
        <v/>
      </c>
      <c r="P101" s="69" t="str">
        <f>IF(A101="","",IF(A101=Expiry,0,AK101*I101*Mult*((-EXP(-q*Q101)*E101*_xlfn.NORM.S.DIST(Y101,0)*sigma/(2*SQRT(Q101))-r_dom*K*EXP(-r_dom*Q101)*_xlfn.NORM.S.DIST(Z101,1)+q*E101*EXP(-q*Q101)*_xlfn.NORM.S.DIST(Y101,1))/365)))</f>
        <v/>
      </c>
      <c r="Q101" s="83" t="str">
        <f t="shared" si="47"/>
        <v/>
      </c>
      <c r="R101" s="38"/>
      <c r="S101" s="68" t="str">
        <f t="shared" si="48"/>
        <v/>
      </c>
      <c r="T101" s="69" t="str">
        <f t="shared" si="49"/>
        <v/>
      </c>
      <c r="U101" s="70" t="str">
        <f t="shared" si="50"/>
        <v/>
      </c>
      <c r="V101" s="72" t="str">
        <f t="shared" si="51"/>
        <v/>
      </c>
      <c r="W101" s="2" t="str">
        <f t="shared" ref="W101:W164" si="62">IF(A101="","",100)</f>
        <v/>
      </c>
      <c r="X101" s="2" t="str">
        <f t="shared" si="57"/>
        <v/>
      </c>
      <c r="Y101" s="35" t="str">
        <f t="shared" ca="1" si="52"/>
        <v/>
      </c>
      <c r="Z101" s="36" t="str">
        <f t="shared" ca="1" si="53"/>
        <v/>
      </c>
      <c r="AA101" s="70" t="str">
        <f t="shared" si="54"/>
        <v/>
      </c>
      <c r="AB101" s="2"/>
      <c r="AC101" s="94" t="str">
        <f t="shared" si="58"/>
        <v/>
      </c>
      <c r="AD101" s="95" t="str">
        <f t="shared" si="59"/>
        <v/>
      </c>
      <c r="AE101" s="96" t="str">
        <f t="shared" si="60"/>
        <v/>
      </c>
      <c r="AF101" s="124" t="str">
        <f t="shared" si="61"/>
        <v/>
      </c>
      <c r="AG101" s="2"/>
      <c r="AH101" s="2"/>
      <c r="AI101" s="2"/>
      <c r="AJ101" s="2"/>
      <c r="AK101" s="2"/>
      <c r="AL101" s="2"/>
    </row>
    <row r="102" spans="1:38" x14ac:dyDescent="0.2">
      <c r="A102" s="45"/>
      <c r="B102" s="43" t="str">
        <f t="shared" si="40"/>
        <v/>
      </c>
      <c r="C102" s="96" t="str">
        <f t="shared" ref="C102:C165" si="63">IF(A102="","",C101+B102)</f>
        <v/>
      </c>
      <c r="D102" s="44" t="str">
        <f t="shared" si="41"/>
        <v/>
      </c>
      <c r="E102" s="52"/>
      <c r="F102" s="63" t="str">
        <f t="shared" si="42"/>
        <v/>
      </c>
      <c r="G102" s="56" t="str">
        <f t="shared" si="43"/>
        <v/>
      </c>
      <c r="H102" s="42"/>
      <c r="I102" s="2" t="str">
        <f t="shared" si="44"/>
        <v/>
      </c>
      <c r="J102" s="54" t="str">
        <f t="shared" si="55"/>
        <v/>
      </c>
      <c r="K102" s="55" t="str">
        <f t="shared" si="45"/>
        <v/>
      </c>
      <c r="L102" s="63" t="str">
        <f t="shared" si="46"/>
        <v/>
      </c>
      <c r="M102" s="96" t="str">
        <f t="shared" si="56"/>
        <v/>
      </c>
      <c r="N102" s="96" t="str">
        <f>IF(A102="","",IF(A102=Expiry,0,EXP(-q*Q102)*_xlfn.NORM.S.DIST(Y102,0)/(sigma*SQRT(Q102))*I102*Mult/100))</f>
        <v/>
      </c>
      <c r="O102" s="96" t="str">
        <f>IF(A102="","",IF(A102=Expiry,0,D102*E102*E102*EXP(-q*Q102)*_xlfn.NORM.S.DIST(Y102,0)*SQRT(Q102)/100))</f>
        <v/>
      </c>
      <c r="P102" s="69" t="str">
        <f>IF(A102="","",IF(A102=Expiry,0,AK102*I102*Mult*((-EXP(-q*Q102)*E102*_xlfn.NORM.S.DIST(Y102,0)*sigma/(2*SQRT(Q102))-r_dom*K*EXP(-r_dom*Q102)*_xlfn.NORM.S.DIST(Z102,1)+q*E102*EXP(-q*Q102)*_xlfn.NORM.S.DIST(Y102,1))/365)))</f>
        <v/>
      </c>
      <c r="Q102" s="83" t="str">
        <f t="shared" si="47"/>
        <v/>
      </c>
      <c r="R102" s="38"/>
      <c r="S102" s="68" t="str">
        <f t="shared" si="48"/>
        <v/>
      </c>
      <c r="T102" s="69" t="str">
        <f t="shared" si="49"/>
        <v/>
      </c>
      <c r="U102" s="70" t="str">
        <f t="shared" si="50"/>
        <v/>
      </c>
      <c r="V102" s="72" t="str">
        <f t="shared" si="51"/>
        <v/>
      </c>
      <c r="W102" s="2" t="str">
        <f t="shared" si="62"/>
        <v/>
      </c>
      <c r="X102" s="2" t="str">
        <f t="shared" si="57"/>
        <v/>
      </c>
      <c r="Y102" s="35" t="str">
        <f t="shared" ca="1" si="52"/>
        <v/>
      </c>
      <c r="Z102" s="36" t="str">
        <f t="shared" ca="1" si="53"/>
        <v/>
      </c>
      <c r="AA102" s="70" t="str">
        <f t="shared" si="54"/>
        <v/>
      </c>
      <c r="AB102" s="2"/>
      <c r="AC102" s="94" t="str">
        <f t="shared" si="58"/>
        <v/>
      </c>
      <c r="AD102" s="95" t="str">
        <f t="shared" si="59"/>
        <v/>
      </c>
      <c r="AE102" s="96" t="str">
        <f t="shared" si="60"/>
        <v/>
      </c>
      <c r="AF102" s="124" t="str">
        <f t="shared" si="61"/>
        <v/>
      </c>
      <c r="AG102" s="2"/>
      <c r="AH102" s="2"/>
      <c r="AI102" s="2"/>
      <c r="AJ102" s="2"/>
      <c r="AK102" s="2"/>
      <c r="AL102" s="2"/>
    </row>
    <row r="103" spans="1:38" x14ac:dyDescent="0.2">
      <c r="A103" s="45"/>
      <c r="B103" s="43" t="str">
        <f t="shared" si="40"/>
        <v/>
      </c>
      <c r="C103" s="96" t="str">
        <f t="shared" si="63"/>
        <v/>
      </c>
      <c r="D103" s="44" t="str">
        <f t="shared" si="41"/>
        <v/>
      </c>
      <c r="E103" s="52"/>
      <c r="F103" s="63" t="str">
        <f t="shared" si="42"/>
        <v/>
      </c>
      <c r="G103" s="56" t="str">
        <f t="shared" si="43"/>
        <v/>
      </c>
      <c r="H103" s="42"/>
      <c r="I103" s="2" t="str">
        <f t="shared" si="44"/>
        <v/>
      </c>
      <c r="J103" s="54" t="str">
        <f t="shared" si="55"/>
        <v/>
      </c>
      <c r="K103" s="55" t="str">
        <f t="shared" si="45"/>
        <v/>
      </c>
      <c r="L103" s="63" t="str">
        <f t="shared" si="46"/>
        <v/>
      </c>
      <c r="M103" s="96" t="str">
        <f t="shared" si="56"/>
        <v/>
      </c>
      <c r="N103" s="96" t="str">
        <f>IF(A103="","",IF(A103=Expiry,0,EXP(-q*Q103)*_xlfn.NORM.S.DIST(Y103,0)/(sigma*SQRT(Q103))*I103*Mult/100))</f>
        <v/>
      </c>
      <c r="O103" s="96" t="str">
        <f>IF(A103="","",IF(A103=Expiry,0,D103*E103*E103*EXP(-q*Q103)*_xlfn.NORM.S.DIST(Y103,0)*SQRT(Q103)/100))</f>
        <v/>
      </c>
      <c r="P103" s="69" t="str">
        <f>IF(A103="","",IF(A103=Expiry,0,AK103*I103*Mult*((-EXP(-q*Q103)*E103*_xlfn.NORM.S.DIST(Y103,0)*sigma/(2*SQRT(Q103))-r_dom*K*EXP(-r_dom*Q103)*_xlfn.NORM.S.DIST(Z103,1)+q*E103*EXP(-q*Q103)*_xlfn.NORM.S.DIST(Y103,1))/365)))</f>
        <v/>
      </c>
      <c r="Q103" s="83" t="str">
        <f t="shared" si="47"/>
        <v/>
      </c>
      <c r="R103" s="38"/>
      <c r="S103" s="68" t="str">
        <f t="shared" si="48"/>
        <v/>
      </c>
      <c r="T103" s="69" t="str">
        <f t="shared" si="49"/>
        <v/>
      </c>
      <c r="U103" s="70" t="str">
        <f t="shared" si="50"/>
        <v/>
      </c>
      <c r="V103" s="72" t="str">
        <f t="shared" si="51"/>
        <v/>
      </c>
      <c r="W103" s="2" t="str">
        <f t="shared" si="62"/>
        <v/>
      </c>
      <c r="X103" s="2" t="str">
        <f t="shared" si="57"/>
        <v/>
      </c>
      <c r="Y103" s="35" t="str">
        <f t="shared" ca="1" si="52"/>
        <v/>
      </c>
      <c r="Z103" s="36" t="str">
        <f t="shared" ca="1" si="53"/>
        <v/>
      </c>
      <c r="AA103" s="70" t="str">
        <f t="shared" si="54"/>
        <v/>
      </c>
      <c r="AB103" s="2"/>
      <c r="AC103" s="94" t="str">
        <f t="shared" si="58"/>
        <v/>
      </c>
      <c r="AD103" s="95" t="str">
        <f t="shared" si="59"/>
        <v/>
      </c>
      <c r="AE103" s="96" t="str">
        <f t="shared" si="60"/>
        <v/>
      </c>
      <c r="AF103" s="124" t="str">
        <f t="shared" si="61"/>
        <v/>
      </c>
      <c r="AG103" s="2"/>
      <c r="AH103" s="2"/>
      <c r="AI103" s="2"/>
      <c r="AJ103" s="2"/>
      <c r="AK103" s="2"/>
      <c r="AL103" s="2"/>
    </row>
    <row r="104" spans="1:38" x14ac:dyDescent="0.2">
      <c r="A104" s="45"/>
      <c r="B104" s="43" t="str">
        <f t="shared" si="40"/>
        <v/>
      </c>
      <c r="C104" s="96" t="str">
        <f t="shared" si="63"/>
        <v/>
      </c>
      <c r="D104" s="44" t="str">
        <f t="shared" si="41"/>
        <v/>
      </c>
      <c r="E104" s="52"/>
      <c r="F104" s="63" t="str">
        <f t="shared" si="42"/>
        <v/>
      </c>
      <c r="G104" s="56" t="str">
        <f t="shared" si="43"/>
        <v/>
      </c>
      <c r="H104" s="42"/>
      <c r="I104" s="2" t="str">
        <f t="shared" si="44"/>
        <v/>
      </c>
      <c r="J104" s="54" t="str">
        <f t="shared" si="55"/>
        <v/>
      </c>
      <c r="K104" s="55" t="str">
        <f t="shared" si="45"/>
        <v/>
      </c>
      <c r="L104" s="63" t="str">
        <f t="shared" si="46"/>
        <v/>
      </c>
      <c r="M104" s="96" t="str">
        <f t="shared" si="56"/>
        <v/>
      </c>
      <c r="N104" s="96" t="str">
        <f>IF(A104="","",IF(A104=Expiry,0,EXP(-q*Q104)*_xlfn.NORM.S.DIST(Y104,0)/(sigma*SQRT(Q104))*I104*Mult/100))</f>
        <v/>
      </c>
      <c r="O104" s="96" t="str">
        <f>IF(A104="","",IF(A104=Expiry,0,D104*E104*E104*EXP(-q*Q104)*_xlfn.NORM.S.DIST(Y104,0)*SQRT(Q104)/100))</f>
        <v/>
      </c>
      <c r="P104" s="69" t="str">
        <f>IF(A104="","",IF(A104=Expiry,0,AK104*I104*Mult*((-EXP(-q*Q104)*E104*_xlfn.NORM.S.DIST(Y104,0)*sigma/(2*SQRT(Q104))-r_dom*K*EXP(-r_dom*Q104)*_xlfn.NORM.S.DIST(Z104,1)+q*E104*EXP(-q*Q104)*_xlfn.NORM.S.DIST(Y104,1))/365)))</f>
        <v/>
      </c>
      <c r="Q104" s="83" t="str">
        <f t="shared" si="47"/>
        <v/>
      </c>
      <c r="R104" s="38"/>
      <c r="S104" s="68" t="str">
        <f t="shared" si="48"/>
        <v/>
      </c>
      <c r="T104" s="69" t="str">
        <f t="shared" si="49"/>
        <v/>
      </c>
      <c r="U104" s="70" t="str">
        <f t="shared" si="50"/>
        <v/>
      </c>
      <c r="V104" s="72" t="str">
        <f t="shared" si="51"/>
        <v/>
      </c>
      <c r="W104" s="2" t="str">
        <f t="shared" si="62"/>
        <v/>
      </c>
      <c r="X104" s="2" t="str">
        <f t="shared" si="57"/>
        <v/>
      </c>
      <c r="Y104" s="35" t="str">
        <f t="shared" ca="1" si="52"/>
        <v/>
      </c>
      <c r="Z104" s="36" t="str">
        <f t="shared" ca="1" si="53"/>
        <v/>
      </c>
      <c r="AA104" s="70" t="str">
        <f t="shared" si="54"/>
        <v/>
      </c>
      <c r="AB104" s="2"/>
      <c r="AC104" s="94" t="str">
        <f t="shared" si="58"/>
        <v/>
      </c>
      <c r="AD104" s="95" t="str">
        <f t="shared" si="59"/>
        <v/>
      </c>
      <c r="AE104" s="96" t="str">
        <f t="shared" si="60"/>
        <v/>
      </c>
      <c r="AF104" s="124" t="str">
        <f t="shared" si="61"/>
        <v/>
      </c>
      <c r="AG104" s="2"/>
      <c r="AH104" s="2"/>
      <c r="AI104" s="2"/>
      <c r="AJ104" s="2"/>
      <c r="AK104" s="2"/>
      <c r="AL104" s="2"/>
    </row>
    <row r="105" spans="1:38" x14ac:dyDescent="0.2">
      <c r="A105" s="45"/>
      <c r="B105" s="43" t="str">
        <f t="shared" si="40"/>
        <v/>
      </c>
      <c r="C105" s="96" t="str">
        <f t="shared" si="63"/>
        <v/>
      </c>
      <c r="D105" s="44" t="str">
        <f t="shared" si="41"/>
        <v/>
      </c>
      <c r="E105" s="52"/>
      <c r="F105" s="63" t="str">
        <f t="shared" si="42"/>
        <v/>
      </c>
      <c r="G105" s="56" t="str">
        <f t="shared" si="43"/>
        <v/>
      </c>
      <c r="H105" s="42"/>
      <c r="I105" s="2" t="str">
        <f t="shared" si="44"/>
        <v/>
      </c>
      <c r="J105" s="54" t="str">
        <f t="shared" si="55"/>
        <v/>
      </c>
      <c r="K105" s="55" t="str">
        <f t="shared" si="45"/>
        <v/>
      </c>
      <c r="L105" s="63" t="str">
        <f t="shared" si="46"/>
        <v/>
      </c>
      <c r="M105" s="96" t="str">
        <f t="shared" si="56"/>
        <v/>
      </c>
      <c r="N105" s="96" t="str">
        <f>IF(A105="","",IF(A105=Expiry,0,EXP(-q*Q105)*_xlfn.NORM.S.DIST(Y105,0)/(sigma*SQRT(Q105))*I105*Mult/100))</f>
        <v/>
      </c>
      <c r="O105" s="96" t="str">
        <f>IF(A105="","",IF(A105=Expiry,0,D105*E105*E105*EXP(-q*Q105)*_xlfn.NORM.S.DIST(Y105,0)*SQRT(Q105)/100))</f>
        <v/>
      </c>
      <c r="P105" s="69" t="str">
        <f>IF(A105="","",IF(A105=Expiry,0,AK105*I105*Mult*((-EXP(-q*Q105)*E105*_xlfn.NORM.S.DIST(Y105,0)*sigma/(2*SQRT(Q105))-r_dom*K*EXP(-r_dom*Q105)*_xlfn.NORM.S.DIST(Z105,1)+q*E105*EXP(-q*Q105)*_xlfn.NORM.S.DIST(Y105,1))/365)))</f>
        <v/>
      </c>
      <c r="Q105" s="83" t="str">
        <f t="shared" si="47"/>
        <v/>
      </c>
      <c r="R105" s="38"/>
      <c r="S105" s="68" t="str">
        <f t="shared" si="48"/>
        <v/>
      </c>
      <c r="T105" s="69" t="str">
        <f t="shared" si="49"/>
        <v/>
      </c>
      <c r="U105" s="70" t="str">
        <f t="shared" si="50"/>
        <v/>
      </c>
      <c r="V105" s="72" t="str">
        <f t="shared" si="51"/>
        <v/>
      </c>
      <c r="W105" s="2" t="str">
        <f t="shared" si="62"/>
        <v/>
      </c>
      <c r="X105" s="2" t="str">
        <f t="shared" si="57"/>
        <v/>
      </c>
      <c r="Y105" s="35" t="str">
        <f t="shared" ca="1" si="52"/>
        <v/>
      </c>
      <c r="Z105" s="36" t="str">
        <f t="shared" ca="1" si="53"/>
        <v/>
      </c>
      <c r="AA105" s="70" t="str">
        <f t="shared" si="54"/>
        <v/>
      </c>
      <c r="AB105" s="2"/>
      <c r="AC105" s="94" t="str">
        <f t="shared" si="58"/>
        <v/>
      </c>
      <c r="AD105" s="95" t="str">
        <f t="shared" si="59"/>
        <v/>
      </c>
      <c r="AE105" s="96" t="str">
        <f t="shared" si="60"/>
        <v/>
      </c>
      <c r="AF105" s="124" t="str">
        <f t="shared" si="61"/>
        <v/>
      </c>
      <c r="AG105" s="2"/>
      <c r="AH105" s="2"/>
      <c r="AI105" s="2"/>
      <c r="AJ105" s="2"/>
      <c r="AK105" s="2"/>
      <c r="AL105" s="2"/>
    </row>
    <row r="106" spans="1:38" x14ac:dyDescent="0.2">
      <c r="A106" s="45"/>
      <c r="B106" s="43" t="str">
        <f t="shared" si="40"/>
        <v/>
      </c>
      <c r="C106" s="96" t="str">
        <f t="shared" si="63"/>
        <v/>
      </c>
      <c r="D106" s="44" t="str">
        <f t="shared" si="41"/>
        <v/>
      </c>
      <c r="E106" s="52"/>
      <c r="F106" s="63" t="str">
        <f t="shared" si="42"/>
        <v/>
      </c>
      <c r="G106" s="56" t="str">
        <f t="shared" si="43"/>
        <v/>
      </c>
      <c r="H106" s="42"/>
      <c r="I106" s="2" t="str">
        <f t="shared" si="44"/>
        <v/>
      </c>
      <c r="J106" s="54" t="str">
        <f t="shared" si="55"/>
        <v/>
      </c>
      <c r="K106" s="55" t="str">
        <f t="shared" si="45"/>
        <v/>
      </c>
      <c r="L106" s="63" t="str">
        <f t="shared" si="46"/>
        <v/>
      </c>
      <c r="M106" s="96" t="str">
        <f t="shared" si="56"/>
        <v/>
      </c>
      <c r="N106" s="96" t="str">
        <f>IF(A106="","",IF(A106=Expiry,0,EXP(-q*Q106)*_xlfn.NORM.S.DIST(Y106,0)/(sigma*SQRT(Q106))*I106*Mult/100))</f>
        <v/>
      </c>
      <c r="O106" s="96" t="str">
        <f>IF(A106="","",IF(A106=Expiry,0,D106*E106*E106*EXP(-q*Q106)*_xlfn.NORM.S.DIST(Y106,0)*SQRT(Q106)/100))</f>
        <v/>
      </c>
      <c r="P106" s="69" t="str">
        <f>IF(A106="","",IF(A106=Expiry,0,AK106*I106*Mult*((-EXP(-q*Q106)*E106*_xlfn.NORM.S.DIST(Y106,0)*sigma/(2*SQRT(Q106))-r_dom*K*EXP(-r_dom*Q106)*_xlfn.NORM.S.DIST(Z106,1)+q*E106*EXP(-q*Q106)*_xlfn.NORM.S.DIST(Y106,1))/365)))</f>
        <v/>
      </c>
      <c r="Q106" s="83" t="str">
        <f t="shared" si="47"/>
        <v/>
      </c>
      <c r="R106" s="38"/>
      <c r="S106" s="68" t="str">
        <f t="shared" si="48"/>
        <v/>
      </c>
      <c r="T106" s="69" t="str">
        <f t="shared" si="49"/>
        <v/>
      </c>
      <c r="U106" s="70" t="str">
        <f t="shared" si="50"/>
        <v/>
      </c>
      <c r="V106" s="72" t="str">
        <f t="shared" si="51"/>
        <v/>
      </c>
      <c r="W106" s="2" t="str">
        <f t="shared" si="62"/>
        <v/>
      </c>
      <c r="X106" s="2" t="str">
        <f t="shared" si="57"/>
        <v/>
      </c>
      <c r="Y106" s="35" t="str">
        <f t="shared" ca="1" si="52"/>
        <v/>
      </c>
      <c r="Z106" s="36" t="str">
        <f t="shared" ca="1" si="53"/>
        <v/>
      </c>
      <c r="AA106" s="70" t="str">
        <f t="shared" si="54"/>
        <v/>
      </c>
      <c r="AB106" s="2"/>
      <c r="AC106" s="94" t="str">
        <f t="shared" si="58"/>
        <v/>
      </c>
      <c r="AD106" s="95" t="str">
        <f t="shared" si="59"/>
        <v/>
      </c>
      <c r="AE106" s="96" t="str">
        <f t="shared" si="60"/>
        <v/>
      </c>
      <c r="AF106" s="124" t="str">
        <f t="shared" si="61"/>
        <v/>
      </c>
      <c r="AG106" s="2"/>
      <c r="AH106" s="2"/>
      <c r="AI106" s="2"/>
      <c r="AJ106" s="2"/>
      <c r="AK106" s="2"/>
      <c r="AL106" s="2"/>
    </row>
    <row r="107" spans="1:38" x14ac:dyDescent="0.2">
      <c r="A107" s="45"/>
      <c r="B107" s="43" t="str">
        <f t="shared" si="40"/>
        <v/>
      </c>
      <c r="C107" s="96" t="str">
        <f t="shared" si="63"/>
        <v/>
      </c>
      <c r="D107" s="44" t="str">
        <f t="shared" si="41"/>
        <v/>
      </c>
      <c r="E107" s="52"/>
      <c r="F107" s="63" t="str">
        <f t="shared" si="42"/>
        <v/>
      </c>
      <c r="G107" s="56" t="str">
        <f t="shared" si="43"/>
        <v/>
      </c>
      <c r="H107" s="42"/>
      <c r="I107" s="2" t="str">
        <f t="shared" si="44"/>
        <v/>
      </c>
      <c r="J107" s="54" t="str">
        <f t="shared" si="55"/>
        <v/>
      </c>
      <c r="K107" s="55" t="str">
        <f t="shared" si="45"/>
        <v/>
      </c>
      <c r="L107" s="63" t="str">
        <f t="shared" si="46"/>
        <v/>
      </c>
      <c r="M107" s="96" t="str">
        <f t="shared" si="56"/>
        <v/>
      </c>
      <c r="N107" s="96" t="str">
        <f>IF(A107="","",IF(A107=Expiry,0,EXP(-q*Q107)*_xlfn.NORM.S.DIST(Y107,0)/(sigma*SQRT(Q107))*I107*Mult/100))</f>
        <v/>
      </c>
      <c r="O107" s="96" t="str">
        <f>IF(A107="","",IF(A107=Expiry,0,D107*E107*E107*EXP(-q*Q107)*_xlfn.NORM.S.DIST(Y107,0)*SQRT(Q107)/100))</f>
        <v/>
      </c>
      <c r="P107" s="69" t="str">
        <f>IF(A107="","",IF(A107=Expiry,0,AK107*I107*Mult*((-EXP(-q*Q107)*E107*_xlfn.NORM.S.DIST(Y107,0)*sigma/(2*SQRT(Q107))-r_dom*K*EXP(-r_dom*Q107)*_xlfn.NORM.S.DIST(Z107,1)+q*E107*EXP(-q*Q107)*_xlfn.NORM.S.DIST(Y107,1))/365)))</f>
        <v/>
      </c>
      <c r="Q107" s="83" t="str">
        <f t="shared" si="47"/>
        <v/>
      </c>
      <c r="R107" s="38"/>
      <c r="S107" s="68" t="str">
        <f t="shared" si="48"/>
        <v/>
      </c>
      <c r="T107" s="69" t="str">
        <f t="shared" si="49"/>
        <v/>
      </c>
      <c r="U107" s="70" t="str">
        <f t="shared" si="50"/>
        <v/>
      </c>
      <c r="V107" s="72" t="str">
        <f t="shared" si="51"/>
        <v/>
      </c>
      <c r="W107" s="2" t="str">
        <f t="shared" si="62"/>
        <v/>
      </c>
      <c r="X107" s="2" t="str">
        <f t="shared" si="57"/>
        <v/>
      </c>
      <c r="Y107" s="35" t="str">
        <f t="shared" ca="1" si="52"/>
        <v/>
      </c>
      <c r="Z107" s="36" t="str">
        <f t="shared" ca="1" si="53"/>
        <v/>
      </c>
      <c r="AA107" s="70" t="str">
        <f t="shared" si="54"/>
        <v/>
      </c>
      <c r="AB107" s="2"/>
      <c r="AC107" s="94" t="str">
        <f t="shared" si="58"/>
        <v/>
      </c>
      <c r="AD107" s="95" t="str">
        <f t="shared" si="59"/>
        <v/>
      </c>
      <c r="AE107" s="96" t="str">
        <f t="shared" si="60"/>
        <v/>
      </c>
      <c r="AF107" s="124" t="str">
        <f t="shared" si="61"/>
        <v/>
      </c>
      <c r="AG107" s="2"/>
      <c r="AH107" s="2"/>
      <c r="AI107" s="2"/>
      <c r="AJ107" s="2"/>
      <c r="AK107" s="2"/>
      <c r="AL107" s="2"/>
    </row>
    <row r="108" spans="1:38" x14ac:dyDescent="0.2">
      <c r="A108" s="45"/>
      <c r="B108" s="43" t="str">
        <f t="shared" si="40"/>
        <v/>
      </c>
      <c r="C108" s="96" t="str">
        <f t="shared" si="63"/>
        <v/>
      </c>
      <c r="D108" s="44" t="str">
        <f t="shared" si="41"/>
        <v/>
      </c>
      <c r="E108" s="52"/>
      <c r="F108" s="63" t="str">
        <f t="shared" si="42"/>
        <v/>
      </c>
      <c r="G108" s="56" t="str">
        <f t="shared" si="43"/>
        <v/>
      </c>
      <c r="H108" s="42"/>
      <c r="I108" s="2" t="str">
        <f t="shared" si="44"/>
        <v/>
      </c>
      <c r="J108" s="54" t="str">
        <f t="shared" si="55"/>
        <v/>
      </c>
      <c r="K108" s="55" t="str">
        <f t="shared" si="45"/>
        <v/>
      </c>
      <c r="L108" s="63" t="str">
        <f t="shared" si="46"/>
        <v/>
      </c>
      <c r="M108" s="96" t="str">
        <f t="shared" si="56"/>
        <v/>
      </c>
      <c r="N108" s="96" t="str">
        <f>IF(A108="","",IF(A108=Expiry,0,EXP(-q*Q108)*_xlfn.NORM.S.DIST(Y108,0)/(sigma*SQRT(Q108))*I108*Mult/100))</f>
        <v/>
      </c>
      <c r="O108" s="96" t="str">
        <f>IF(A108="","",IF(A108=Expiry,0,D108*E108*E108*EXP(-q*Q108)*_xlfn.NORM.S.DIST(Y108,0)*SQRT(Q108)/100))</f>
        <v/>
      </c>
      <c r="P108" s="69" t="str">
        <f>IF(A108="","",IF(A108=Expiry,0,AK108*I108*Mult*((-EXP(-q*Q108)*E108*_xlfn.NORM.S.DIST(Y108,0)*sigma/(2*SQRT(Q108))-r_dom*K*EXP(-r_dom*Q108)*_xlfn.NORM.S.DIST(Z108,1)+q*E108*EXP(-q*Q108)*_xlfn.NORM.S.DIST(Y108,1))/365)))</f>
        <v/>
      </c>
      <c r="Q108" s="83" t="str">
        <f t="shared" si="47"/>
        <v/>
      </c>
      <c r="R108" s="38"/>
      <c r="S108" s="68" t="str">
        <f t="shared" si="48"/>
        <v/>
      </c>
      <c r="T108" s="69" t="str">
        <f t="shared" si="49"/>
        <v/>
      </c>
      <c r="U108" s="70" t="str">
        <f t="shared" si="50"/>
        <v/>
      </c>
      <c r="V108" s="72" t="str">
        <f t="shared" si="51"/>
        <v/>
      </c>
      <c r="W108" s="2" t="str">
        <f t="shared" si="62"/>
        <v/>
      </c>
      <c r="X108" s="2" t="str">
        <f t="shared" si="57"/>
        <v/>
      </c>
      <c r="Y108" s="35" t="str">
        <f t="shared" ca="1" si="52"/>
        <v/>
      </c>
      <c r="Z108" s="36" t="str">
        <f t="shared" ca="1" si="53"/>
        <v/>
      </c>
      <c r="AA108" s="70" t="str">
        <f t="shared" si="54"/>
        <v/>
      </c>
      <c r="AB108" s="2"/>
      <c r="AC108" s="94" t="str">
        <f t="shared" si="58"/>
        <v/>
      </c>
      <c r="AD108" s="95" t="str">
        <f t="shared" si="59"/>
        <v/>
      </c>
      <c r="AE108" s="96" t="str">
        <f t="shared" si="60"/>
        <v/>
      </c>
      <c r="AF108" s="124" t="str">
        <f t="shared" si="61"/>
        <v/>
      </c>
      <c r="AG108" s="2"/>
      <c r="AH108" s="2"/>
      <c r="AI108" s="2"/>
      <c r="AJ108" s="2"/>
      <c r="AK108" s="2"/>
      <c r="AL108" s="2"/>
    </row>
    <row r="109" spans="1:38" x14ac:dyDescent="0.2">
      <c r="A109" s="45"/>
      <c r="B109" s="43" t="str">
        <f t="shared" si="40"/>
        <v/>
      </c>
      <c r="C109" s="96" t="str">
        <f t="shared" si="63"/>
        <v/>
      </c>
      <c r="D109" s="44" t="str">
        <f t="shared" si="41"/>
        <v/>
      </c>
      <c r="E109" s="52"/>
      <c r="F109" s="63" t="str">
        <f t="shared" si="42"/>
        <v/>
      </c>
      <c r="G109" s="56" t="str">
        <f t="shared" si="43"/>
        <v/>
      </c>
      <c r="H109" s="42"/>
      <c r="I109" s="2" t="str">
        <f t="shared" si="44"/>
        <v/>
      </c>
      <c r="J109" s="54" t="str">
        <f t="shared" si="55"/>
        <v/>
      </c>
      <c r="K109" s="55" t="str">
        <f t="shared" si="45"/>
        <v/>
      </c>
      <c r="L109" s="63" t="str">
        <f t="shared" si="46"/>
        <v/>
      </c>
      <c r="M109" s="96" t="str">
        <f t="shared" si="56"/>
        <v/>
      </c>
      <c r="N109" s="96" t="str">
        <f>IF(A109="","",IF(A109=Expiry,0,EXP(-q*Q109)*_xlfn.NORM.S.DIST(Y109,0)/(sigma*SQRT(Q109))*I109*Mult/100))</f>
        <v/>
      </c>
      <c r="O109" s="96" t="str">
        <f>IF(A109="","",IF(A109=Expiry,0,D109*E109*E109*EXP(-q*Q109)*_xlfn.NORM.S.DIST(Y109,0)*SQRT(Q109)/100))</f>
        <v/>
      </c>
      <c r="P109" s="69" t="str">
        <f>IF(A109="","",IF(A109=Expiry,0,AK109*I109*Mult*((-EXP(-q*Q109)*E109*_xlfn.NORM.S.DIST(Y109,0)*sigma/(2*SQRT(Q109))-r_dom*K*EXP(-r_dom*Q109)*_xlfn.NORM.S.DIST(Z109,1)+q*E109*EXP(-q*Q109)*_xlfn.NORM.S.DIST(Y109,1))/365)))</f>
        <v/>
      </c>
      <c r="Q109" s="83" t="str">
        <f t="shared" si="47"/>
        <v/>
      </c>
      <c r="R109" s="38"/>
      <c r="S109" s="68" t="str">
        <f t="shared" si="48"/>
        <v/>
      </c>
      <c r="T109" s="69" t="str">
        <f t="shared" si="49"/>
        <v/>
      </c>
      <c r="U109" s="70" t="str">
        <f t="shared" si="50"/>
        <v/>
      </c>
      <c r="V109" s="72" t="str">
        <f t="shared" si="51"/>
        <v/>
      </c>
      <c r="W109" s="2" t="str">
        <f t="shared" si="62"/>
        <v/>
      </c>
      <c r="X109" s="2" t="str">
        <f t="shared" si="57"/>
        <v/>
      </c>
      <c r="Y109" s="35" t="str">
        <f t="shared" ca="1" si="52"/>
        <v/>
      </c>
      <c r="Z109" s="36" t="str">
        <f t="shared" ca="1" si="53"/>
        <v/>
      </c>
      <c r="AA109" s="70" t="str">
        <f t="shared" si="54"/>
        <v/>
      </c>
      <c r="AB109" s="2"/>
      <c r="AC109" s="94" t="str">
        <f t="shared" si="58"/>
        <v/>
      </c>
      <c r="AD109" s="95" t="str">
        <f t="shared" si="59"/>
        <v/>
      </c>
      <c r="AE109" s="96" t="str">
        <f t="shared" si="60"/>
        <v/>
      </c>
      <c r="AF109" s="124" t="str">
        <f t="shared" si="61"/>
        <v/>
      </c>
      <c r="AG109" s="2"/>
      <c r="AH109" s="2"/>
      <c r="AI109" s="2"/>
      <c r="AJ109" s="2"/>
      <c r="AK109" s="2"/>
      <c r="AL109" s="2"/>
    </row>
    <row r="110" spans="1:38" x14ac:dyDescent="0.2">
      <c r="A110" s="45"/>
      <c r="B110" s="43" t="str">
        <f t="shared" si="40"/>
        <v/>
      </c>
      <c r="C110" s="96" t="str">
        <f t="shared" si="63"/>
        <v/>
      </c>
      <c r="D110" s="44" t="str">
        <f t="shared" si="41"/>
        <v/>
      </c>
      <c r="E110" s="52"/>
      <c r="F110" s="63" t="str">
        <f t="shared" si="42"/>
        <v/>
      </c>
      <c r="G110" s="56" t="str">
        <f t="shared" si="43"/>
        <v/>
      </c>
      <c r="H110" s="42"/>
      <c r="I110" s="2" t="str">
        <f t="shared" si="44"/>
        <v/>
      </c>
      <c r="J110" s="54" t="str">
        <f t="shared" si="55"/>
        <v/>
      </c>
      <c r="K110" s="55" t="str">
        <f t="shared" si="45"/>
        <v/>
      </c>
      <c r="L110" s="63" t="str">
        <f t="shared" si="46"/>
        <v/>
      </c>
      <c r="M110" s="96" t="str">
        <f t="shared" si="56"/>
        <v/>
      </c>
      <c r="N110" s="96" t="str">
        <f>IF(A110="","",IF(A110=Expiry,0,EXP(-q*Q110)*_xlfn.NORM.S.DIST(Y110,0)/(sigma*SQRT(Q110))*I110*Mult/100))</f>
        <v/>
      </c>
      <c r="O110" s="96" t="str">
        <f>IF(A110="","",IF(A110=Expiry,0,D110*E110*E110*EXP(-q*Q110)*_xlfn.NORM.S.DIST(Y110,0)*SQRT(Q110)/100))</f>
        <v/>
      </c>
      <c r="P110" s="69" t="str">
        <f>IF(A110="","",IF(A110=Expiry,0,AK110*I110*Mult*((-EXP(-q*Q110)*E110*_xlfn.NORM.S.DIST(Y110,0)*sigma/(2*SQRT(Q110))-r_dom*K*EXP(-r_dom*Q110)*_xlfn.NORM.S.DIST(Z110,1)+q*E110*EXP(-q*Q110)*_xlfn.NORM.S.DIST(Y110,1))/365)))</f>
        <v/>
      </c>
      <c r="Q110" s="83" t="str">
        <f t="shared" si="47"/>
        <v/>
      </c>
      <c r="R110" s="38"/>
      <c r="S110" s="68" t="str">
        <f t="shared" si="48"/>
        <v/>
      </c>
      <c r="T110" s="69" t="str">
        <f t="shared" si="49"/>
        <v/>
      </c>
      <c r="U110" s="70" t="str">
        <f t="shared" si="50"/>
        <v/>
      </c>
      <c r="V110" s="72" t="str">
        <f t="shared" si="51"/>
        <v/>
      </c>
      <c r="W110" s="2" t="str">
        <f t="shared" si="62"/>
        <v/>
      </c>
      <c r="X110" s="2" t="str">
        <f t="shared" si="57"/>
        <v/>
      </c>
      <c r="Y110" s="35" t="str">
        <f t="shared" ca="1" si="52"/>
        <v/>
      </c>
      <c r="Z110" s="36" t="str">
        <f t="shared" ca="1" si="53"/>
        <v/>
      </c>
      <c r="AA110" s="70" t="str">
        <f t="shared" si="54"/>
        <v/>
      </c>
      <c r="AB110" s="2"/>
      <c r="AC110" s="94" t="str">
        <f t="shared" si="58"/>
        <v/>
      </c>
      <c r="AD110" s="95" t="str">
        <f t="shared" si="59"/>
        <v/>
      </c>
      <c r="AE110" s="96" t="str">
        <f t="shared" si="60"/>
        <v/>
      </c>
      <c r="AF110" s="124" t="str">
        <f t="shared" si="61"/>
        <v/>
      </c>
      <c r="AG110" s="2"/>
      <c r="AH110" s="2"/>
      <c r="AI110" s="2"/>
      <c r="AJ110" s="2"/>
      <c r="AK110" s="2"/>
      <c r="AL110" s="2"/>
    </row>
    <row r="111" spans="1:38" x14ac:dyDescent="0.2">
      <c r="A111" s="45"/>
      <c r="B111" s="43" t="str">
        <f t="shared" si="40"/>
        <v/>
      </c>
      <c r="C111" s="96" t="str">
        <f t="shared" si="63"/>
        <v/>
      </c>
      <c r="D111" s="44" t="str">
        <f t="shared" si="41"/>
        <v/>
      </c>
      <c r="E111" s="52"/>
      <c r="F111" s="63" t="str">
        <f t="shared" si="42"/>
        <v/>
      </c>
      <c r="G111" s="56" t="str">
        <f t="shared" si="43"/>
        <v/>
      </c>
      <c r="H111" s="42"/>
      <c r="I111" s="2" t="str">
        <f t="shared" si="44"/>
        <v/>
      </c>
      <c r="J111" s="54" t="str">
        <f t="shared" si="55"/>
        <v/>
      </c>
      <c r="K111" s="55" t="str">
        <f t="shared" si="45"/>
        <v/>
      </c>
      <c r="L111" s="63" t="str">
        <f t="shared" si="46"/>
        <v/>
      </c>
      <c r="M111" s="96" t="str">
        <f t="shared" si="56"/>
        <v/>
      </c>
      <c r="N111" s="96" t="str">
        <f>IF(A111="","",IF(A111=Expiry,0,EXP(-q*Q111)*_xlfn.NORM.S.DIST(Y111,0)/(sigma*SQRT(Q111))*I111*Mult/100))</f>
        <v/>
      </c>
      <c r="O111" s="96" t="str">
        <f>IF(A111="","",IF(A111=Expiry,0,D111*E111*E111*EXP(-q*Q111)*_xlfn.NORM.S.DIST(Y111,0)*SQRT(Q111)/100))</f>
        <v/>
      </c>
      <c r="P111" s="69" t="str">
        <f>IF(A111="","",IF(A111=Expiry,0,AK111*I111*Mult*((-EXP(-q*Q111)*E111*_xlfn.NORM.S.DIST(Y111,0)*sigma/(2*SQRT(Q111))-r_dom*K*EXP(-r_dom*Q111)*_xlfn.NORM.S.DIST(Z111,1)+q*E111*EXP(-q*Q111)*_xlfn.NORM.S.DIST(Y111,1))/365)))</f>
        <v/>
      </c>
      <c r="Q111" s="83" t="str">
        <f t="shared" si="47"/>
        <v/>
      </c>
      <c r="R111" s="38"/>
      <c r="S111" s="68" t="str">
        <f t="shared" si="48"/>
        <v/>
      </c>
      <c r="T111" s="69" t="str">
        <f t="shared" si="49"/>
        <v/>
      </c>
      <c r="U111" s="70" t="str">
        <f t="shared" si="50"/>
        <v/>
      </c>
      <c r="V111" s="72" t="str">
        <f t="shared" si="51"/>
        <v/>
      </c>
      <c r="W111" s="2" t="str">
        <f t="shared" si="62"/>
        <v/>
      </c>
      <c r="X111" s="2" t="str">
        <f t="shared" si="57"/>
        <v/>
      </c>
      <c r="Y111" s="35" t="str">
        <f t="shared" ca="1" si="52"/>
        <v/>
      </c>
      <c r="Z111" s="36" t="str">
        <f t="shared" ca="1" si="53"/>
        <v/>
      </c>
      <c r="AA111" s="70" t="str">
        <f t="shared" si="54"/>
        <v/>
      </c>
      <c r="AB111" s="2"/>
      <c r="AC111" s="94" t="str">
        <f t="shared" si="58"/>
        <v/>
      </c>
      <c r="AD111" s="95" t="str">
        <f t="shared" si="59"/>
        <v/>
      </c>
      <c r="AE111" s="96" t="str">
        <f t="shared" si="60"/>
        <v/>
      </c>
      <c r="AF111" s="124" t="str">
        <f t="shared" si="61"/>
        <v/>
      </c>
      <c r="AG111" s="2"/>
      <c r="AH111" s="2"/>
      <c r="AI111" s="2"/>
      <c r="AJ111" s="2"/>
      <c r="AK111" s="2"/>
      <c r="AL111" s="2"/>
    </row>
    <row r="112" spans="1:38" x14ac:dyDescent="0.2">
      <c r="A112" s="45"/>
      <c r="B112" s="43" t="str">
        <f t="shared" si="40"/>
        <v/>
      </c>
      <c r="C112" s="96" t="str">
        <f t="shared" si="63"/>
        <v/>
      </c>
      <c r="D112" s="44" t="str">
        <f t="shared" si="41"/>
        <v/>
      </c>
      <c r="E112" s="52"/>
      <c r="F112" s="63" t="str">
        <f t="shared" si="42"/>
        <v/>
      </c>
      <c r="G112" s="56" t="str">
        <f t="shared" si="43"/>
        <v/>
      </c>
      <c r="H112" s="42"/>
      <c r="I112" s="2" t="str">
        <f t="shared" si="44"/>
        <v/>
      </c>
      <c r="J112" s="54" t="str">
        <f t="shared" si="55"/>
        <v/>
      </c>
      <c r="K112" s="55" t="str">
        <f t="shared" si="45"/>
        <v/>
      </c>
      <c r="L112" s="63" t="str">
        <f t="shared" si="46"/>
        <v/>
      </c>
      <c r="M112" s="96" t="str">
        <f t="shared" si="56"/>
        <v/>
      </c>
      <c r="N112" s="96" t="str">
        <f>IF(A112="","",IF(A112=Expiry,0,EXP(-q*Q112)*_xlfn.NORM.S.DIST(Y112,0)/(sigma*SQRT(Q112))*I112*Mult/100))</f>
        <v/>
      </c>
      <c r="O112" s="96" t="str">
        <f>IF(A112="","",IF(A112=Expiry,0,D112*E112*E112*EXP(-q*Q112)*_xlfn.NORM.S.DIST(Y112,0)*SQRT(Q112)/100))</f>
        <v/>
      </c>
      <c r="P112" s="69" t="str">
        <f>IF(A112="","",IF(A112=Expiry,0,AK112*I112*Mult*((-EXP(-q*Q112)*E112*_xlfn.NORM.S.DIST(Y112,0)*sigma/(2*SQRT(Q112))-r_dom*K*EXP(-r_dom*Q112)*_xlfn.NORM.S.DIST(Z112,1)+q*E112*EXP(-q*Q112)*_xlfn.NORM.S.DIST(Y112,1))/365)))</f>
        <v/>
      </c>
      <c r="Q112" s="83" t="str">
        <f t="shared" si="47"/>
        <v/>
      </c>
      <c r="R112" s="38"/>
      <c r="S112" s="68" t="str">
        <f t="shared" si="48"/>
        <v/>
      </c>
      <c r="T112" s="69" t="str">
        <f t="shared" si="49"/>
        <v/>
      </c>
      <c r="U112" s="70" t="str">
        <f t="shared" si="50"/>
        <v/>
      </c>
      <c r="V112" s="72" t="str">
        <f t="shared" si="51"/>
        <v/>
      </c>
      <c r="W112" s="2" t="str">
        <f t="shared" si="62"/>
        <v/>
      </c>
      <c r="X112" s="2" t="str">
        <f t="shared" si="57"/>
        <v/>
      </c>
      <c r="Y112" s="35" t="str">
        <f t="shared" ca="1" si="52"/>
        <v/>
      </c>
      <c r="Z112" s="36" t="str">
        <f t="shared" ca="1" si="53"/>
        <v/>
      </c>
      <c r="AA112" s="70" t="str">
        <f t="shared" si="54"/>
        <v/>
      </c>
      <c r="AB112" s="2"/>
      <c r="AC112" s="94" t="str">
        <f t="shared" si="58"/>
        <v/>
      </c>
      <c r="AD112" s="95" t="str">
        <f t="shared" si="59"/>
        <v/>
      </c>
      <c r="AE112" s="96" t="str">
        <f t="shared" si="60"/>
        <v/>
      </c>
      <c r="AF112" s="124" t="str">
        <f t="shared" si="61"/>
        <v/>
      </c>
      <c r="AG112" s="2"/>
      <c r="AH112" s="2"/>
      <c r="AI112" s="2"/>
      <c r="AJ112" s="2"/>
      <c r="AK112" s="2"/>
      <c r="AL112" s="2"/>
    </row>
    <row r="113" spans="1:38" x14ac:dyDescent="0.2">
      <c r="A113" s="45"/>
      <c r="B113" s="43" t="str">
        <f t="shared" si="40"/>
        <v/>
      </c>
      <c r="C113" s="96" t="str">
        <f t="shared" si="63"/>
        <v/>
      </c>
      <c r="D113" s="44" t="str">
        <f t="shared" si="41"/>
        <v/>
      </c>
      <c r="E113" s="52"/>
      <c r="F113" s="63" t="str">
        <f t="shared" si="42"/>
        <v/>
      </c>
      <c r="G113" s="56" t="str">
        <f t="shared" si="43"/>
        <v/>
      </c>
      <c r="H113" s="42"/>
      <c r="I113" s="2" t="str">
        <f t="shared" si="44"/>
        <v/>
      </c>
      <c r="J113" s="54" t="str">
        <f t="shared" si="55"/>
        <v/>
      </c>
      <c r="K113" s="55" t="str">
        <f t="shared" si="45"/>
        <v/>
      </c>
      <c r="L113" s="63" t="str">
        <f t="shared" si="46"/>
        <v/>
      </c>
      <c r="M113" s="96" t="str">
        <f t="shared" si="56"/>
        <v/>
      </c>
      <c r="N113" s="96" t="str">
        <f>IF(A113="","",IF(A113=Expiry,0,EXP(-q*Q113)*_xlfn.NORM.S.DIST(Y113,0)/(sigma*SQRT(Q113))*I113*Mult/100))</f>
        <v/>
      </c>
      <c r="O113" s="96" t="str">
        <f>IF(A113="","",IF(A113=Expiry,0,D113*E113*E113*EXP(-q*Q113)*_xlfn.NORM.S.DIST(Y113,0)*SQRT(Q113)/100))</f>
        <v/>
      </c>
      <c r="P113" s="69" t="str">
        <f>IF(A113="","",IF(A113=Expiry,0,AK113*I113*Mult*((-EXP(-q*Q113)*E113*_xlfn.NORM.S.DIST(Y113,0)*sigma/(2*SQRT(Q113))-r_dom*K*EXP(-r_dom*Q113)*_xlfn.NORM.S.DIST(Z113,1)+q*E113*EXP(-q*Q113)*_xlfn.NORM.S.DIST(Y113,1))/365)))</f>
        <v/>
      </c>
      <c r="Q113" s="83" t="str">
        <f t="shared" si="47"/>
        <v/>
      </c>
      <c r="R113" s="38"/>
      <c r="S113" s="68" t="str">
        <f t="shared" si="48"/>
        <v/>
      </c>
      <c r="T113" s="69" t="str">
        <f t="shared" si="49"/>
        <v/>
      </c>
      <c r="U113" s="70" t="str">
        <f t="shared" si="50"/>
        <v/>
      </c>
      <c r="V113" s="72" t="str">
        <f t="shared" si="51"/>
        <v/>
      </c>
      <c r="W113" s="2" t="str">
        <f t="shared" si="62"/>
        <v/>
      </c>
      <c r="X113" s="2" t="str">
        <f t="shared" si="57"/>
        <v/>
      </c>
      <c r="Y113" s="35" t="str">
        <f t="shared" ca="1" si="52"/>
        <v/>
      </c>
      <c r="Z113" s="36" t="str">
        <f t="shared" ca="1" si="53"/>
        <v/>
      </c>
      <c r="AA113" s="70" t="str">
        <f t="shared" si="54"/>
        <v/>
      </c>
      <c r="AB113" s="2"/>
      <c r="AC113" s="94" t="str">
        <f t="shared" si="58"/>
        <v/>
      </c>
      <c r="AD113" s="95" t="str">
        <f t="shared" si="59"/>
        <v/>
      </c>
      <c r="AE113" s="96" t="str">
        <f t="shared" si="60"/>
        <v/>
      </c>
      <c r="AF113" s="124" t="str">
        <f t="shared" si="61"/>
        <v/>
      </c>
      <c r="AG113" s="2"/>
      <c r="AH113" s="2"/>
      <c r="AI113" s="2"/>
      <c r="AJ113" s="2"/>
      <c r="AK113" s="2"/>
      <c r="AL113" s="2"/>
    </row>
    <row r="114" spans="1:38" x14ac:dyDescent="0.2">
      <c r="A114" s="45"/>
      <c r="B114" s="43" t="str">
        <f t="shared" ref="B114:B177" si="64">IF(A114="","",-(M114+C113))</f>
        <v/>
      </c>
      <c r="C114" s="96" t="str">
        <f t="shared" si="63"/>
        <v/>
      </c>
      <c r="D114" s="44" t="str">
        <f t="shared" ref="D114:D177" si="65">IF(A114="","",C114*E114)</f>
        <v/>
      </c>
      <c r="E114" s="52"/>
      <c r="F114" s="63" t="str">
        <f t="shared" ref="F114:F177" si="66">IF(A114="","",C113*(E114-E113))</f>
        <v/>
      </c>
      <c r="G114" s="56" t="str">
        <f t="shared" ref="G114:G177" si="67">IF(H114="","",J114)</f>
        <v/>
      </c>
      <c r="H114" s="42"/>
      <c r="I114" s="2" t="str">
        <f t="shared" ref="I114:I177" si="68">IF(A114="","",I113+H114)</f>
        <v/>
      </c>
      <c r="J114" s="54" t="str">
        <f t="shared" si="55"/>
        <v/>
      </c>
      <c r="K114" s="55" t="str">
        <f t="shared" ref="K114:K177" si="69">IF(I114="","",I114*Mult*J114)</f>
        <v/>
      </c>
      <c r="L114" s="63" t="str">
        <f t="shared" ref="L114:L177" si="70">IF(A114="","",Mult*(IFERROR(0,H114*(G114-J114))+(I114-H114)*(J114-J113)))</f>
        <v/>
      </c>
      <c r="M114" s="96" t="str">
        <f t="shared" si="56"/>
        <v/>
      </c>
      <c r="N114" s="96" t="str">
        <f>IF(A114="","",IF(A114=Expiry,0,EXP(-q*Q114)*_xlfn.NORM.S.DIST(Y114,0)/(sigma*SQRT(Q114))*I114*Mult/100))</f>
        <v/>
      </c>
      <c r="O114" s="96" t="str">
        <f>IF(A114="","",IF(A114=Expiry,0,D114*E114*E114*EXP(-q*Q114)*_xlfn.NORM.S.DIST(Y114,0)*SQRT(Q114)/100))</f>
        <v/>
      </c>
      <c r="P114" s="69" t="str">
        <f>IF(A114="","",IF(A114=Expiry,0,AK114*I114*Mult*((-EXP(-q*Q114)*E114*_xlfn.NORM.S.DIST(Y114,0)*sigma/(2*SQRT(Q114))-r_dom*K*EXP(-r_dom*Q114)*_xlfn.NORM.S.DIST(Z114,1)+q*E114*EXP(-q*Q114)*_xlfn.NORM.S.DIST(Y114,1))/365)))</f>
        <v/>
      </c>
      <c r="Q114" s="83" t="str">
        <f t="shared" ref="Q114:Q177" si="71">IF(A114="","",IF(OR(A114="",Expiry&lt;=A114),0,(Expiry-A114)/365))</f>
        <v/>
      </c>
      <c r="R114" s="38"/>
      <c r="S114" s="68" t="str">
        <f t="shared" ref="S114:S177" si="72">IF(A114="","",F114+L114)</f>
        <v/>
      </c>
      <c r="T114" s="69" t="str">
        <f t="shared" ref="T114:T177" si="73">IF(A114="","",T113+S114)</f>
        <v/>
      </c>
      <c r="U114" s="70" t="str">
        <f t="shared" ref="U114:U177" si="74">IF(A114="","",LN(T114/T113))</f>
        <v/>
      </c>
      <c r="V114" s="72" t="str">
        <f t="shared" ref="V114:V177" si="75">IF(A114="","",V113*EXP(U114))</f>
        <v/>
      </c>
      <c r="W114" s="2" t="str">
        <f t="shared" si="62"/>
        <v/>
      </c>
      <c r="X114" s="2" t="str">
        <f t="shared" si="57"/>
        <v/>
      </c>
      <c r="Y114" s="35" t="str">
        <f t="shared" ref="Y114:Y177" ca="1" si="76">IF(OR(A114="",A114=Expiry),"",((LN(E114/K)+(r_dom-q+sigma^2/2)*Q114))/(sigma*SQRT(Q114)))</f>
        <v/>
      </c>
      <c r="Z114" s="36" t="str">
        <f t="shared" ref="Z114:Z177" ca="1" si="77">IF(OR(A114="",A114=Expiry),"",Y114-sigma*SQRT(Q114))</f>
        <v/>
      </c>
      <c r="AA114" s="70" t="str">
        <f t="shared" ref="AA114:AA177" si="78">IF(A114="","",LN(E114/E113))</f>
        <v/>
      </c>
      <c r="AB114" s="2"/>
      <c r="AC114" s="94" t="str">
        <f t="shared" si="58"/>
        <v/>
      </c>
      <c r="AD114" s="95" t="str">
        <f t="shared" si="59"/>
        <v/>
      </c>
      <c r="AE114" s="96" t="str">
        <f t="shared" si="60"/>
        <v/>
      </c>
      <c r="AF114" s="124" t="str">
        <f t="shared" si="61"/>
        <v/>
      </c>
      <c r="AG114" s="2"/>
      <c r="AH114" s="2"/>
      <c r="AI114" s="2"/>
      <c r="AJ114" s="2"/>
      <c r="AK114" s="2"/>
      <c r="AL114" s="2"/>
    </row>
    <row r="115" spans="1:38" x14ac:dyDescent="0.2">
      <c r="A115" s="45"/>
      <c r="B115" s="43" t="str">
        <f t="shared" si="64"/>
        <v/>
      </c>
      <c r="C115" s="96" t="str">
        <f t="shared" si="63"/>
        <v/>
      </c>
      <c r="D115" s="44" t="str">
        <f t="shared" si="65"/>
        <v/>
      </c>
      <c r="E115" s="52"/>
      <c r="F115" s="63" t="str">
        <f t="shared" si="66"/>
        <v/>
      </c>
      <c r="G115" s="56" t="str">
        <f t="shared" si="67"/>
        <v/>
      </c>
      <c r="H115" s="42"/>
      <c r="I115" s="2" t="str">
        <f t="shared" si="68"/>
        <v/>
      </c>
      <c r="J115" s="54" t="str">
        <f t="shared" si="55"/>
        <v/>
      </c>
      <c r="K115" s="55" t="str">
        <f t="shared" si="69"/>
        <v/>
      </c>
      <c r="L115" s="63" t="str">
        <f t="shared" si="70"/>
        <v/>
      </c>
      <c r="M115" s="96" t="str">
        <f t="shared" si="56"/>
        <v/>
      </c>
      <c r="N115" s="96" t="str">
        <f>IF(A115="","",IF(A115=Expiry,0,EXP(-q*Q115)*_xlfn.NORM.S.DIST(Y115,0)/(sigma*SQRT(Q115))*I115*Mult/100))</f>
        <v/>
      </c>
      <c r="O115" s="96" t="str">
        <f>IF(A115="","",IF(A115=Expiry,0,D115*E115*E115*EXP(-q*Q115)*_xlfn.NORM.S.DIST(Y115,0)*SQRT(Q115)/100))</f>
        <v/>
      </c>
      <c r="P115" s="69" t="str">
        <f>IF(A115="","",IF(A115=Expiry,0,AK115*I115*Mult*((-EXP(-q*Q115)*E115*_xlfn.NORM.S.DIST(Y115,0)*sigma/(2*SQRT(Q115))-r_dom*K*EXP(-r_dom*Q115)*_xlfn.NORM.S.DIST(Z115,1)+q*E115*EXP(-q*Q115)*_xlfn.NORM.S.DIST(Y115,1))/365)))</f>
        <v/>
      </c>
      <c r="Q115" s="83" t="str">
        <f t="shared" si="71"/>
        <v/>
      </c>
      <c r="R115" s="38"/>
      <c r="S115" s="68" t="str">
        <f t="shared" si="72"/>
        <v/>
      </c>
      <c r="T115" s="69" t="str">
        <f t="shared" si="73"/>
        <v/>
      </c>
      <c r="U115" s="70" t="str">
        <f t="shared" si="74"/>
        <v/>
      </c>
      <c r="V115" s="72" t="str">
        <f t="shared" si="75"/>
        <v/>
      </c>
      <c r="W115" s="2" t="str">
        <f t="shared" si="62"/>
        <v/>
      </c>
      <c r="X115" s="2" t="str">
        <f t="shared" si="57"/>
        <v/>
      </c>
      <c r="Y115" s="35" t="str">
        <f t="shared" ca="1" si="76"/>
        <v/>
      </c>
      <c r="Z115" s="36" t="str">
        <f t="shared" ca="1" si="77"/>
        <v/>
      </c>
      <c r="AA115" s="70" t="str">
        <f t="shared" si="78"/>
        <v/>
      </c>
      <c r="AB115" s="2"/>
      <c r="AC115" s="94" t="str">
        <f t="shared" si="58"/>
        <v/>
      </c>
      <c r="AD115" s="95" t="str">
        <f t="shared" si="59"/>
        <v/>
      </c>
      <c r="AE115" s="96" t="str">
        <f t="shared" si="60"/>
        <v/>
      </c>
      <c r="AF115" s="124" t="str">
        <f t="shared" si="61"/>
        <v/>
      </c>
      <c r="AG115" s="2"/>
      <c r="AH115" s="2"/>
      <c r="AI115" s="2"/>
      <c r="AJ115" s="2"/>
      <c r="AK115" s="2"/>
      <c r="AL115" s="2"/>
    </row>
    <row r="116" spans="1:38" x14ac:dyDescent="0.2">
      <c r="A116" s="45"/>
      <c r="B116" s="43" t="str">
        <f t="shared" si="64"/>
        <v/>
      </c>
      <c r="C116" s="96" t="str">
        <f t="shared" si="63"/>
        <v/>
      </c>
      <c r="D116" s="44" t="str">
        <f t="shared" si="65"/>
        <v/>
      </c>
      <c r="E116" s="52"/>
      <c r="F116" s="63" t="str">
        <f t="shared" si="66"/>
        <v/>
      </c>
      <c r="G116" s="56" t="str">
        <f t="shared" si="67"/>
        <v/>
      </c>
      <c r="H116" s="42"/>
      <c r="I116" s="2" t="str">
        <f t="shared" si="68"/>
        <v/>
      </c>
      <c r="J116" s="54" t="str">
        <f t="shared" si="55"/>
        <v/>
      </c>
      <c r="K116" s="55" t="str">
        <f t="shared" si="69"/>
        <v/>
      </c>
      <c r="L116" s="63" t="str">
        <f t="shared" si="70"/>
        <v/>
      </c>
      <c r="M116" s="96" t="str">
        <f t="shared" si="56"/>
        <v/>
      </c>
      <c r="N116" s="96" t="str">
        <f>IF(A116="","",IF(A116=Expiry,0,EXP(-q*Q116)*_xlfn.NORM.S.DIST(Y116,0)/(sigma*SQRT(Q116))*I116*Mult/100))</f>
        <v/>
      </c>
      <c r="O116" s="96" t="str">
        <f>IF(A116="","",IF(A116=Expiry,0,D116*E116*E116*EXP(-q*Q116)*_xlfn.NORM.S.DIST(Y116,0)*SQRT(Q116)/100))</f>
        <v/>
      </c>
      <c r="P116" s="69" t="str">
        <f>IF(A116="","",IF(A116=Expiry,0,AK116*I116*Mult*((-EXP(-q*Q116)*E116*_xlfn.NORM.S.DIST(Y116,0)*sigma/(2*SQRT(Q116))-r_dom*K*EXP(-r_dom*Q116)*_xlfn.NORM.S.DIST(Z116,1)+q*E116*EXP(-q*Q116)*_xlfn.NORM.S.DIST(Y116,1))/365)))</f>
        <v/>
      </c>
      <c r="Q116" s="83" t="str">
        <f t="shared" si="71"/>
        <v/>
      </c>
      <c r="R116" s="38"/>
      <c r="S116" s="68" t="str">
        <f t="shared" si="72"/>
        <v/>
      </c>
      <c r="T116" s="69" t="str">
        <f t="shared" si="73"/>
        <v/>
      </c>
      <c r="U116" s="70" t="str">
        <f t="shared" si="74"/>
        <v/>
      </c>
      <c r="V116" s="72" t="str">
        <f t="shared" si="75"/>
        <v/>
      </c>
      <c r="W116" s="2" t="str">
        <f t="shared" si="62"/>
        <v/>
      </c>
      <c r="X116" s="2" t="str">
        <f t="shared" si="57"/>
        <v/>
      </c>
      <c r="Y116" s="35" t="str">
        <f t="shared" ca="1" si="76"/>
        <v/>
      </c>
      <c r="Z116" s="36" t="str">
        <f t="shared" ca="1" si="77"/>
        <v/>
      </c>
      <c r="AA116" s="70" t="str">
        <f t="shared" si="78"/>
        <v/>
      </c>
      <c r="AB116" s="2"/>
      <c r="AC116" s="94" t="str">
        <f t="shared" si="58"/>
        <v/>
      </c>
      <c r="AD116" s="95" t="str">
        <f t="shared" si="59"/>
        <v/>
      </c>
      <c r="AE116" s="96" t="str">
        <f t="shared" si="60"/>
        <v/>
      </c>
      <c r="AF116" s="124" t="str">
        <f t="shared" si="61"/>
        <v/>
      </c>
      <c r="AG116" s="2"/>
      <c r="AH116" s="2"/>
      <c r="AI116" s="2"/>
      <c r="AJ116" s="2"/>
      <c r="AK116" s="2"/>
      <c r="AL116" s="2"/>
    </row>
    <row r="117" spans="1:38" x14ac:dyDescent="0.2">
      <c r="A117" s="45"/>
      <c r="B117" s="43" t="str">
        <f t="shared" si="64"/>
        <v/>
      </c>
      <c r="C117" s="96" t="str">
        <f t="shared" si="63"/>
        <v/>
      </c>
      <c r="D117" s="44" t="str">
        <f t="shared" si="65"/>
        <v/>
      </c>
      <c r="E117" s="52"/>
      <c r="F117" s="63" t="str">
        <f t="shared" si="66"/>
        <v/>
      </c>
      <c r="G117" s="56" t="str">
        <f t="shared" si="67"/>
        <v/>
      </c>
      <c r="H117" s="42"/>
      <c r="I117" s="2" t="str">
        <f t="shared" si="68"/>
        <v/>
      </c>
      <c r="J117" s="54" t="str">
        <f t="shared" si="55"/>
        <v/>
      </c>
      <c r="K117" s="55" t="str">
        <f t="shared" si="69"/>
        <v/>
      </c>
      <c r="L117" s="63" t="str">
        <f t="shared" si="70"/>
        <v/>
      </c>
      <c r="M117" s="96" t="str">
        <f t="shared" si="56"/>
        <v/>
      </c>
      <c r="N117" s="96" t="str">
        <f>IF(A117="","",IF(A117=Expiry,0,EXP(-q*Q117)*_xlfn.NORM.S.DIST(Y117,0)/(sigma*SQRT(Q117))*I117*Mult/100))</f>
        <v/>
      </c>
      <c r="O117" s="96" t="str">
        <f>IF(A117="","",IF(A117=Expiry,0,D117*E117*E117*EXP(-q*Q117)*_xlfn.NORM.S.DIST(Y117,0)*SQRT(Q117)/100))</f>
        <v/>
      </c>
      <c r="P117" s="69" t="str">
        <f>IF(A117="","",IF(A117=Expiry,0,AK117*I117*Mult*((-EXP(-q*Q117)*E117*_xlfn.NORM.S.DIST(Y117,0)*sigma/(2*SQRT(Q117))-r_dom*K*EXP(-r_dom*Q117)*_xlfn.NORM.S.DIST(Z117,1)+q*E117*EXP(-q*Q117)*_xlfn.NORM.S.DIST(Y117,1))/365)))</f>
        <v/>
      </c>
      <c r="Q117" s="83" t="str">
        <f t="shared" si="71"/>
        <v/>
      </c>
      <c r="R117" s="38"/>
      <c r="S117" s="68" t="str">
        <f t="shared" si="72"/>
        <v/>
      </c>
      <c r="T117" s="69" t="str">
        <f t="shared" si="73"/>
        <v/>
      </c>
      <c r="U117" s="70" t="str">
        <f t="shared" si="74"/>
        <v/>
      </c>
      <c r="V117" s="72" t="str">
        <f t="shared" si="75"/>
        <v/>
      </c>
      <c r="W117" s="2" t="str">
        <f t="shared" si="62"/>
        <v/>
      </c>
      <c r="X117" s="2" t="str">
        <f t="shared" si="57"/>
        <v/>
      </c>
      <c r="Y117" s="35" t="str">
        <f t="shared" ca="1" si="76"/>
        <v/>
      </c>
      <c r="Z117" s="36" t="str">
        <f t="shared" ca="1" si="77"/>
        <v/>
      </c>
      <c r="AA117" s="70" t="str">
        <f t="shared" si="78"/>
        <v/>
      </c>
      <c r="AB117" s="2"/>
      <c r="AC117" s="94" t="str">
        <f t="shared" si="58"/>
        <v/>
      </c>
      <c r="AD117" s="95" t="str">
        <f t="shared" si="59"/>
        <v/>
      </c>
      <c r="AE117" s="96" t="str">
        <f t="shared" si="60"/>
        <v/>
      </c>
      <c r="AF117" s="124" t="str">
        <f t="shared" si="61"/>
        <v/>
      </c>
      <c r="AG117" s="2"/>
      <c r="AH117" s="2"/>
      <c r="AI117" s="2"/>
      <c r="AJ117" s="2"/>
      <c r="AK117" s="2"/>
      <c r="AL117" s="2"/>
    </row>
    <row r="118" spans="1:38" x14ac:dyDescent="0.2">
      <c r="A118" s="45"/>
      <c r="B118" s="43" t="str">
        <f t="shared" si="64"/>
        <v/>
      </c>
      <c r="C118" s="96" t="str">
        <f t="shared" si="63"/>
        <v/>
      </c>
      <c r="D118" s="44" t="str">
        <f t="shared" si="65"/>
        <v/>
      </c>
      <c r="E118" s="52"/>
      <c r="F118" s="63" t="str">
        <f t="shared" si="66"/>
        <v/>
      </c>
      <c r="G118" s="56" t="str">
        <f t="shared" si="67"/>
        <v/>
      </c>
      <c r="H118" s="42"/>
      <c r="I118" s="2" t="str">
        <f t="shared" si="68"/>
        <v/>
      </c>
      <c r="J118" s="54" t="str">
        <f t="shared" si="55"/>
        <v/>
      </c>
      <c r="K118" s="55" t="str">
        <f t="shared" si="69"/>
        <v/>
      </c>
      <c r="L118" s="63" t="str">
        <f t="shared" si="70"/>
        <v/>
      </c>
      <c r="M118" s="96" t="str">
        <f t="shared" si="56"/>
        <v/>
      </c>
      <c r="N118" s="96" t="str">
        <f>IF(A118="","",IF(A118=Expiry,0,EXP(-q*Q118)*_xlfn.NORM.S.DIST(Y118,0)/(sigma*SQRT(Q118))*I118*Mult/100))</f>
        <v/>
      </c>
      <c r="O118" s="96" t="str">
        <f>IF(A118="","",IF(A118=Expiry,0,D118*E118*E118*EXP(-q*Q118)*_xlfn.NORM.S.DIST(Y118,0)*SQRT(Q118)/100))</f>
        <v/>
      </c>
      <c r="P118" s="69" t="str">
        <f>IF(A118="","",IF(A118=Expiry,0,AK118*I118*Mult*((-EXP(-q*Q118)*E118*_xlfn.NORM.S.DIST(Y118,0)*sigma/(2*SQRT(Q118))-r_dom*K*EXP(-r_dom*Q118)*_xlfn.NORM.S.DIST(Z118,1)+q*E118*EXP(-q*Q118)*_xlfn.NORM.S.DIST(Y118,1))/365)))</f>
        <v/>
      </c>
      <c r="Q118" s="83" t="str">
        <f t="shared" si="71"/>
        <v/>
      </c>
      <c r="R118" s="38"/>
      <c r="S118" s="68" t="str">
        <f t="shared" si="72"/>
        <v/>
      </c>
      <c r="T118" s="69" t="str">
        <f t="shared" si="73"/>
        <v/>
      </c>
      <c r="U118" s="70" t="str">
        <f t="shared" si="74"/>
        <v/>
      </c>
      <c r="V118" s="72" t="str">
        <f t="shared" si="75"/>
        <v/>
      </c>
      <c r="W118" s="2" t="str">
        <f t="shared" si="62"/>
        <v/>
      </c>
      <c r="X118" s="2" t="str">
        <f t="shared" si="57"/>
        <v/>
      </c>
      <c r="Y118" s="35" t="str">
        <f t="shared" ca="1" si="76"/>
        <v/>
      </c>
      <c r="Z118" s="36" t="str">
        <f t="shared" ca="1" si="77"/>
        <v/>
      </c>
      <c r="AA118" s="70" t="str">
        <f t="shared" si="78"/>
        <v/>
      </c>
      <c r="AB118" s="2"/>
      <c r="AC118" s="94" t="str">
        <f t="shared" si="58"/>
        <v/>
      </c>
      <c r="AD118" s="95" t="str">
        <f t="shared" si="59"/>
        <v/>
      </c>
      <c r="AE118" s="96" t="str">
        <f t="shared" si="60"/>
        <v/>
      </c>
      <c r="AF118" s="124" t="str">
        <f t="shared" si="61"/>
        <v/>
      </c>
      <c r="AG118" s="2"/>
      <c r="AH118" s="2"/>
      <c r="AI118" s="2"/>
      <c r="AJ118" s="2"/>
      <c r="AK118" s="2"/>
      <c r="AL118" s="2"/>
    </row>
    <row r="119" spans="1:38" x14ac:dyDescent="0.2">
      <c r="A119" s="45"/>
      <c r="B119" s="43" t="str">
        <f t="shared" si="64"/>
        <v/>
      </c>
      <c r="C119" s="96" t="str">
        <f t="shared" si="63"/>
        <v/>
      </c>
      <c r="D119" s="44" t="str">
        <f t="shared" si="65"/>
        <v/>
      </c>
      <c r="E119" s="52"/>
      <c r="F119" s="63" t="str">
        <f t="shared" si="66"/>
        <v/>
      </c>
      <c r="G119" s="56" t="str">
        <f t="shared" si="67"/>
        <v/>
      </c>
      <c r="H119" s="42"/>
      <c r="I119" s="2" t="str">
        <f t="shared" si="68"/>
        <v/>
      </c>
      <c r="J119" s="54" t="str">
        <f t="shared" si="55"/>
        <v/>
      </c>
      <c r="K119" s="55" t="str">
        <f t="shared" si="69"/>
        <v/>
      </c>
      <c r="L119" s="63" t="str">
        <f t="shared" si="70"/>
        <v/>
      </c>
      <c r="M119" s="96" t="str">
        <f t="shared" si="56"/>
        <v/>
      </c>
      <c r="N119" s="96" t="str">
        <f>IF(A119="","",IF(A119=Expiry,0,EXP(-q*Q119)*_xlfn.NORM.S.DIST(Y119,0)/(sigma*SQRT(Q119))*I119*Mult/100))</f>
        <v/>
      </c>
      <c r="O119" s="96" t="str">
        <f>IF(A119="","",IF(A119=Expiry,0,D119*E119*E119*EXP(-q*Q119)*_xlfn.NORM.S.DIST(Y119,0)*SQRT(Q119)/100))</f>
        <v/>
      </c>
      <c r="P119" s="69" t="str">
        <f>IF(A119="","",IF(A119=Expiry,0,AK119*I119*Mult*((-EXP(-q*Q119)*E119*_xlfn.NORM.S.DIST(Y119,0)*sigma/(2*SQRT(Q119))-r_dom*K*EXP(-r_dom*Q119)*_xlfn.NORM.S.DIST(Z119,1)+q*E119*EXP(-q*Q119)*_xlfn.NORM.S.DIST(Y119,1))/365)))</f>
        <v/>
      </c>
      <c r="Q119" s="83" t="str">
        <f t="shared" si="71"/>
        <v/>
      </c>
      <c r="R119" s="38"/>
      <c r="S119" s="68" t="str">
        <f t="shared" si="72"/>
        <v/>
      </c>
      <c r="T119" s="69" t="str">
        <f t="shared" si="73"/>
        <v/>
      </c>
      <c r="U119" s="70" t="str">
        <f t="shared" si="74"/>
        <v/>
      </c>
      <c r="V119" s="72" t="str">
        <f t="shared" si="75"/>
        <v/>
      </c>
      <c r="W119" s="2" t="str">
        <f t="shared" si="62"/>
        <v/>
      </c>
      <c r="X119" s="2" t="str">
        <f t="shared" si="57"/>
        <v/>
      </c>
      <c r="Y119" s="35" t="str">
        <f t="shared" ca="1" si="76"/>
        <v/>
      </c>
      <c r="Z119" s="36" t="str">
        <f t="shared" ca="1" si="77"/>
        <v/>
      </c>
      <c r="AA119" s="70" t="str">
        <f t="shared" si="78"/>
        <v/>
      </c>
      <c r="AB119" s="2"/>
      <c r="AC119" s="94" t="str">
        <f t="shared" si="58"/>
        <v/>
      </c>
      <c r="AD119" s="95" t="str">
        <f t="shared" si="59"/>
        <v/>
      </c>
      <c r="AE119" s="96" t="str">
        <f t="shared" si="60"/>
        <v/>
      </c>
      <c r="AF119" s="124" t="str">
        <f t="shared" si="61"/>
        <v/>
      </c>
      <c r="AG119" s="2"/>
      <c r="AH119" s="2"/>
      <c r="AI119" s="2"/>
      <c r="AJ119" s="2"/>
      <c r="AK119" s="2"/>
      <c r="AL119" s="2"/>
    </row>
    <row r="120" spans="1:38" x14ac:dyDescent="0.2">
      <c r="A120" s="45"/>
      <c r="B120" s="43" t="str">
        <f t="shared" si="64"/>
        <v/>
      </c>
      <c r="C120" s="96" t="str">
        <f t="shared" si="63"/>
        <v/>
      </c>
      <c r="D120" s="44" t="str">
        <f t="shared" si="65"/>
        <v/>
      </c>
      <c r="E120" s="52"/>
      <c r="F120" s="63" t="str">
        <f t="shared" si="66"/>
        <v/>
      </c>
      <c r="G120" s="56" t="str">
        <f t="shared" si="67"/>
        <v/>
      </c>
      <c r="H120" s="42"/>
      <c r="I120" s="2" t="str">
        <f t="shared" si="68"/>
        <v/>
      </c>
      <c r="J120" s="54" t="str">
        <f t="shared" si="55"/>
        <v/>
      </c>
      <c r="K120" s="55" t="str">
        <f t="shared" si="69"/>
        <v/>
      </c>
      <c r="L120" s="63" t="str">
        <f t="shared" si="70"/>
        <v/>
      </c>
      <c r="M120" s="96" t="str">
        <f t="shared" si="56"/>
        <v/>
      </c>
      <c r="N120" s="96" t="str">
        <f>IF(A120="","",IF(A120=Expiry,0,EXP(-q*Q120)*_xlfn.NORM.S.DIST(Y120,0)/(sigma*SQRT(Q120))*I120*Mult/100))</f>
        <v/>
      </c>
      <c r="O120" s="96" t="str">
        <f>IF(A120="","",IF(A120=Expiry,0,D120*E120*E120*EXP(-q*Q120)*_xlfn.NORM.S.DIST(Y120,0)*SQRT(Q120)/100))</f>
        <v/>
      </c>
      <c r="P120" s="69" t="str">
        <f>IF(A120="","",IF(A120=Expiry,0,AK120*I120*Mult*((-EXP(-q*Q120)*E120*_xlfn.NORM.S.DIST(Y120,0)*sigma/(2*SQRT(Q120))-r_dom*K*EXP(-r_dom*Q120)*_xlfn.NORM.S.DIST(Z120,1)+q*E120*EXP(-q*Q120)*_xlfn.NORM.S.DIST(Y120,1))/365)))</f>
        <v/>
      </c>
      <c r="Q120" s="83" t="str">
        <f t="shared" si="71"/>
        <v/>
      </c>
      <c r="R120" s="38"/>
      <c r="S120" s="68" t="str">
        <f t="shared" si="72"/>
        <v/>
      </c>
      <c r="T120" s="69" t="str">
        <f t="shared" si="73"/>
        <v/>
      </c>
      <c r="U120" s="70" t="str">
        <f t="shared" si="74"/>
        <v/>
      </c>
      <c r="V120" s="72" t="str">
        <f t="shared" si="75"/>
        <v/>
      </c>
      <c r="W120" s="2" t="str">
        <f t="shared" si="62"/>
        <v/>
      </c>
      <c r="X120" s="2" t="str">
        <f t="shared" si="57"/>
        <v/>
      </c>
      <c r="Y120" s="35" t="str">
        <f t="shared" ca="1" si="76"/>
        <v/>
      </c>
      <c r="Z120" s="36" t="str">
        <f t="shared" ca="1" si="77"/>
        <v/>
      </c>
      <c r="AA120" s="70" t="str">
        <f t="shared" si="78"/>
        <v/>
      </c>
      <c r="AB120" s="2"/>
      <c r="AC120" s="94" t="str">
        <f t="shared" si="58"/>
        <v/>
      </c>
      <c r="AD120" s="95" t="str">
        <f t="shared" si="59"/>
        <v/>
      </c>
      <c r="AE120" s="96" t="str">
        <f t="shared" si="60"/>
        <v/>
      </c>
      <c r="AF120" s="124" t="str">
        <f t="shared" si="61"/>
        <v/>
      </c>
      <c r="AG120" s="2"/>
      <c r="AH120" s="2"/>
      <c r="AI120" s="2"/>
      <c r="AJ120" s="2"/>
      <c r="AK120" s="2"/>
      <c r="AL120" s="2"/>
    </row>
    <row r="121" spans="1:38" x14ac:dyDescent="0.2">
      <c r="A121" s="45"/>
      <c r="B121" s="43" t="str">
        <f t="shared" si="64"/>
        <v/>
      </c>
      <c r="C121" s="96" t="str">
        <f t="shared" si="63"/>
        <v/>
      </c>
      <c r="D121" s="44" t="str">
        <f t="shared" si="65"/>
        <v/>
      </c>
      <c r="E121" s="52"/>
      <c r="F121" s="63" t="str">
        <f t="shared" si="66"/>
        <v/>
      </c>
      <c r="G121" s="56" t="str">
        <f t="shared" si="67"/>
        <v/>
      </c>
      <c r="H121" s="42"/>
      <c r="I121" s="2" t="str">
        <f t="shared" si="68"/>
        <v/>
      </c>
      <c r="J121" s="54" t="str">
        <f t="shared" si="55"/>
        <v/>
      </c>
      <c r="K121" s="55" t="str">
        <f t="shared" si="69"/>
        <v/>
      </c>
      <c r="L121" s="63" t="str">
        <f t="shared" si="70"/>
        <v/>
      </c>
      <c r="M121" s="96" t="str">
        <f t="shared" si="56"/>
        <v/>
      </c>
      <c r="N121" s="96" t="str">
        <f>IF(A121="","",IF(A121=Expiry,0,EXP(-q*Q121)*_xlfn.NORM.S.DIST(Y121,0)/(sigma*SQRT(Q121))*I121*Mult/100))</f>
        <v/>
      </c>
      <c r="O121" s="96" t="str">
        <f>IF(A121="","",IF(A121=Expiry,0,D121*E121*E121*EXP(-q*Q121)*_xlfn.NORM.S.DIST(Y121,0)*SQRT(Q121)/100))</f>
        <v/>
      </c>
      <c r="P121" s="69" t="str">
        <f>IF(A121="","",IF(A121=Expiry,0,AK121*I121*Mult*((-EXP(-q*Q121)*E121*_xlfn.NORM.S.DIST(Y121,0)*sigma/(2*SQRT(Q121))-r_dom*K*EXP(-r_dom*Q121)*_xlfn.NORM.S.DIST(Z121,1)+q*E121*EXP(-q*Q121)*_xlfn.NORM.S.DIST(Y121,1))/365)))</f>
        <v/>
      </c>
      <c r="Q121" s="83" t="str">
        <f t="shared" si="71"/>
        <v/>
      </c>
      <c r="R121" s="38"/>
      <c r="S121" s="68" t="str">
        <f t="shared" si="72"/>
        <v/>
      </c>
      <c r="T121" s="69" t="str">
        <f t="shared" si="73"/>
        <v/>
      </c>
      <c r="U121" s="70" t="str">
        <f t="shared" si="74"/>
        <v/>
      </c>
      <c r="V121" s="72" t="str">
        <f t="shared" si="75"/>
        <v/>
      </c>
      <c r="W121" s="2" t="str">
        <f t="shared" si="62"/>
        <v/>
      </c>
      <c r="X121" s="2" t="str">
        <f t="shared" si="57"/>
        <v/>
      </c>
      <c r="Y121" s="35" t="str">
        <f t="shared" ca="1" si="76"/>
        <v/>
      </c>
      <c r="Z121" s="36" t="str">
        <f t="shared" ca="1" si="77"/>
        <v/>
      </c>
      <c r="AA121" s="70" t="str">
        <f t="shared" si="78"/>
        <v/>
      </c>
      <c r="AB121" s="2"/>
      <c r="AC121" s="94" t="str">
        <f t="shared" si="58"/>
        <v/>
      </c>
      <c r="AD121" s="95" t="str">
        <f t="shared" si="59"/>
        <v/>
      </c>
      <c r="AE121" s="96" t="str">
        <f t="shared" si="60"/>
        <v/>
      </c>
      <c r="AF121" s="124" t="str">
        <f t="shared" si="61"/>
        <v/>
      </c>
      <c r="AG121" s="2"/>
      <c r="AH121" s="2"/>
      <c r="AI121" s="2"/>
      <c r="AJ121" s="2"/>
      <c r="AK121" s="2"/>
      <c r="AL121" s="2"/>
    </row>
    <row r="122" spans="1:38" x14ac:dyDescent="0.2">
      <c r="A122" s="45"/>
      <c r="B122" s="43" t="str">
        <f t="shared" si="64"/>
        <v/>
      </c>
      <c r="C122" s="96" t="str">
        <f t="shared" si="63"/>
        <v/>
      </c>
      <c r="D122" s="44" t="str">
        <f t="shared" si="65"/>
        <v/>
      </c>
      <c r="E122" s="52"/>
      <c r="F122" s="63" t="str">
        <f t="shared" si="66"/>
        <v/>
      </c>
      <c r="G122" s="56" t="str">
        <f t="shared" si="67"/>
        <v/>
      </c>
      <c r="H122" s="42"/>
      <c r="I122" s="2" t="str">
        <f t="shared" si="68"/>
        <v/>
      </c>
      <c r="J122" s="54" t="str">
        <f t="shared" si="55"/>
        <v/>
      </c>
      <c r="K122" s="55" t="str">
        <f t="shared" si="69"/>
        <v/>
      </c>
      <c r="L122" s="63" t="str">
        <f t="shared" si="70"/>
        <v/>
      </c>
      <c r="M122" s="96" t="str">
        <f t="shared" si="56"/>
        <v/>
      </c>
      <c r="N122" s="96" t="str">
        <f>IF(A122="","",IF(A122=Expiry,0,EXP(-q*Q122)*_xlfn.NORM.S.DIST(Y122,0)/(sigma*SQRT(Q122))*I122*Mult/100))</f>
        <v/>
      </c>
      <c r="O122" s="96" t="str">
        <f>IF(A122="","",IF(A122=Expiry,0,D122*E122*E122*EXP(-q*Q122)*_xlfn.NORM.S.DIST(Y122,0)*SQRT(Q122)/100))</f>
        <v/>
      </c>
      <c r="P122" s="69" t="str">
        <f>IF(A122="","",IF(A122=Expiry,0,AK122*I122*Mult*((-EXP(-q*Q122)*E122*_xlfn.NORM.S.DIST(Y122,0)*sigma/(2*SQRT(Q122))-r_dom*K*EXP(-r_dom*Q122)*_xlfn.NORM.S.DIST(Z122,1)+q*E122*EXP(-q*Q122)*_xlfn.NORM.S.DIST(Y122,1))/365)))</f>
        <v/>
      </c>
      <c r="Q122" s="83" t="str">
        <f t="shared" si="71"/>
        <v/>
      </c>
      <c r="R122" s="38"/>
      <c r="S122" s="68" t="str">
        <f t="shared" si="72"/>
        <v/>
      </c>
      <c r="T122" s="69" t="str">
        <f t="shared" si="73"/>
        <v/>
      </c>
      <c r="U122" s="70" t="str">
        <f t="shared" si="74"/>
        <v/>
      </c>
      <c r="V122" s="72" t="str">
        <f t="shared" si="75"/>
        <v/>
      </c>
      <c r="W122" s="2" t="str">
        <f t="shared" si="62"/>
        <v/>
      </c>
      <c r="X122" s="2" t="str">
        <f t="shared" si="57"/>
        <v/>
      </c>
      <c r="Y122" s="35" t="str">
        <f t="shared" ca="1" si="76"/>
        <v/>
      </c>
      <c r="Z122" s="36" t="str">
        <f t="shared" ca="1" si="77"/>
        <v/>
      </c>
      <c r="AA122" s="70" t="str">
        <f t="shared" si="78"/>
        <v/>
      </c>
      <c r="AB122" s="2"/>
      <c r="AC122" s="94" t="str">
        <f t="shared" si="58"/>
        <v/>
      </c>
      <c r="AD122" s="95" t="str">
        <f t="shared" si="59"/>
        <v/>
      </c>
      <c r="AE122" s="96" t="str">
        <f t="shared" si="60"/>
        <v/>
      </c>
      <c r="AF122" s="124" t="str">
        <f t="shared" si="61"/>
        <v/>
      </c>
      <c r="AG122" s="2"/>
      <c r="AH122" s="2"/>
      <c r="AI122" s="2"/>
      <c r="AJ122" s="2"/>
      <c r="AK122" s="2"/>
      <c r="AL122" s="2"/>
    </row>
    <row r="123" spans="1:38" x14ac:dyDescent="0.2">
      <c r="A123" s="45"/>
      <c r="B123" s="43" t="str">
        <f t="shared" si="64"/>
        <v/>
      </c>
      <c r="C123" s="96" t="str">
        <f t="shared" si="63"/>
        <v/>
      </c>
      <c r="D123" s="44" t="str">
        <f t="shared" si="65"/>
        <v/>
      </c>
      <c r="E123" s="52"/>
      <c r="F123" s="63" t="str">
        <f t="shared" si="66"/>
        <v/>
      </c>
      <c r="G123" s="56" t="str">
        <f t="shared" si="67"/>
        <v/>
      </c>
      <c r="H123" s="42"/>
      <c r="I123" s="2" t="str">
        <f t="shared" si="68"/>
        <v/>
      </c>
      <c r="J123" s="54" t="str">
        <f t="shared" si="55"/>
        <v/>
      </c>
      <c r="K123" s="55" t="str">
        <f t="shared" si="69"/>
        <v/>
      </c>
      <c r="L123" s="63" t="str">
        <f t="shared" si="70"/>
        <v/>
      </c>
      <c r="M123" s="96" t="str">
        <f t="shared" si="56"/>
        <v/>
      </c>
      <c r="N123" s="96" t="str">
        <f>IF(A123="","",IF(A123=Expiry,0,EXP(-q*Q123)*_xlfn.NORM.S.DIST(Y123,0)/(sigma*SQRT(Q123))*I123*Mult/100))</f>
        <v/>
      </c>
      <c r="O123" s="96" t="str">
        <f>IF(A123="","",IF(A123=Expiry,0,D123*E123*E123*EXP(-q*Q123)*_xlfn.NORM.S.DIST(Y123,0)*SQRT(Q123)/100))</f>
        <v/>
      </c>
      <c r="P123" s="69" t="str">
        <f>IF(A123="","",IF(A123=Expiry,0,AK123*I123*Mult*((-EXP(-q*Q123)*E123*_xlfn.NORM.S.DIST(Y123,0)*sigma/(2*SQRT(Q123))-r_dom*K*EXP(-r_dom*Q123)*_xlfn.NORM.S.DIST(Z123,1)+q*E123*EXP(-q*Q123)*_xlfn.NORM.S.DIST(Y123,1))/365)))</f>
        <v/>
      </c>
      <c r="Q123" s="83" t="str">
        <f t="shared" si="71"/>
        <v/>
      </c>
      <c r="R123" s="38"/>
      <c r="S123" s="68" t="str">
        <f t="shared" si="72"/>
        <v/>
      </c>
      <c r="T123" s="69" t="str">
        <f t="shared" si="73"/>
        <v/>
      </c>
      <c r="U123" s="70" t="str">
        <f t="shared" si="74"/>
        <v/>
      </c>
      <c r="V123" s="72" t="str">
        <f t="shared" si="75"/>
        <v/>
      </c>
      <c r="W123" s="2" t="str">
        <f t="shared" si="62"/>
        <v/>
      </c>
      <c r="X123" s="2" t="str">
        <f t="shared" si="57"/>
        <v/>
      </c>
      <c r="Y123" s="35" t="str">
        <f t="shared" ca="1" si="76"/>
        <v/>
      </c>
      <c r="Z123" s="36" t="str">
        <f t="shared" ca="1" si="77"/>
        <v/>
      </c>
      <c r="AA123" s="70" t="str">
        <f t="shared" si="78"/>
        <v/>
      </c>
      <c r="AB123" s="2"/>
      <c r="AC123" s="94" t="str">
        <f t="shared" si="58"/>
        <v/>
      </c>
      <c r="AD123" s="95" t="str">
        <f t="shared" si="59"/>
        <v/>
      </c>
      <c r="AE123" s="96" t="str">
        <f t="shared" si="60"/>
        <v/>
      </c>
      <c r="AF123" s="124" t="str">
        <f t="shared" si="61"/>
        <v/>
      </c>
      <c r="AG123" s="2"/>
      <c r="AH123" s="2"/>
      <c r="AI123" s="2"/>
      <c r="AJ123" s="2"/>
      <c r="AK123" s="2"/>
      <c r="AL123" s="2"/>
    </row>
    <row r="124" spans="1:38" x14ac:dyDescent="0.2">
      <c r="A124" s="45"/>
      <c r="B124" s="43" t="str">
        <f t="shared" si="64"/>
        <v/>
      </c>
      <c r="C124" s="96" t="str">
        <f t="shared" si="63"/>
        <v/>
      </c>
      <c r="D124" s="44" t="str">
        <f t="shared" si="65"/>
        <v/>
      </c>
      <c r="E124" s="52"/>
      <c r="F124" s="63" t="str">
        <f t="shared" si="66"/>
        <v/>
      </c>
      <c r="G124" s="56" t="str">
        <f t="shared" si="67"/>
        <v/>
      </c>
      <c r="H124" s="42"/>
      <c r="I124" s="2" t="str">
        <f t="shared" si="68"/>
        <v/>
      </c>
      <c r="J124" s="54" t="str">
        <f t="shared" si="55"/>
        <v/>
      </c>
      <c r="K124" s="55" t="str">
        <f t="shared" si="69"/>
        <v/>
      </c>
      <c r="L124" s="63" t="str">
        <f t="shared" si="70"/>
        <v/>
      </c>
      <c r="M124" s="96" t="str">
        <f t="shared" si="56"/>
        <v/>
      </c>
      <c r="N124" s="96" t="str">
        <f>IF(A124="","",IF(A124=Expiry,0,EXP(-q*Q124)*_xlfn.NORM.S.DIST(Y124,0)/(sigma*SQRT(Q124))*I124*Mult/100))</f>
        <v/>
      </c>
      <c r="O124" s="96" t="str">
        <f>IF(A124="","",IF(A124=Expiry,0,D124*E124*E124*EXP(-q*Q124)*_xlfn.NORM.S.DIST(Y124,0)*SQRT(Q124)/100))</f>
        <v/>
      </c>
      <c r="P124" s="69" t="str">
        <f>IF(A124="","",IF(A124=Expiry,0,AK124*I124*Mult*((-EXP(-q*Q124)*E124*_xlfn.NORM.S.DIST(Y124,0)*sigma/(2*SQRT(Q124))-r_dom*K*EXP(-r_dom*Q124)*_xlfn.NORM.S.DIST(Z124,1)+q*E124*EXP(-q*Q124)*_xlfn.NORM.S.DIST(Y124,1))/365)))</f>
        <v/>
      </c>
      <c r="Q124" s="83" t="str">
        <f t="shared" si="71"/>
        <v/>
      </c>
      <c r="R124" s="38"/>
      <c r="S124" s="68" t="str">
        <f t="shared" si="72"/>
        <v/>
      </c>
      <c r="T124" s="69" t="str">
        <f t="shared" si="73"/>
        <v/>
      </c>
      <c r="U124" s="70" t="str">
        <f t="shared" si="74"/>
        <v/>
      </c>
      <c r="V124" s="72" t="str">
        <f t="shared" si="75"/>
        <v/>
      </c>
      <c r="W124" s="2" t="str">
        <f t="shared" si="62"/>
        <v/>
      </c>
      <c r="X124" s="2" t="str">
        <f t="shared" si="57"/>
        <v/>
      </c>
      <c r="Y124" s="35" t="str">
        <f t="shared" ca="1" si="76"/>
        <v/>
      </c>
      <c r="Z124" s="36" t="str">
        <f t="shared" ca="1" si="77"/>
        <v/>
      </c>
      <c r="AA124" s="70" t="str">
        <f t="shared" si="78"/>
        <v/>
      </c>
      <c r="AB124" s="2"/>
      <c r="AC124" s="94" t="str">
        <f t="shared" si="58"/>
        <v/>
      </c>
      <c r="AD124" s="95" t="str">
        <f t="shared" si="59"/>
        <v/>
      </c>
      <c r="AE124" s="96" t="str">
        <f t="shared" si="60"/>
        <v/>
      </c>
      <c r="AF124" s="124" t="str">
        <f t="shared" si="61"/>
        <v/>
      </c>
      <c r="AG124" s="2"/>
      <c r="AH124" s="2"/>
      <c r="AI124" s="2"/>
      <c r="AJ124" s="2"/>
      <c r="AK124" s="2"/>
      <c r="AL124" s="2"/>
    </row>
    <row r="125" spans="1:38" x14ac:dyDescent="0.2">
      <c r="A125" s="45"/>
      <c r="B125" s="43" t="str">
        <f t="shared" si="64"/>
        <v/>
      </c>
      <c r="C125" s="96" t="str">
        <f t="shared" si="63"/>
        <v/>
      </c>
      <c r="D125" s="44" t="str">
        <f t="shared" si="65"/>
        <v/>
      </c>
      <c r="E125" s="52"/>
      <c r="F125" s="63" t="str">
        <f t="shared" si="66"/>
        <v/>
      </c>
      <c r="G125" s="56" t="str">
        <f t="shared" si="67"/>
        <v/>
      </c>
      <c r="H125" s="42"/>
      <c r="I125" s="2" t="str">
        <f t="shared" si="68"/>
        <v/>
      </c>
      <c r="J125" s="54" t="str">
        <f t="shared" si="55"/>
        <v/>
      </c>
      <c r="K125" s="55" t="str">
        <f t="shared" si="69"/>
        <v/>
      </c>
      <c r="L125" s="63" t="str">
        <f t="shared" si="70"/>
        <v/>
      </c>
      <c r="M125" s="96" t="str">
        <f t="shared" si="56"/>
        <v/>
      </c>
      <c r="N125" s="96" t="str">
        <f>IF(A125="","",IF(A125=Expiry,0,EXP(-q*Q125)*_xlfn.NORM.S.DIST(Y125,0)/(sigma*SQRT(Q125))*I125*Mult/100))</f>
        <v/>
      </c>
      <c r="O125" s="96" t="str">
        <f>IF(A125="","",IF(A125=Expiry,0,D125*E125*E125*EXP(-q*Q125)*_xlfn.NORM.S.DIST(Y125,0)*SQRT(Q125)/100))</f>
        <v/>
      </c>
      <c r="P125" s="69" t="str">
        <f>IF(A125="","",IF(A125=Expiry,0,AK125*I125*Mult*((-EXP(-q*Q125)*E125*_xlfn.NORM.S.DIST(Y125,0)*sigma/(2*SQRT(Q125))-r_dom*K*EXP(-r_dom*Q125)*_xlfn.NORM.S.DIST(Z125,1)+q*E125*EXP(-q*Q125)*_xlfn.NORM.S.DIST(Y125,1))/365)))</f>
        <v/>
      </c>
      <c r="Q125" s="83" t="str">
        <f t="shared" si="71"/>
        <v/>
      </c>
      <c r="R125" s="38"/>
      <c r="S125" s="68" t="str">
        <f t="shared" si="72"/>
        <v/>
      </c>
      <c r="T125" s="69" t="str">
        <f t="shared" si="73"/>
        <v/>
      </c>
      <c r="U125" s="70" t="str">
        <f t="shared" si="74"/>
        <v/>
      </c>
      <c r="V125" s="72" t="str">
        <f t="shared" si="75"/>
        <v/>
      </c>
      <c r="W125" s="2" t="str">
        <f t="shared" si="62"/>
        <v/>
      </c>
      <c r="X125" s="2" t="str">
        <f t="shared" si="57"/>
        <v/>
      </c>
      <c r="Y125" s="35" t="str">
        <f t="shared" ca="1" si="76"/>
        <v/>
      </c>
      <c r="Z125" s="36" t="str">
        <f t="shared" ca="1" si="77"/>
        <v/>
      </c>
      <c r="AA125" s="70" t="str">
        <f t="shared" si="78"/>
        <v/>
      </c>
      <c r="AB125" s="2"/>
      <c r="AC125" s="94" t="str">
        <f t="shared" si="58"/>
        <v/>
      </c>
      <c r="AD125" s="95" t="str">
        <f t="shared" si="59"/>
        <v/>
      </c>
      <c r="AE125" s="96" t="str">
        <f t="shared" si="60"/>
        <v/>
      </c>
      <c r="AF125" s="124" t="str">
        <f t="shared" si="61"/>
        <v/>
      </c>
      <c r="AG125" s="2"/>
      <c r="AH125" s="2"/>
      <c r="AI125" s="2"/>
      <c r="AJ125" s="2"/>
      <c r="AK125" s="2"/>
      <c r="AL125" s="2"/>
    </row>
    <row r="126" spans="1:38" x14ac:dyDescent="0.2">
      <c r="A126" s="45"/>
      <c r="B126" s="43" t="str">
        <f t="shared" si="64"/>
        <v/>
      </c>
      <c r="C126" s="96" t="str">
        <f t="shared" si="63"/>
        <v/>
      </c>
      <c r="D126" s="44" t="str">
        <f t="shared" si="65"/>
        <v/>
      </c>
      <c r="E126" s="52"/>
      <c r="F126" s="63" t="str">
        <f t="shared" si="66"/>
        <v/>
      </c>
      <c r="G126" s="56" t="str">
        <f t="shared" si="67"/>
        <v/>
      </c>
      <c r="H126" s="42"/>
      <c r="I126" s="2" t="str">
        <f t="shared" si="68"/>
        <v/>
      </c>
      <c r="J126" s="54" t="str">
        <f t="shared" si="55"/>
        <v/>
      </c>
      <c r="K126" s="55" t="str">
        <f t="shared" si="69"/>
        <v/>
      </c>
      <c r="L126" s="63" t="str">
        <f t="shared" si="70"/>
        <v/>
      </c>
      <c r="M126" s="96" t="str">
        <f t="shared" si="56"/>
        <v/>
      </c>
      <c r="N126" s="96" t="str">
        <f>IF(A126="","",IF(A126=Expiry,0,EXP(-q*Q126)*_xlfn.NORM.S.DIST(Y126,0)/(sigma*SQRT(Q126))*I126*Mult/100))</f>
        <v/>
      </c>
      <c r="O126" s="96" t="str">
        <f>IF(A126="","",IF(A126=Expiry,0,D126*E126*E126*EXP(-q*Q126)*_xlfn.NORM.S.DIST(Y126,0)*SQRT(Q126)/100))</f>
        <v/>
      </c>
      <c r="P126" s="69" t="str">
        <f>IF(A126="","",IF(A126=Expiry,0,AK126*I126*Mult*((-EXP(-q*Q126)*E126*_xlfn.NORM.S.DIST(Y126,0)*sigma/(2*SQRT(Q126))-r_dom*K*EXP(-r_dom*Q126)*_xlfn.NORM.S.DIST(Z126,1)+q*E126*EXP(-q*Q126)*_xlfn.NORM.S.DIST(Y126,1))/365)))</f>
        <v/>
      </c>
      <c r="Q126" s="83" t="str">
        <f t="shared" si="71"/>
        <v/>
      </c>
      <c r="R126" s="38"/>
      <c r="S126" s="68" t="str">
        <f t="shared" si="72"/>
        <v/>
      </c>
      <c r="T126" s="69" t="str">
        <f t="shared" si="73"/>
        <v/>
      </c>
      <c r="U126" s="70" t="str">
        <f t="shared" si="74"/>
        <v/>
      </c>
      <c r="V126" s="72" t="str">
        <f t="shared" si="75"/>
        <v/>
      </c>
      <c r="W126" s="2" t="str">
        <f t="shared" si="62"/>
        <v/>
      </c>
      <c r="X126" s="2" t="str">
        <f t="shared" si="57"/>
        <v/>
      </c>
      <c r="Y126" s="35" t="str">
        <f t="shared" ca="1" si="76"/>
        <v/>
      </c>
      <c r="Z126" s="36" t="str">
        <f t="shared" ca="1" si="77"/>
        <v/>
      </c>
      <c r="AA126" s="70" t="str">
        <f t="shared" si="78"/>
        <v/>
      </c>
      <c r="AB126" s="2"/>
      <c r="AC126" s="94" t="str">
        <f t="shared" si="58"/>
        <v/>
      </c>
      <c r="AD126" s="95" t="str">
        <f t="shared" si="59"/>
        <v/>
      </c>
      <c r="AE126" s="96" t="str">
        <f t="shared" si="60"/>
        <v/>
      </c>
      <c r="AF126" s="124" t="str">
        <f t="shared" si="61"/>
        <v/>
      </c>
      <c r="AG126" s="2"/>
      <c r="AH126" s="2"/>
      <c r="AI126" s="2"/>
      <c r="AJ126" s="2"/>
      <c r="AK126" s="2"/>
      <c r="AL126" s="2"/>
    </row>
    <row r="127" spans="1:38" x14ac:dyDescent="0.2">
      <c r="A127" s="45"/>
      <c r="B127" s="43" t="str">
        <f t="shared" si="64"/>
        <v/>
      </c>
      <c r="C127" s="96" t="str">
        <f t="shared" si="63"/>
        <v/>
      </c>
      <c r="D127" s="44" t="str">
        <f t="shared" si="65"/>
        <v/>
      </c>
      <c r="E127" s="52"/>
      <c r="F127" s="63" t="str">
        <f t="shared" si="66"/>
        <v/>
      </c>
      <c r="G127" s="56" t="str">
        <f t="shared" si="67"/>
        <v/>
      </c>
      <c r="H127" s="42"/>
      <c r="I127" s="2" t="str">
        <f t="shared" si="68"/>
        <v/>
      </c>
      <c r="J127" s="54" t="str">
        <f t="shared" si="55"/>
        <v/>
      </c>
      <c r="K127" s="55" t="str">
        <f t="shared" si="69"/>
        <v/>
      </c>
      <c r="L127" s="63" t="str">
        <f t="shared" si="70"/>
        <v/>
      </c>
      <c r="M127" s="96" t="str">
        <f t="shared" si="56"/>
        <v/>
      </c>
      <c r="N127" s="96" t="str">
        <f>IF(A127="","",IF(A127=Expiry,0,EXP(-q*Q127)*_xlfn.NORM.S.DIST(Y127,0)/(sigma*SQRT(Q127))*I127*Mult/100))</f>
        <v/>
      </c>
      <c r="O127" s="96" t="str">
        <f>IF(A127="","",IF(A127=Expiry,0,D127*E127*E127*EXP(-q*Q127)*_xlfn.NORM.S.DIST(Y127,0)*SQRT(Q127)/100))</f>
        <v/>
      </c>
      <c r="P127" s="69" t="str">
        <f>IF(A127="","",IF(A127=Expiry,0,AK127*I127*Mult*((-EXP(-q*Q127)*E127*_xlfn.NORM.S.DIST(Y127,0)*sigma/(2*SQRT(Q127))-r_dom*K*EXP(-r_dom*Q127)*_xlfn.NORM.S.DIST(Z127,1)+q*E127*EXP(-q*Q127)*_xlfn.NORM.S.DIST(Y127,1))/365)))</f>
        <v/>
      </c>
      <c r="Q127" s="83" t="str">
        <f t="shared" si="71"/>
        <v/>
      </c>
      <c r="R127" s="38"/>
      <c r="S127" s="68" t="str">
        <f t="shared" si="72"/>
        <v/>
      </c>
      <c r="T127" s="69" t="str">
        <f t="shared" si="73"/>
        <v/>
      </c>
      <c r="U127" s="70" t="str">
        <f t="shared" si="74"/>
        <v/>
      </c>
      <c r="V127" s="72" t="str">
        <f t="shared" si="75"/>
        <v/>
      </c>
      <c r="W127" s="2" t="str">
        <f t="shared" si="62"/>
        <v/>
      </c>
      <c r="X127" s="2" t="str">
        <f t="shared" si="57"/>
        <v/>
      </c>
      <c r="Y127" s="35" t="str">
        <f t="shared" ca="1" si="76"/>
        <v/>
      </c>
      <c r="Z127" s="36" t="str">
        <f t="shared" ca="1" si="77"/>
        <v/>
      </c>
      <c r="AA127" s="70" t="str">
        <f t="shared" si="78"/>
        <v/>
      </c>
      <c r="AB127" s="2"/>
      <c r="AC127" s="94" t="str">
        <f t="shared" si="58"/>
        <v/>
      </c>
      <c r="AD127" s="95" t="str">
        <f t="shared" si="59"/>
        <v/>
      </c>
      <c r="AE127" s="96" t="str">
        <f t="shared" si="60"/>
        <v/>
      </c>
      <c r="AF127" s="124" t="str">
        <f t="shared" si="61"/>
        <v/>
      </c>
      <c r="AG127" s="2"/>
      <c r="AH127" s="2"/>
      <c r="AI127" s="2"/>
      <c r="AJ127" s="2"/>
      <c r="AK127" s="2"/>
      <c r="AL127" s="2"/>
    </row>
    <row r="128" spans="1:38" x14ac:dyDescent="0.2">
      <c r="A128" s="45"/>
      <c r="B128" s="43" t="str">
        <f t="shared" si="64"/>
        <v/>
      </c>
      <c r="C128" s="96" t="str">
        <f t="shared" si="63"/>
        <v/>
      </c>
      <c r="D128" s="44" t="str">
        <f t="shared" si="65"/>
        <v/>
      </c>
      <c r="E128" s="52"/>
      <c r="F128" s="63" t="str">
        <f t="shared" si="66"/>
        <v/>
      </c>
      <c r="G128" s="56" t="str">
        <f t="shared" si="67"/>
        <v/>
      </c>
      <c r="H128" s="42"/>
      <c r="I128" s="2" t="str">
        <f t="shared" si="68"/>
        <v/>
      </c>
      <c r="J128" s="54" t="str">
        <f t="shared" si="55"/>
        <v/>
      </c>
      <c r="K128" s="55" t="str">
        <f t="shared" si="69"/>
        <v/>
      </c>
      <c r="L128" s="63" t="str">
        <f t="shared" si="70"/>
        <v/>
      </c>
      <c r="M128" s="96" t="str">
        <f t="shared" si="56"/>
        <v/>
      </c>
      <c r="N128" s="96" t="str">
        <f>IF(A128="","",IF(A128=Expiry,0,EXP(-q*Q128)*_xlfn.NORM.S.DIST(Y128,0)/(sigma*SQRT(Q128))*I128*Mult/100))</f>
        <v/>
      </c>
      <c r="O128" s="96" t="str">
        <f>IF(A128="","",IF(A128=Expiry,0,D128*E128*E128*EXP(-q*Q128)*_xlfn.NORM.S.DIST(Y128,0)*SQRT(Q128)/100))</f>
        <v/>
      </c>
      <c r="P128" s="69" t="str">
        <f>IF(A128="","",IF(A128=Expiry,0,AK128*I128*Mult*((-EXP(-q*Q128)*E128*_xlfn.NORM.S.DIST(Y128,0)*sigma/(2*SQRT(Q128))-r_dom*K*EXP(-r_dom*Q128)*_xlfn.NORM.S.DIST(Z128,1)+q*E128*EXP(-q*Q128)*_xlfn.NORM.S.DIST(Y128,1))/365)))</f>
        <v/>
      </c>
      <c r="Q128" s="83" t="str">
        <f t="shared" si="71"/>
        <v/>
      </c>
      <c r="R128" s="38"/>
      <c r="S128" s="68" t="str">
        <f t="shared" si="72"/>
        <v/>
      </c>
      <c r="T128" s="69" t="str">
        <f t="shared" si="73"/>
        <v/>
      </c>
      <c r="U128" s="70" t="str">
        <f t="shared" si="74"/>
        <v/>
      </c>
      <c r="V128" s="72" t="str">
        <f t="shared" si="75"/>
        <v/>
      </c>
      <c r="W128" s="2" t="str">
        <f t="shared" si="62"/>
        <v/>
      </c>
      <c r="X128" s="2" t="str">
        <f t="shared" si="57"/>
        <v/>
      </c>
      <c r="Y128" s="35" t="str">
        <f t="shared" ca="1" si="76"/>
        <v/>
      </c>
      <c r="Z128" s="36" t="str">
        <f t="shared" ca="1" si="77"/>
        <v/>
      </c>
      <c r="AA128" s="70" t="str">
        <f t="shared" si="78"/>
        <v/>
      </c>
      <c r="AB128" s="2"/>
      <c r="AC128" s="94" t="str">
        <f t="shared" si="58"/>
        <v/>
      </c>
      <c r="AD128" s="95" t="str">
        <f t="shared" si="59"/>
        <v/>
      </c>
      <c r="AE128" s="96" t="str">
        <f t="shared" si="60"/>
        <v/>
      </c>
      <c r="AF128" s="124" t="str">
        <f t="shared" si="61"/>
        <v/>
      </c>
      <c r="AG128" s="2"/>
      <c r="AH128" s="2"/>
      <c r="AI128" s="2"/>
      <c r="AJ128" s="2"/>
      <c r="AK128" s="2"/>
      <c r="AL128" s="2"/>
    </row>
    <row r="129" spans="1:38" x14ac:dyDescent="0.2">
      <c r="A129" s="45"/>
      <c r="B129" s="43" t="str">
        <f t="shared" si="64"/>
        <v/>
      </c>
      <c r="C129" s="96" t="str">
        <f t="shared" si="63"/>
        <v/>
      </c>
      <c r="D129" s="44" t="str">
        <f t="shared" si="65"/>
        <v/>
      </c>
      <c r="E129" s="52"/>
      <c r="F129" s="63" t="str">
        <f t="shared" si="66"/>
        <v/>
      </c>
      <c r="G129" s="56" t="str">
        <f t="shared" si="67"/>
        <v/>
      </c>
      <c r="H129" s="42"/>
      <c r="I129" s="2" t="str">
        <f t="shared" si="68"/>
        <v/>
      </c>
      <c r="J129" s="54" t="str">
        <f t="shared" si="55"/>
        <v/>
      </c>
      <c r="K129" s="55" t="str">
        <f t="shared" si="69"/>
        <v/>
      </c>
      <c r="L129" s="63" t="str">
        <f t="shared" si="70"/>
        <v/>
      </c>
      <c r="M129" s="96" t="str">
        <f t="shared" si="56"/>
        <v/>
      </c>
      <c r="N129" s="96" t="str">
        <f>IF(A129="","",IF(A129=Expiry,0,EXP(-q*Q129)*_xlfn.NORM.S.DIST(Y129,0)/(sigma*SQRT(Q129))*I129*Mult/100))</f>
        <v/>
      </c>
      <c r="O129" s="96" t="str">
        <f>IF(A129="","",IF(A129=Expiry,0,D129*E129*E129*EXP(-q*Q129)*_xlfn.NORM.S.DIST(Y129,0)*SQRT(Q129)/100))</f>
        <v/>
      </c>
      <c r="P129" s="69" t="str">
        <f>IF(A129="","",IF(A129=Expiry,0,AK129*I129*Mult*((-EXP(-q*Q129)*E129*_xlfn.NORM.S.DIST(Y129,0)*sigma/(2*SQRT(Q129))-r_dom*K*EXP(-r_dom*Q129)*_xlfn.NORM.S.DIST(Z129,1)+q*E129*EXP(-q*Q129)*_xlfn.NORM.S.DIST(Y129,1))/365)))</f>
        <v/>
      </c>
      <c r="Q129" s="83" t="str">
        <f t="shared" si="71"/>
        <v/>
      </c>
      <c r="R129" s="38"/>
      <c r="S129" s="68" t="str">
        <f t="shared" si="72"/>
        <v/>
      </c>
      <c r="T129" s="69" t="str">
        <f t="shared" si="73"/>
        <v/>
      </c>
      <c r="U129" s="70" t="str">
        <f t="shared" si="74"/>
        <v/>
      </c>
      <c r="V129" s="72" t="str">
        <f t="shared" si="75"/>
        <v/>
      </c>
      <c r="W129" s="2" t="str">
        <f t="shared" si="62"/>
        <v/>
      </c>
      <c r="X129" s="2" t="str">
        <f t="shared" si="57"/>
        <v/>
      </c>
      <c r="Y129" s="35" t="str">
        <f t="shared" ca="1" si="76"/>
        <v/>
      </c>
      <c r="Z129" s="36" t="str">
        <f t="shared" ca="1" si="77"/>
        <v/>
      </c>
      <c r="AA129" s="70" t="str">
        <f t="shared" si="78"/>
        <v/>
      </c>
      <c r="AB129" s="2"/>
      <c r="AC129" s="94" t="str">
        <f t="shared" si="58"/>
        <v/>
      </c>
      <c r="AD129" s="95" t="str">
        <f t="shared" si="59"/>
        <v/>
      </c>
      <c r="AE129" s="96" t="str">
        <f t="shared" si="60"/>
        <v/>
      </c>
      <c r="AF129" s="124" t="str">
        <f t="shared" si="61"/>
        <v/>
      </c>
      <c r="AG129" s="2"/>
      <c r="AH129" s="2"/>
      <c r="AI129" s="2"/>
      <c r="AJ129" s="2"/>
      <c r="AK129" s="2"/>
      <c r="AL129" s="2"/>
    </row>
    <row r="130" spans="1:38" x14ac:dyDescent="0.2">
      <c r="A130" s="45"/>
      <c r="B130" s="43" t="str">
        <f t="shared" si="64"/>
        <v/>
      </c>
      <c r="C130" s="96" t="str">
        <f t="shared" si="63"/>
        <v/>
      </c>
      <c r="D130" s="44" t="str">
        <f t="shared" si="65"/>
        <v/>
      </c>
      <c r="E130" s="52"/>
      <c r="F130" s="63" t="str">
        <f t="shared" si="66"/>
        <v/>
      </c>
      <c r="G130" s="56" t="str">
        <f t="shared" si="67"/>
        <v/>
      </c>
      <c r="H130" s="42"/>
      <c r="I130" s="2" t="str">
        <f t="shared" si="68"/>
        <v/>
      </c>
      <c r="J130" s="54" t="str">
        <f t="shared" si="55"/>
        <v/>
      </c>
      <c r="K130" s="55" t="str">
        <f t="shared" si="69"/>
        <v/>
      </c>
      <c r="L130" s="63" t="str">
        <f t="shared" si="70"/>
        <v/>
      </c>
      <c r="M130" s="96" t="str">
        <f t="shared" si="56"/>
        <v/>
      </c>
      <c r="N130" s="96" t="str">
        <f>IF(A130="","",IF(A130=Expiry,0,EXP(-q*Q130)*_xlfn.NORM.S.DIST(Y130,0)/(sigma*SQRT(Q130))*I130*Mult/100))</f>
        <v/>
      </c>
      <c r="O130" s="96" t="str">
        <f>IF(A130="","",IF(A130=Expiry,0,D130*E130*E130*EXP(-q*Q130)*_xlfn.NORM.S.DIST(Y130,0)*SQRT(Q130)/100))</f>
        <v/>
      </c>
      <c r="P130" s="69" t="str">
        <f>IF(A130="","",IF(A130=Expiry,0,AK130*I130*Mult*((-EXP(-q*Q130)*E130*_xlfn.NORM.S.DIST(Y130,0)*sigma/(2*SQRT(Q130))-r_dom*K*EXP(-r_dom*Q130)*_xlfn.NORM.S.DIST(Z130,1)+q*E130*EXP(-q*Q130)*_xlfn.NORM.S.DIST(Y130,1))/365)))</f>
        <v/>
      </c>
      <c r="Q130" s="83" t="str">
        <f t="shared" si="71"/>
        <v/>
      </c>
      <c r="R130" s="38"/>
      <c r="S130" s="68" t="str">
        <f t="shared" si="72"/>
        <v/>
      </c>
      <c r="T130" s="69" t="str">
        <f t="shared" si="73"/>
        <v/>
      </c>
      <c r="U130" s="70" t="str">
        <f t="shared" si="74"/>
        <v/>
      </c>
      <c r="V130" s="72" t="str">
        <f t="shared" si="75"/>
        <v/>
      </c>
      <c r="W130" s="2" t="str">
        <f t="shared" si="62"/>
        <v/>
      </c>
      <c r="X130" s="2" t="str">
        <f t="shared" si="57"/>
        <v/>
      </c>
      <c r="Y130" s="35" t="str">
        <f t="shared" ca="1" si="76"/>
        <v/>
      </c>
      <c r="Z130" s="36" t="str">
        <f t="shared" ca="1" si="77"/>
        <v/>
      </c>
      <c r="AA130" s="70" t="str">
        <f t="shared" si="78"/>
        <v/>
      </c>
      <c r="AB130" s="2"/>
      <c r="AC130" s="94" t="str">
        <f t="shared" si="58"/>
        <v/>
      </c>
      <c r="AD130" s="95" t="str">
        <f t="shared" si="59"/>
        <v/>
      </c>
      <c r="AE130" s="96" t="str">
        <f t="shared" si="60"/>
        <v/>
      </c>
      <c r="AF130" s="124" t="str">
        <f t="shared" si="61"/>
        <v/>
      </c>
      <c r="AG130" s="2"/>
      <c r="AH130" s="2"/>
      <c r="AI130" s="2"/>
      <c r="AJ130" s="2"/>
      <c r="AK130" s="2"/>
      <c r="AL130" s="2"/>
    </row>
    <row r="131" spans="1:38" x14ac:dyDescent="0.2">
      <c r="A131" s="45"/>
      <c r="B131" s="43" t="str">
        <f t="shared" si="64"/>
        <v/>
      </c>
      <c r="C131" s="96" t="str">
        <f t="shared" si="63"/>
        <v/>
      </c>
      <c r="D131" s="44" t="str">
        <f t="shared" si="65"/>
        <v/>
      </c>
      <c r="E131" s="52"/>
      <c r="F131" s="63" t="str">
        <f t="shared" si="66"/>
        <v/>
      </c>
      <c r="G131" s="56" t="str">
        <f t="shared" si="67"/>
        <v/>
      </c>
      <c r="H131" s="42"/>
      <c r="I131" s="2" t="str">
        <f t="shared" si="68"/>
        <v/>
      </c>
      <c r="J131" s="54" t="str">
        <f t="shared" si="55"/>
        <v/>
      </c>
      <c r="K131" s="55" t="str">
        <f t="shared" si="69"/>
        <v/>
      </c>
      <c r="L131" s="63" t="str">
        <f t="shared" si="70"/>
        <v/>
      </c>
      <c r="M131" s="96" t="str">
        <f t="shared" si="56"/>
        <v/>
      </c>
      <c r="N131" s="96" t="str">
        <f>IF(A131="","",IF(A131=Expiry,0,EXP(-q*Q131)*_xlfn.NORM.S.DIST(Y131,0)/(sigma*SQRT(Q131))*I131*Mult/100))</f>
        <v/>
      </c>
      <c r="O131" s="96" t="str">
        <f>IF(A131="","",IF(A131=Expiry,0,D131*E131*E131*EXP(-q*Q131)*_xlfn.NORM.S.DIST(Y131,0)*SQRT(Q131)/100))</f>
        <v/>
      </c>
      <c r="P131" s="69" t="str">
        <f>IF(A131="","",IF(A131=Expiry,0,AK131*I131*Mult*((-EXP(-q*Q131)*E131*_xlfn.NORM.S.DIST(Y131,0)*sigma/(2*SQRT(Q131))-r_dom*K*EXP(-r_dom*Q131)*_xlfn.NORM.S.DIST(Z131,1)+q*E131*EXP(-q*Q131)*_xlfn.NORM.S.DIST(Y131,1))/365)))</f>
        <v/>
      </c>
      <c r="Q131" s="83" t="str">
        <f t="shared" si="71"/>
        <v/>
      </c>
      <c r="R131" s="38"/>
      <c r="S131" s="68" t="str">
        <f t="shared" si="72"/>
        <v/>
      </c>
      <c r="T131" s="69" t="str">
        <f t="shared" si="73"/>
        <v/>
      </c>
      <c r="U131" s="70" t="str">
        <f t="shared" si="74"/>
        <v/>
      </c>
      <c r="V131" s="72" t="str">
        <f t="shared" si="75"/>
        <v/>
      </c>
      <c r="W131" s="2" t="str">
        <f t="shared" si="62"/>
        <v/>
      </c>
      <c r="X131" s="2" t="str">
        <f t="shared" si="57"/>
        <v/>
      </c>
      <c r="Y131" s="35" t="str">
        <f t="shared" ca="1" si="76"/>
        <v/>
      </c>
      <c r="Z131" s="36" t="str">
        <f t="shared" ca="1" si="77"/>
        <v/>
      </c>
      <c r="AA131" s="70" t="str">
        <f t="shared" si="78"/>
        <v/>
      </c>
      <c r="AB131" s="2"/>
      <c r="AC131" s="94" t="str">
        <f t="shared" si="58"/>
        <v/>
      </c>
      <c r="AD131" s="95" t="str">
        <f t="shared" si="59"/>
        <v/>
      </c>
      <c r="AE131" s="96" t="str">
        <f t="shared" si="60"/>
        <v/>
      </c>
      <c r="AF131" s="124" t="str">
        <f t="shared" si="61"/>
        <v/>
      </c>
      <c r="AG131" s="2"/>
      <c r="AH131" s="2"/>
      <c r="AI131" s="2"/>
      <c r="AJ131" s="2"/>
      <c r="AK131" s="2"/>
      <c r="AL131" s="2"/>
    </row>
    <row r="132" spans="1:38" x14ac:dyDescent="0.2">
      <c r="A132" s="45"/>
      <c r="B132" s="43" t="str">
        <f t="shared" si="64"/>
        <v/>
      </c>
      <c r="C132" s="96" t="str">
        <f t="shared" si="63"/>
        <v/>
      </c>
      <c r="D132" s="44" t="str">
        <f t="shared" si="65"/>
        <v/>
      </c>
      <c r="E132" s="52"/>
      <c r="F132" s="63" t="str">
        <f t="shared" si="66"/>
        <v/>
      </c>
      <c r="G132" s="56" t="str">
        <f t="shared" si="67"/>
        <v/>
      </c>
      <c r="H132" s="42"/>
      <c r="I132" s="2" t="str">
        <f t="shared" si="68"/>
        <v/>
      </c>
      <c r="J132" s="54" t="str">
        <f t="shared" si="55"/>
        <v/>
      </c>
      <c r="K132" s="55" t="str">
        <f t="shared" si="69"/>
        <v/>
      </c>
      <c r="L132" s="63" t="str">
        <f t="shared" si="70"/>
        <v/>
      </c>
      <c r="M132" s="96" t="str">
        <f t="shared" si="56"/>
        <v/>
      </c>
      <c r="N132" s="96" t="str">
        <f>IF(A132="","",IF(A132=Expiry,0,EXP(-q*Q132)*_xlfn.NORM.S.DIST(Y132,0)/(sigma*SQRT(Q132))*I132*Mult/100))</f>
        <v/>
      </c>
      <c r="O132" s="96" t="str">
        <f>IF(A132="","",IF(A132=Expiry,0,D132*E132*E132*EXP(-q*Q132)*_xlfn.NORM.S.DIST(Y132,0)*SQRT(Q132)/100))</f>
        <v/>
      </c>
      <c r="P132" s="69" t="str">
        <f>IF(A132="","",IF(A132=Expiry,0,AK132*I132*Mult*((-EXP(-q*Q132)*E132*_xlfn.NORM.S.DIST(Y132,0)*sigma/(2*SQRT(Q132))-r_dom*K*EXP(-r_dom*Q132)*_xlfn.NORM.S.DIST(Z132,1)+q*E132*EXP(-q*Q132)*_xlfn.NORM.S.DIST(Y132,1))/365)))</f>
        <v/>
      </c>
      <c r="Q132" s="83" t="str">
        <f t="shared" si="71"/>
        <v/>
      </c>
      <c r="R132" s="38"/>
      <c r="S132" s="68" t="str">
        <f t="shared" si="72"/>
        <v/>
      </c>
      <c r="T132" s="69" t="str">
        <f t="shared" si="73"/>
        <v/>
      </c>
      <c r="U132" s="70" t="str">
        <f t="shared" si="74"/>
        <v/>
      </c>
      <c r="V132" s="72" t="str">
        <f t="shared" si="75"/>
        <v/>
      </c>
      <c r="W132" s="2" t="str">
        <f t="shared" si="62"/>
        <v/>
      </c>
      <c r="X132" s="2" t="str">
        <f t="shared" si="57"/>
        <v/>
      </c>
      <c r="Y132" s="35" t="str">
        <f t="shared" ca="1" si="76"/>
        <v/>
      </c>
      <c r="Z132" s="36" t="str">
        <f t="shared" ca="1" si="77"/>
        <v/>
      </c>
      <c r="AA132" s="70" t="str">
        <f t="shared" si="78"/>
        <v/>
      </c>
      <c r="AB132" s="2"/>
      <c r="AC132" s="94" t="str">
        <f t="shared" si="58"/>
        <v/>
      </c>
      <c r="AD132" s="95" t="str">
        <f t="shared" si="59"/>
        <v/>
      </c>
      <c r="AE132" s="96" t="str">
        <f t="shared" si="60"/>
        <v/>
      </c>
      <c r="AF132" s="124" t="str">
        <f t="shared" si="61"/>
        <v/>
      </c>
      <c r="AG132" s="2"/>
      <c r="AH132" s="2"/>
      <c r="AI132" s="2"/>
      <c r="AJ132" s="2"/>
      <c r="AK132" s="2"/>
      <c r="AL132" s="2"/>
    </row>
    <row r="133" spans="1:38" x14ac:dyDescent="0.2">
      <c r="A133" s="45"/>
      <c r="B133" s="43" t="str">
        <f t="shared" si="64"/>
        <v/>
      </c>
      <c r="C133" s="96" t="str">
        <f t="shared" si="63"/>
        <v/>
      </c>
      <c r="D133" s="44" t="str">
        <f t="shared" si="65"/>
        <v/>
      </c>
      <c r="E133" s="52"/>
      <c r="F133" s="63" t="str">
        <f t="shared" si="66"/>
        <v/>
      </c>
      <c r="G133" s="56" t="str">
        <f t="shared" si="67"/>
        <v/>
      </c>
      <c r="H133" s="42"/>
      <c r="I133" s="2" t="str">
        <f t="shared" si="68"/>
        <v/>
      </c>
      <c r="J133" s="54" t="str">
        <f t="shared" si="55"/>
        <v/>
      </c>
      <c r="K133" s="55" t="str">
        <f t="shared" si="69"/>
        <v/>
      </c>
      <c r="L133" s="63" t="str">
        <f t="shared" si="70"/>
        <v/>
      </c>
      <c r="M133" s="96" t="str">
        <f t="shared" si="56"/>
        <v/>
      </c>
      <c r="N133" s="96" t="str">
        <f>IF(A133="","",IF(A133=Expiry,0,EXP(-q*Q133)*_xlfn.NORM.S.DIST(Y133,0)/(sigma*SQRT(Q133))*I133*Mult/100))</f>
        <v/>
      </c>
      <c r="O133" s="96" t="str">
        <f>IF(A133="","",IF(A133=Expiry,0,D133*E133*E133*EXP(-q*Q133)*_xlfn.NORM.S.DIST(Y133,0)*SQRT(Q133)/100))</f>
        <v/>
      </c>
      <c r="P133" s="69" t="str">
        <f>IF(A133="","",IF(A133=Expiry,0,AK133*I133*Mult*((-EXP(-q*Q133)*E133*_xlfn.NORM.S.DIST(Y133,0)*sigma/(2*SQRT(Q133))-r_dom*K*EXP(-r_dom*Q133)*_xlfn.NORM.S.DIST(Z133,1)+q*E133*EXP(-q*Q133)*_xlfn.NORM.S.DIST(Y133,1))/365)))</f>
        <v/>
      </c>
      <c r="Q133" s="83" t="str">
        <f t="shared" si="71"/>
        <v/>
      </c>
      <c r="R133" s="38"/>
      <c r="S133" s="68" t="str">
        <f t="shared" si="72"/>
        <v/>
      </c>
      <c r="T133" s="69" t="str">
        <f t="shared" si="73"/>
        <v/>
      </c>
      <c r="U133" s="70" t="str">
        <f t="shared" si="74"/>
        <v/>
      </c>
      <c r="V133" s="72" t="str">
        <f t="shared" si="75"/>
        <v/>
      </c>
      <c r="W133" s="2" t="str">
        <f t="shared" si="62"/>
        <v/>
      </c>
      <c r="X133" s="2" t="str">
        <f t="shared" si="57"/>
        <v/>
      </c>
      <c r="Y133" s="35" t="str">
        <f t="shared" ca="1" si="76"/>
        <v/>
      </c>
      <c r="Z133" s="36" t="str">
        <f t="shared" ca="1" si="77"/>
        <v/>
      </c>
      <c r="AA133" s="70" t="str">
        <f t="shared" si="78"/>
        <v/>
      </c>
      <c r="AB133" s="2"/>
      <c r="AC133" s="94" t="str">
        <f t="shared" si="58"/>
        <v/>
      </c>
      <c r="AD133" s="95" t="str">
        <f t="shared" si="59"/>
        <v/>
      </c>
      <c r="AE133" s="96" t="str">
        <f t="shared" si="60"/>
        <v/>
      </c>
      <c r="AF133" s="124" t="str">
        <f t="shared" si="61"/>
        <v/>
      </c>
      <c r="AG133" s="2"/>
      <c r="AH133" s="2"/>
      <c r="AI133" s="2"/>
      <c r="AJ133" s="2"/>
      <c r="AK133" s="2"/>
      <c r="AL133" s="2"/>
    </row>
    <row r="134" spans="1:38" x14ac:dyDescent="0.2">
      <c r="A134" s="45"/>
      <c r="B134" s="43" t="str">
        <f t="shared" si="64"/>
        <v/>
      </c>
      <c r="C134" s="96" t="str">
        <f t="shared" si="63"/>
        <v/>
      </c>
      <c r="D134" s="44" t="str">
        <f t="shared" si="65"/>
        <v/>
      </c>
      <c r="E134" s="52"/>
      <c r="F134" s="63" t="str">
        <f t="shared" si="66"/>
        <v/>
      </c>
      <c r="G134" s="56" t="str">
        <f t="shared" si="67"/>
        <v/>
      </c>
      <c r="H134" s="42"/>
      <c r="I134" s="2" t="str">
        <f t="shared" si="68"/>
        <v/>
      </c>
      <c r="J134" s="54" t="str">
        <f t="shared" si="55"/>
        <v/>
      </c>
      <c r="K134" s="55" t="str">
        <f t="shared" si="69"/>
        <v/>
      </c>
      <c r="L134" s="63" t="str">
        <f t="shared" si="70"/>
        <v/>
      </c>
      <c r="M134" s="96" t="str">
        <f t="shared" si="56"/>
        <v/>
      </c>
      <c r="N134" s="96" t="str">
        <f>IF(A134="","",IF(A134=Expiry,0,EXP(-q*Q134)*_xlfn.NORM.S.DIST(Y134,0)/(sigma*SQRT(Q134))*I134*Mult/100))</f>
        <v/>
      </c>
      <c r="O134" s="96" t="str">
        <f>IF(A134="","",IF(A134=Expiry,0,D134*E134*E134*EXP(-q*Q134)*_xlfn.NORM.S.DIST(Y134,0)*SQRT(Q134)/100))</f>
        <v/>
      </c>
      <c r="P134" s="69" t="str">
        <f>IF(A134="","",IF(A134=Expiry,0,AK134*I134*Mult*((-EXP(-q*Q134)*E134*_xlfn.NORM.S.DIST(Y134,0)*sigma/(2*SQRT(Q134))-r_dom*K*EXP(-r_dom*Q134)*_xlfn.NORM.S.DIST(Z134,1)+q*E134*EXP(-q*Q134)*_xlfn.NORM.S.DIST(Y134,1))/365)))</f>
        <v/>
      </c>
      <c r="Q134" s="83" t="str">
        <f t="shared" si="71"/>
        <v/>
      </c>
      <c r="R134" s="38"/>
      <c r="S134" s="68" t="str">
        <f t="shared" si="72"/>
        <v/>
      </c>
      <c r="T134" s="69" t="str">
        <f t="shared" si="73"/>
        <v/>
      </c>
      <c r="U134" s="70" t="str">
        <f t="shared" si="74"/>
        <v/>
      </c>
      <c r="V134" s="72" t="str">
        <f t="shared" si="75"/>
        <v/>
      </c>
      <c r="W134" s="2" t="str">
        <f t="shared" si="62"/>
        <v/>
      </c>
      <c r="X134" s="2" t="str">
        <f t="shared" si="57"/>
        <v/>
      </c>
      <c r="Y134" s="35" t="str">
        <f t="shared" ca="1" si="76"/>
        <v/>
      </c>
      <c r="Z134" s="36" t="str">
        <f t="shared" ca="1" si="77"/>
        <v/>
      </c>
      <c r="AA134" s="70" t="str">
        <f t="shared" si="78"/>
        <v/>
      </c>
      <c r="AB134" s="2"/>
      <c r="AC134" s="94" t="str">
        <f t="shared" si="58"/>
        <v/>
      </c>
      <c r="AD134" s="95" t="str">
        <f t="shared" si="59"/>
        <v/>
      </c>
      <c r="AE134" s="96" t="str">
        <f t="shared" si="60"/>
        <v/>
      </c>
      <c r="AF134" s="124" t="str">
        <f t="shared" si="61"/>
        <v/>
      </c>
      <c r="AG134" s="2"/>
      <c r="AH134" s="2"/>
      <c r="AI134" s="2"/>
      <c r="AJ134" s="2"/>
      <c r="AK134" s="2"/>
      <c r="AL134" s="2"/>
    </row>
    <row r="135" spans="1:38" x14ac:dyDescent="0.2">
      <c r="A135" s="45"/>
      <c r="B135" s="43" t="str">
        <f t="shared" si="64"/>
        <v/>
      </c>
      <c r="C135" s="96" t="str">
        <f t="shared" si="63"/>
        <v/>
      </c>
      <c r="D135" s="44" t="str">
        <f t="shared" si="65"/>
        <v/>
      </c>
      <c r="E135" s="52"/>
      <c r="F135" s="63" t="str">
        <f t="shared" si="66"/>
        <v/>
      </c>
      <c r="G135" s="56" t="str">
        <f t="shared" si="67"/>
        <v/>
      </c>
      <c r="H135" s="42"/>
      <c r="I135" s="2" t="str">
        <f t="shared" si="68"/>
        <v/>
      </c>
      <c r="J135" s="54" t="str">
        <f t="shared" si="55"/>
        <v/>
      </c>
      <c r="K135" s="55" t="str">
        <f t="shared" si="69"/>
        <v/>
      </c>
      <c r="L135" s="63" t="str">
        <f t="shared" si="70"/>
        <v/>
      </c>
      <c r="M135" s="96" t="str">
        <f t="shared" si="56"/>
        <v/>
      </c>
      <c r="N135" s="96" t="str">
        <f>IF(A135="","",IF(A135=Expiry,0,EXP(-q*Q135)*_xlfn.NORM.S.DIST(Y135,0)/(sigma*SQRT(Q135))*I135*Mult/100))</f>
        <v/>
      </c>
      <c r="O135" s="96" t="str">
        <f>IF(A135="","",IF(A135=Expiry,0,D135*E135*E135*EXP(-q*Q135)*_xlfn.NORM.S.DIST(Y135,0)*SQRT(Q135)/100))</f>
        <v/>
      </c>
      <c r="P135" s="69" t="str">
        <f>IF(A135="","",IF(A135=Expiry,0,AK135*I135*Mult*((-EXP(-q*Q135)*E135*_xlfn.NORM.S.DIST(Y135,0)*sigma/(2*SQRT(Q135))-r_dom*K*EXP(-r_dom*Q135)*_xlfn.NORM.S.DIST(Z135,1)+q*E135*EXP(-q*Q135)*_xlfn.NORM.S.DIST(Y135,1))/365)))</f>
        <v/>
      </c>
      <c r="Q135" s="83" t="str">
        <f t="shared" si="71"/>
        <v/>
      </c>
      <c r="R135" s="38"/>
      <c r="S135" s="68" t="str">
        <f t="shared" si="72"/>
        <v/>
      </c>
      <c r="T135" s="69" t="str">
        <f t="shared" si="73"/>
        <v/>
      </c>
      <c r="U135" s="70" t="str">
        <f t="shared" si="74"/>
        <v/>
      </c>
      <c r="V135" s="72" t="str">
        <f t="shared" si="75"/>
        <v/>
      </c>
      <c r="W135" s="2" t="str">
        <f t="shared" si="62"/>
        <v/>
      </c>
      <c r="X135" s="2" t="str">
        <f t="shared" si="57"/>
        <v/>
      </c>
      <c r="Y135" s="35" t="str">
        <f t="shared" ca="1" si="76"/>
        <v/>
      </c>
      <c r="Z135" s="36" t="str">
        <f t="shared" ca="1" si="77"/>
        <v/>
      </c>
      <c r="AA135" s="70" t="str">
        <f t="shared" si="78"/>
        <v/>
      </c>
      <c r="AB135" s="2"/>
      <c r="AC135" s="94" t="str">
        <f t="shared" si="58"/>
        <v/>
      </c>
      <c r="AD135" s="95" t="str">
        <f t="shared" si="59"/>
        <v/>
      </c>
      <c r="AE135" s="96" t="str">
        <f t="shared" si="60"/>
        <v/>
      </c>
      <c r="AF135" s="124" t="str">
        <f t="shared" si="61"/>
        <v/>
      </c>
      <c r="AG135" s="2"/>
      <c r="AH135" s="2"/>
      <c r="AI135" s="2"/>
      <c r="AJ135" s="2"/>
      <c r="AK135" s="2"/>
      <c r="AL135" s="2"/>
    </row>
    <row r="136" spans="1:38" x14ac:dyDescent="0.2">
      <c r="A136" s="45"/>
      <c r="B136" s="43" t="str">
        <f t="shared" si="64"/>
        <v/>
      </c>
      <c r="C136" s="96" t="str">
        <f t="shared" si="63"/>
        <v/>
      </c>
      <c r="D136" s="44" t="str">
        <f t="shared" si="65"/>
        <v/>
      </c>
      <c r="E136" s="52"/>
      <c r="F136" s="63" t="str">
        <f t="shared" si="66"/>
        <v/>
      </c>
      <c r="G136" s="56" t="str">
        <f t="shared" si="67"/>
        <v/>
      </c>
      <c r="H136" s="42"/>
      <c r="I136" s="2" t="str">
        <f t="shared" si="68"/>
        <v/>
      </c>
      <c r="J136" s="54" t="str">
        <f t="shared" si="55"/>
        <v/>
      </c>
      <c r="K136" s="55" t="str">
        <f t="shared" si="69"/>
        <v/>
      </c>
      <c r="L136" s="63" t="str">
        <f t="shared" si="70"/>
        <v/>
      </c>
      <c r="M136" s="96" t="str">
        <f t="shared" si="56"/>
        <v/>
      </c>
      <c r="N136" s="96" t="str">
        <f>IF(A136="","",IF(A136=Expiry,0,EXP(-q*Q136)*_xlfn.NORM.S.DIST(Y136,0)/(sigma*SQRT(Q136))*I136*Mult/100))</f>
        <v/>
      </c>
      <c r="O136" s="96" t="str">
        <f>IF(A136="","",IF(A136=Expiry,0,D136*E136*E136*EXP(-q*Q136)*_xlfn.NORM.S.DIST(Y136,0)*SQRT(Q136)/100))</f>
        <v/>
      </c>
      <c r="P136" s="69" t="str">
        <f>IF(A136="","",IF(A136=Expiry,0,AK136*I136*Mult*((-EXP(-q*Q136)*E136*_xlfn.NORM.S.DIST(Y136,0)*sigma/(2*SQRT(Q136))-r_dom*K*EXP(-r_dom*Q136)*_xlfn.NORM.S.DIST(Z136,1)+q*E136*EXP(-q*Q136)*_xlfn.NORM.S.DIST(Y136,1))/365)))</f>
        <v/>
      </c>
      <c r="Q136" s="83" t="str">
        <f t="shared" si="71"/>
        <v/>
      </c>
      <c r="R136" s="38"/>
      <c r="S136" s="68" t="str">
        <f t="shared" si="72"/>
        <v/>
      </c>
      <c r="T136" s="69" t="str">
        <f t="shared" si="73"/>
        <v/>
      </c>
      <c r="U136" s="70" t="str">
        <f t="shared" si="74"/>
        <v/>
      </c>
      <c r="V136" s="72" t="str">
        <f t="shared" si="75"/>
        <v/>
      </c>
      <c r="W136" s="2" t="str">
        <f t="shared" si="62"/>
        <v/>
      </c>
      <c r="X136" s="2" t="str">
        <f t="shared" si="57"/>
        <v/>
      </c>
      <c r="Y136" s="35" t="str">
        <f t="shared" ca="1" si="76"/>
        <v/>
      </c>
      <c r="Z136" s="36" t="str">
        <f t="shared" ca="1" si="77"/>
        <v/>
      </c>
      <c r="AA136" s="70" t="str">
        <f t="shared" si="78"/>
        <v/>
      </c>
      <c r="AB136" s="2"/>
      <c r="AC136" s="94" t="str">
        <f t="shared" si="58"/>
        <v/>
      </c>
      <c r="AD136" s="95" t="str">
        <f t="shared" si="59"/>
        <v/>
      </c>
      <c r="AE136" s="96" t="str">
        <f t="shared" si="60"/>
        <v/>
      </c>
      <c r="AF136" s="124" t="str">
        <f t="shared" si="61"/>
        <v/>
      </c>
      <c r="AG136" s="2"/>
      <c r="AH136" s="2"/>
      <c r="AI136" s="2"/>
      <c r="AJ136" s="2"/>
      <c r="AK136" s="2"/>
      <c r="AL136" s="2"/>
    </row>
    <row r="137" spans="1:38" x14ac:dyDescent="0.2">
      <c r="A137" s="45"/>
      <c r="B137" s="43" t="str">
        <f t="shared" si="64"/>
        <v/>
      </c>
      <c r="C137" s="96" t="str">
        <f t="shared" si="63"/>
        <v/>
      </c>
      <c r="D137" s="44" t="str">
        <f t="shared" si="65"/>
        <v/>
      </c>
      <c r="E137" s="52"/>
      <c r="F137" s="63" t="str">
        <f t="shared" si="66"/>
        <v/>
      </c>
      <c r="G137" s="56" t="str">
        <f t="shared" si="67"/>
        <v/>
      </c>
      <c r="H137" s="42"/>
      <c r="I137" s="2" t="str">
        <f t="shared" si="68"/>
        <v/>
      </c>
      <c r="J137" s="54" t="str">
        <f t="shared" si="55"/>
        <v/>
      </c>
      <c r="K137" s="55" t="str">
        <f t="shared" si="69"/>
        <v/>
      </c>
      <c r="L137" s="63" t="str">
        <f t="shared" si="70"/>
        <v/>
      </c>
      <c r="M137" s="96" t="str">
        <f t="shared" si="56"/>
        <v/>
      </c>
      <c r="N137" s="96" t="str">
        <f>IF(A137="","",IF(A137=Expiry,0,EXP(-q*Q137)*_xlfn.NORM.S.DIST(Y137,0)/(sigma*SQRT(Q137))*I137*Mult/100))</f>
        <v/>
      </c>
      <c r="O137" s="96" t="str">
        <f>IF(A137="","",IF(A137=Expiry,0,D137*E137*E137*EXP(-q*Q137)*_xlfn.NORM.S.DIST(Y137,0)*SQRT(Q137)/100))</f>
        <v/>
      </c>
      <c r="P137" s="69" t="str">
        <f>IF(A137="","",IF(A137=Expiry,0,AK137*I137*Mult*((-EXP(-q*Q137)*E137*_xlfn.NORM.S.DIST(Y137,0)*sigma/(2*SQRT(Q137))-r_dom*K*EXP(-r_dom*Q137)*_xlfn.NORM.S.DIST(Z137,1)+q*E137*EXP(-q*Q137)*_xlfn.NORM.S.DIST(Y137,1))/365)))</f>
        <v/>
      </c>
      <c r="Q137" s="83" t="str">
        <f t="shared" si="71"/>
        <v/>
      </c>
      <c r="R137" s="38"/>
      <c r="S137" s="68" t="str">
        <f t="shared" si="72"/>
        <v/>
      </c>
      <c r="T137" s="69" t="str">
        <f t="shared" si="73"/>
        <v/>
      </c>
      <c r="U137" s="70" t="str">
        <f t="shared" si="74"/>
        <v/>
      </c>
      <c r="V137" s="72" t="str">
        <f t="shared" si="75"/>
        <v/>
      </c>
      <c r="W137" s="2" t="str">
        <f t="shared" si="62"/>
        <v/>
      </c>
      <c r="X137" s="2" t="str">
        <f t="shared" si="57"/>
        <v/>
      </c>
      <c r="Y137" s="35" t="str">
        <f t="shared" ca="1" si="76"/>
        <v/>
      </c>
      <c r="Z137" s="36" t="str">
        <f t="shared" ca="1" si="77"/>
        <v/>
      </c>
      <c r="AA137" s="70" t="str">
        <f t="shared" si="78"/>
        <v/>
      </c>
      <c r="AB137" s="2"/>
      <c r="AC137" s="94" t="str">
        <f t="shared" si="58"/>
        <v/>
      </c>
      <c r="AD137" s="95" t="str">
        <f t="shared" si="59"/>
        <v/>
      </c>
      <c r="AE137" s="96" t="str">
        <f t="shared" si="60"/>
        <v/>
      </c>
      <c r="AF137" s="124" t="str">
        <f t="shared" si="61"/>
        <v/>
      </c>
      <c r="AG137" s="2"/>
      <c r="AH137" s="2"/>
      <c r="AI137" s="2"/>
      <c r="AJ137" s="2"/>
      <c r="AK137" s="2"/>
      <c r="AL137" s="2"/>
    </row>
    <row r="138" spans="1:38" x14ac:dyDescent="0.2">
      <c r="A138" s="45"/>
      <c r="B138" s="43" t="str">
        <f t="shared" si="64"/>
        <v/>
      </c>
      <c r="C138" s="96" t="str">
        <f t="shared" si="63"/>
        <v/>
      </c>
      <c r="D138" s="44" t="str">
        <f t="shared" si="65"/>
        <v/>
      </c>
      <c r="E138" s="52"/>
      <c r="F138" s="63" t="str">
        <f t="shared" si="66"/>
        <v/>
      </c>
      <c r="G138" s="56" t="str">
        <f t="shared" si="67"/>
        <v/>
      </c>
      <c r="H138" s="42"/>
      <c r="I138" s="2" t="str">
        <f t="shared" si="68"/>
        <v/>
      </c>
      <c r="J138" s="54" t="str">
        <f t="shared" si="55"/>
        <v/>
      </c>
      <c r="K138" s="55" t="str">
        <f t="shared" si="69"/>
        <v/>
      </c>
      <c r="L138" s="63" t="str">
        <f t="shared" si="70"/>
        <v/>
      </c>
      <c r="M138" s="96" t="str">
        <f t="shared" si="56"/>
        <v/>
      </c>
      <c r="N138" s="96" t="str">
        <f>IF(A138="","",IF(A138=Expiry,0,EXP(-q*Q138)*_xlfn.NORM.S.DIST(Y138,0)/(sigma*SQRT(Q138))*I138*Mult/100))</f>
        <v/>
      </c>
      <c r="O138" s="96" t="str">
        <f>IF(A138="","",IF(A138=Expiry,0,D138*E138*E138*EXP(-q*Q138)*_xlfn.NORM.S.DIST(Y138,0)*SQRT(Q138)/100))</f>
        <v/>
      </c>
      <c r="P138" s="69" t="str">
        <f>IF(A138="","",IF(A138=Expiry,0,AK138*I138*Mult*((-EXP(-q*Q138)*E138*_xlfn.NORM.S.DIST(Y138,0)*sigma/(2*SQRT(Q138))-r_dom*K*EXP(-r_dom*Q138)*_xlfn.NORM.S.DIST(Z138,1)+q*E138*EXP(-q*Q138)*_xlfn.NORM.S.DIST(Y138,1))/365)))</f>
        <v/>
      </c>
      <c r="Q138" s="83" t="str">
        <f t="shared" si="71"/>
        <v/>
      </c>
      <c r="R138" s="38"/>
      <c r="S138" s="68" t="str">
        <f t="shared" si="72"/>
        <v/>
      </c>
      <c r="T138" s="69" t="str">
        <f t="shared" si="73"/>
        <v/>
      </c>
      <c r="U138" s="70" t="str">
        <f t="shared" si="74"/>
        <v/>
      </c>
      <c r="V138" s="72" t="str">
        <f t="shared" si="75"/>
        <v/>
      </c>
      <c r="W138" s="2" t="str">
        <f t="shared" si="62"/>
        <v/>
      </c>
      <c r="X138" s="2" t="str">
        <f t="shared" si="57"/>
        <v/>
      </c>
      <c r="Y138" s="35" t="str">
        <f t="shared" ca="1" si="76"/>
        <v/>
      </c>
      <c r="Z138" s="36" t="str">
        <f t="shared" ca="1" si="77"/>
        <v/>
      </c>
      <c r="AA138" s="70" t="str">
        <f t="shared" si="78"/>
        <v/>
      </c>
      <c r="AB138" s="2"/>
      <c r="AC138" s="94" t="str">
        <f t="shared" si="58"/>
        <v/>
      </c>
      <c r="AD138" s="95" t="str">
        <f t="shared" si="59"/>
        <v/>
      </c>
      <c r="AE138" s="96" t="str">
        <f t="shared" si="60"/>
        <v/>
      </c>
      <c r="AF138" s="124" t="str">
        <f t="shared" si="61"/>
        <v/>
      </c>
      <c r="AG138" s="2"/>
      <c r="AH138" s="2"/>
      <c r="AI138" s="2"/>
      <c r="AJ138" s="2"/>
      <c r="AK138" s="2"/>
      <c r="AL138" s="2"/>
    </row>
    <row r="139" spans="1:38" x14ac:dyDescent="0.2">
      <c r="A139" s="45"/>
      <c r="B139" s="43" t="str">
        <f t="shared" si="64"/>
        <v/>
      </c>
      <c r="C139" s="96" t="str">
        <f t="shared" si="63"/>
        <v/>
      </c>
      <c r="D139" s="44" t="str">
        <f t="shared" si="65"/>
        <v/>
      </c>
      <c r="E139" s="52"/>
      <c r="F139" s="63" t="str">
        <f t="shared" si="66"/>
        <v/>
      </c>
      <c r="G139" s="56" t="str">
        <f t="shared" si="67"/>
        <v/>
      </c>
      <c r="H139" s="42"/>
      <c r="I139" s="2" t="str">
        <f t="shared" si="68"/>
        <v/>
      </c>
      <c r="J139" s="54" t="str">
        <f t="shared" si="55"/>
        <v/>
      </c>
      <c r="K139" s="55" t="str">
        <f t="shared" si="69"/>
        <v/>
      </c>
      <c r="L139" s="63" t="str">
        <f t="shared" si="70"/>
        <v/>
      </c>
      <c r="M139" s="96" t="str">
        <f t="shared" si="56"/>
        <v/>
      </c>
      <c r="N139" s="96" t="str">
        <f>IF(A139="","",IF(A139=Expiry,0,EXP(-q*Q139)*_xlfn.NORM.S.DIST(Y139,0)/(sigma*SQRT(Q139))*I139*Mult/100))</f>
        <v/>
      </c>
      <c r="O139" s="96" t="str">
        <f>IF(A139="","",IF(A139=Expiry,0,D139*E139*E139*EXP(-q*Q139)*_xlfn.NORM.S.DIST(Y139,0)*SQRT(Q139)/100))</f>
        <v/>
      </c>
      <c r="P139" s="69" t="str">
        <f>IF(A139="","",IF(A139=Expiry,0,AK139*I139*Mult*((-EXP(-q*Q139)*E139*_xlfn.NORM.S.DIST(Y139,0)*sigma/(2*SQRT(Q139))-r_dom*K*EXP(-r_dom*Q139)*_xlfn.NORM.S.DIST(Z139,1)+q*E139*EXP(-q*Q139)*_xlfn.NORM.S.DIST(Y139,1))/365)))</f>
        <v/>
      </c>
      <c r="Q139" s="83" t="str">
        <f t="shared" si="71"/>
        <v/>
      </c>
      <c r="R139" s="38"/>
      <c r="S139" s="68" t="str">
        <f t="shared" si="72"/>
        <v/>
      </c>
      <c r="T139" s="69" t="str">
        <f t="shared" si="73"/>
        <v/>
      </c>
      <c r="U139" s="70" t="str">
        <f t="shared" si="74"/>
        <v/>
      </c>
      <c r="V139" s="72" t="str">
        <f t="shared" si="75"/>
        <v/>
      </c>
      <c r="W139" s="2" t="str">
        <f t="shared" si="62"/>
        <v/>
      </c>
      <c r="X139" s="2" t="str">
        <f t="shared" si="57"/>
        <v/>
      </c>
      <c r="Y139" s="35" t="str">
        <f t="shared" ca="1" si="76"/>
        <v/>
      </c>
      <c r="Z139" s="36" t="str">
        <f t="shared" ca="1" si="77"/>
        <v/>
      </c>
      <c r="AA139" s="70" t="str">
        <f t="shared" si="78"/>
        <v/>
      </c>
      <c r="AB139" s="2"/>
      <c r="AC139" s="94" t="str">
        <f t="shared" si="58"/>
        <v/>
      </c>
      <c r="AD139" s="95" t="str">
        <f t="shared" si="59"/>
        <v/>
      </c>
      <c r="AE139" s="96" t="str">
        <f t="shared" si="60"/>
        <v/>
      </c>
      <c r="AF139" s="124" t="str">
        <f t="shared" si="61"/>
        <v/>
      </c>
      <c r="AG139" s="2"/>
      <c r="AH139" s="2"/>
      <c r="AI139" s="2"/>
      <c r="AJ139" s="2"/>
      <c r="AK139" s="2"/>
      <c r="AL139" s="2"/>
    </row>
    <row r="140" spans="1:38" x14ac:dyDescent="0.2">
      <c r="A140" s="45"/>
      <c r="B140" s="43" t="str">
        <f t="shared" si="64"/>
        <v/>
      </c>
      <c r="C140" s="96" t="str">
        <f t="shared" si="63"/>
        <v/>
      </c>
      <c r="D140" s="44" t="str">
        <f t="shared" si="65"/>
        <v/>
      </c>
      <c r="E140" s="52"/>
      <c r="F140" s="63" t="str">
        <f t="shared" si="66"/>
        <v/>
      </c>
      <c r="G140" s="56" t="str">
        <f t="shared" si="67"/>
        <v/>
      </c>
      <c r="H140" s="42"/>
      <c r="I140" s="2" t="str">
        <f t="shared" si="68"/>
        <v/>
      </c>
      <c r="J140" s="54" t="str">
        <f t="shared" si="55"/>
        <v/>
      </c>
      <c r="K140" s="55" t="str">
        <f t="shared" si="69"/>
        <v/>
      </c>
      <c r="L140" s="63" t="str">
        <f t="shared" si="70"/>
        <v/>
      </c>
      <c r="M140" s="96" t="str">
        <f t="shared" si="56"/>
        <v/>
      </c>
      <c r="N140" s="96" t="str">
        <f>IF(A140="","",IF(A140=Expiry,0,EXP(-q*Q140)*_xlfn.NORM.S.DIST(Y140,0)/(sigma*SQRT(Q140))*I140*Mult/100))</f>
        <v/>
      </c>
      <c r="O140" s="96" t="str">
        <f>IF(A140="","",IF(A140=Expiry,0,D140*E140*E140*EXP(-q*Q140)*_xlfn.NORM.S.DIST(Y140,0)*SQRT(Q140)/100))</f>
        <v/>
      </c>
      <c r="P140" s="69" t="str">
        <f>IF(A140="","",IF(A140=Expiry,0,AK140*I140*Mult*((-EXP(-q*Q140)*E140*_xlfn.NORM.S.DIST(Y140,0)*sigma/(2*SQRT(Q140))-r_dom*K*EXP(-r_dom*Q140)*_xlfn.NORM.S.DIST(Z140,1)+q*E140*EXP(-q*Q140)*_xlfn.NORM.S.DIST(Y140,1))/365)))</f>
        <v/>
      </c>
      <c r="Q140" s="83" t="str">
        <f t="shared" si="71"/>
        <v/>
      </c>
      <c r="R140" s="38"/>
      <c r="S140" s="68" t="str">
        <f t="shared" si="72"/>
        <v/>
      </c>
      <c r="T140" s="69" t="str">
        <f t="shared" si="73"/>
        <v/>
      </c>
      <c r="U140" s="70" t="str">
        <f t="shared" si="74"/>
        <v/>
      </c>
      <c r="V140" s="72" t="str">
        <f t="shared" si="75"/>
        <v/>
      </c>
      <c r="W140" s="2" t="str">
        <f t="shared" si="62"/>
        <v/>
      </c>
      <c r="X140" s="2" t="str">
        <f t="shared" si="57"/>
        <v/>
      </c>
      <c r="Y140" s="35" t="str">
        <f t="shared" ca="1" si="76"/>
        <v/>
      </c>
      <c r="Z140" s="36" t="str">
        <f t="shared" ca="1" si="77"/>
        <v/>
      </c>
      <c r="AA140" s="70" t="str">
        <f t="shared" si="78"/>
        <v/>
      </c>
      <c r="AB140" s="2"/>
      <c r="AC140" s="94" t="str">
        <f t="shared" si="58"/>
        <v/>
      </c>
      <c r="AD140" s="95" t="str">
        <f t="shared" si="59"/>
        <v/>
      </c>
      <c r="AE140" s="96" t="str">
        <f t="shared" si="60"/>
        <v/>
      </c>
      <c r="AF140" s="124" t="str">
        <f t="shared" si="61"/>
        <v/>
      </c>
      <c r="AG140" s="2"/>
      <c r="AH140" s="2"/>
      <c r="AI140" s="2"/>
      <c r="AJ140" s="2"/>
      <c r="AK140" s="2"/>
      <c r="AL140" s="2"/>
    </row>
    <row r="141" spans="1:38" x14ac:dyDescent="0.2">
      <c r="A141" s="45"/>
      <c r="B141" s="43" t="str">
        <f t="shared" si="64"/>
        <v/>
      </c>
      <c r="C141" s="96" t="str">
        <f t="shared" si="63"/>
        <v/>
      </c>
      <c r="D141" s="44" t="str">
        <f t="shared" si="65"/>
        <v/>
      </c>
      <c r="E141" s="52"/>
      <c r="F141" s="63" t="str">
        <f t="shared" si="66"/>
        <v/>
      </c>
      <c r="G141" s="56" t="str">
        <f t="shared" si="67"/>
        <v/>
      </c>
      <c r="H141" s="42"/>
      <c r="I141" s="2" t="str">
        <f t="shared" si="68"/>
        <v/>
      </c>
      <c r="J141" s="54" t="str">
        <f t="shared" si="55"/>
        <v/>
      </c>
      <c r="K141" s="55" t="str">
        <f t="shared" si="69"/>
        <v/>
      </c>
      <c r="L141" s="63" t="str">
        <f t="shared" si="70"/>
        <v/>
      </c>
      <c r="M141" s="96" t="str">
        <f t="shared" si="56"/>
        <v/>
      </c>
      <c r="N141" s="96" t="str">
        <f>IF(A141="","",IF(A141=Expiry,0,EXP(-q*Q141)*_xlfn.NORM.S.DIST(Y141,0)/(sigma*SQRT(Q141))*I141*Mult/100))</f>
        <v/>
      </c>
      <c r="O141" s="96" t="str">
        <f>IF(A141="","",IF(A141=Expiry,0,D141*E141*E141*EXP(-q*Q141)*_xlfn.NORM.S.DIST(Y141,0)*SQRT(Q141)/100))</f>
        <v/>
      </c>
      <c r="P141" s="69" t="str">
        <f>IF(A141="","",IF(A141=Expiry,0,AK141*I141*Mult*((-EXP(-q*Q141)*E141*_xlfn.NORM.S.DIST(Y141,0)*sigma/(2*SQRT(Q141))-r_dom*K*EXP(-r_dom*Q141)*_xlfn.NORM.S.DIST(Z141,1)+q*E141*EXP(-q*Q141)*_xlfn.NORM.S.DIST(Y141,1))/365)))</f>
        <v/>
      </c>
      <c r="Q141" s="83" t="str">
        <f t="shared" si="71"/>
        <v/>
      </c>
      <c r="R141" s="38"/>
      <c r="S141" s="68" t="str">
        <f t="shared" si="72"/>
        <v/>
      </c>
      <c r="T141" s="69" t="str">
        <f t="shared" si="73"/>
        <v/>
      </c>
      <c r="U141" s="70" t="str">
        <f t="shared" si="74"/>
        <v/>
      </c>
      <c r="V141" s="72" t="str">
        <f t="shared" si="75"/>
        <v/>
      </c>
      <c r="W141" s="2" t="str">
        <f t="shared" si="62"/>
        <v/>
      </c>
      <c r="X141" s="2" t="str">
        <f t="shared" si="57"/>
        <v/>
      </c>
      <c r="Y141" s="35" t="str">
        <f t="shared" ca="1" si="76"/>
        <v/>
      </c>
      <c r="Z141" s="36" t="str">
        <f t="shared" ca="1" si="77"/>
        <v/>
      </c>
      <c r="AA141" s="70" t="str">
        <f t="shared" si="78"/>
        <v/>
      </c>
      <c r="AB141" s="2"/>
      <c r="AC141" s="94" t="str">
        <f t="shared" si="58"/>
        <v/>
      </c>
      <c r="AD141" s="95" t="str">
        <f t="shared" si="59"/>
        <v/>
      </c>
      <c r="AE141" s="96" t="str">
        <f t="shared" si="60"/>
        <v/>
      </c>
      <c r="AF141" s="124" t="str">
        <f t="shared" si="61"/>
        <v/>
      </c>
      <c r="AG141" s="2"/>
      <c r="AH141" s="2"/>
      <c r="AI141" s="2"/>
      <c r="AJ141" s="2"/>
      <c r="AK141" s="2"/>
      <c r="AL141" s="2"/>
    </row>
    <row r="142" spans="1:38" x14ac:dyDescent="0.2">
      <c r="A142" s="45"/>
      <c r="B142" s="43" t="str">
        <f t="shared" si="64"/>
        <v/>
      </c>
      <c r="C142" s="96" t="str">
        <f t="shared" si="63"/>
        <v/>
      </c>
      <c r="D142" s="44" t="str">
        <f t="shared" si="65"/>
        <v/>
      </c>
      <c r="E142" s="52"/>
      <c r="F142" s="63" t="str">
        <f t="shared" si="66"/>
        <v/>
      </c>
      <c r="G142" s="56" t="str">
        <f t="shared" si="67"/>
        <v/>
      </c>
      <c r="H142" s="42"/>
      <c r="I142" s="2" t="str">
        <f t="shared" si="68"/>
        <v/>
      </c>
      <c r="J142" s="54" t="str">
        <f t="shared" si="55"/>
        <v/>
      </c>
      <c r="K142" s="55" t="str">
        <f t="shared" si="69"/>
        <v/>
      </c>
      <c r="L142" s="63" t="str">
        <f t="shared" si="70"/>
        <v/>
      </c>
      <c r="M142" s="96" t="str">
        <f t="shared" si="56"/>
        <v/>
      </c>
      <c r="N142" s="96" t="str">
        <f>IF(A142="","",IF(A142=Expiry,0,EXP(-q*Q142)*_xlfn.NORM.S.DIST(Y142,0)/(sigma*SQRT(Q142))*I142*Mult/100))</f>
        <v/>
      </c>
      <c r="O142" s="96" t="str">
        <f>IF(A142="","",IF(A142=Expiry,0,D142*E142*E142*EXP(-q*Q142)*_xlfn.NORM.S.DIST(Y142,0)*SQRT(Q142)/100))</f>
        <v/>
      </c>
      <c r="P142" s="69" t="str">
        <f>IF(A142="","",IF(A142=Expiry,0,AK142*I142*Mult*((-EXP(-q*Q142)*E142*_xlfn.NORM.S.DIST(Y142,0)*sigma/(2*SQRT(Q142))-r_dom*K*EXP(-r_dom*Q142)*_xlfn.NORM.S.DIST(Z142,1)+q*E142*EXP(-q*Q142)*_xlfn.NORM.S.DIST(Y142,1))/365)))</f>
        <v/>
      </c>
      <c r="Q142" s="83" t="str">
        <f t="shared" si="71"/>
        <v/>
      </c>
      <c r="R142" s="38"/>
      <c r="S142" s="68" t="str">
        <f t="shared" si="72"/>
        <v/>
      </c>
      <c r="T142" s="69" t="str">
        <f t="shared" si="73"/>
        <v/>
      </c>
      <c r="U142" s="70" t="str">
        <f t="shared" si="74"/>
        <v/>
      </c>
      <c r="V142" s="72" t="str">
        <f t="shared" si="75"/>
        <v/>
      </c>
      <c r="W142" s="2" t="str">
        <f t="shared" si="62"/>
        <v/>
      </c>
      <c r="X142" s="2" t="str">
        <f t="shared" si="57"/>
        <v/>
      </c>
      <c r="Y142" s="35" t="str">
        <f t="shared" ca="1" si="76"/>
        <v/>
      </c>
      <c r="Z142" s="36" t="str">
        <f t="shared" ca="1" si="77"/>
        <v/>
      </c>
      <c r="AA142" s="70" t="str">
        <f t="shared" si="78"/>
        <v/>
      </c>
      <c r="AB142" s="2"/>
      <c r="AC142" s="94" t="str">
        <f t="shared" si="58"/>
        <v/>
      </c>
      <c r="AD142" s="95" t="str">
        <f t="shared" si="59"/>
        <v/>
      </c>
      <c r="AE142" s="96" t="str">
        <f t="shared" si="60"/>
        <v/>
      </c>
      <c r="AF142" s="124" t="str">
        <f t="shared" si="61"/>
        <v/>
      </c>
      <c r="AG142" s="2"/>
      <c r="AH142" s="2"/>
      <c r="AI142" s="2"/>
      <c r="AJ142" s="2"/>
      <c r="AK142" s="2"/>
      <c r="AL142" s="2"/>
    </row>
    <row r="143" spans="1:38" x14ac:dyDescent="0.2">
      <c r="A143" s="45"/>
      <c r="B143" s="43" t="str">
        <f t="shared" si="64"/>
        <v/>
      </c>
      <c r="C143" s="96" t="str">
        <f t="shared" si="63"/>
        <v/>
      </c>
      <c r="D143" s="44" t="str">
        <f t="shared" si="65"/>
        <v/>
      </c>
      <c r="E143" s="52"/>
      <c r="F143" s="63" t="str">
        <f t="shared" si="66"/>
        <v/>
      </c>
      <c r="G143" s="56" t="str">
        <f t="shared" si="67"/>
        <v/>
      </c>
      <c r="H143" s="42"/>
      <c r="I143" s="2" t="str">
        <f t="shared" si="68"/>
        <v/>
      </c>
      <c r="J143" s="54" t="str">
        <f t="shared" si="55"/>
        <v/>
      </c>
      <c r="K143" s="55" t="str">
        <f t="shared" si="69"/>
        <v/>
      </c>
      <c r="L143" s="63" t="str">
        <f t="shared" si="70"/>
        <v/>
      </c>
      <c r="M143" s="96" t="str">
        <f t="shared" si="56"/>
        <v/>
      </c>
      <c r="N143" s="96" t="str">
        <f>IF(A143="","",IF(A143=Expiry,0,EXP(-q*Q143)*_xlfn.NORM.S.DIST(Y143,0)/(sigma*SQRT(Q143))*I143*Mult/100))</f>
        <v/>
      </c>
      <c r="O143" s="96" t="str">
        <f>IF(A143="","",IF(A143=Expiry,0,D143*E143*E143*EXP(-q*Q143)*_xlfn.NORM.S.DIST(Y143,0)*SQRT(Q143)/100))</f>
        <v/>
      </c>
      <c r="P143" s="69" t="str">
        <f>IF(A143="","",IF(A143=Expiry,0,AK143*I143*Mult*((-EXP(-q*Q143)*E143*_xlfn.NORM.S.DIST(Y143,0)*sigma/(2*SQRT(Q143))-r_dom*K*EXP(-r_dom*Q143)*_xlfn.NORM.S.DIST(Z143,1)+q*E143*EXP(-q*Q143)*_xlfn.NORM.S.DIST(Y143,1))/365)))</f>
        <v/>
      </c>
      <c r="Q143" s="83" t="str">
        <f t="shared" si="71"/>
        <v/>
      </c>
      <c r="R143" s="38"/>
      <c r="S143" s="68" t="str">
        <f t="shared" si="72"/>
        <v/>
      </c>
      <c r="T143" s="69" t="str">
        <f t="shared" si="73"/>
        <v/>
      </c>
      <c r="U143" s="70" t="str">
        <f t="shared" si="74"/>
        <v/>
      </c>
      <c r="V143" s="72" t="str">
        <f t="shared" si="75"/>
        <v/>
      </c>
      <c r="W143" s="2" t="str">
        <f t="shared" si="62"/>
        <v/>
      </c>
      <c r="X143" s="2" t="str">
        <f t="shared" si="57"/>
        <v/>
      </c>
      <c r="Y143" s="35" t="str">
        <f t="shared" ca="1" si="76"/>
        <v/>
      </c>
      <c r="Z143" s="36" t="str">
        <f t="shared" ca="1" si="77"/>
        <v/>
      </c>
      <c r="AA143" s="70" t="str">
        <f t="shared" si="78"/>
        <v/>
      </c>
      <c r="AB143" s="2"/>
      <c r="AC143" s="94" t="str">
        <f t="shared" si="58"/>
        <v/>
      </c>
      <c r="AD143" s="95" t="str">
        <f t="shared" si="59"/>
        <v/>
      </c>
      <c r="AE143" s="96" t="str">
        <f t="shared" si="60"/>
        <v/>
      </c>
      <c r="AF143" s="124" t="str">
        <f t="shared" si="61"/>
        <v/>
      </c>
      <c r="AG143" s="2"/>
      <c r="AH143" s="2"/>
      <c r="AI143" s="2"/>
      <c r="AJ143" s="2"/>
      <c r="AK143" s="2"/>
      <c r="AL143" s="2"/>
    </row>
    <row r="144" spans="1:38" x14ac:dyDescent="0.2">
      <c r="A144" s="45"/>
      <c r="B144" s="43" t="str">
        <f t="shared" si="64"/>
        <v/>
      </c>
      <c r="C144" s="96" t="str">
        <f t="shared" si="63"/>
        <v/>
      </c>
      <c r="D144" s="44" t="str">
        <f t="shared" si="65"/>
        <v/>
      </c>
      <c r="E144" s="52"/>
      <c r="F144" s="63" t="str">
        <f t="shared" si="66"/>
        <v/>
      </c>
      <c r="G144" s="56" t="str">
        <f t="shared" si="67"/>
        <v/>
      </c>
      <c r="H144" s="42"/>
      <c r="I144" s="2" t="str">
        <f t="shared" si="68"/>
        <v/>
      </c>
      <c r="J144" s="54" t="str">
        <f t="shared" si="55"/>
        <v/>
      </c>
      <c r="K144" s="55" t="str">
        <f t="shared" si="69"/>
        <v/>
      </c>
      <c r="L144" s="63" t="str">
        <f t="shared" si="70"/>
        <v/>
      </c>
      <c r="M144" s="96" t="str">
        <f t="shared" si="56"/>
        <v/>
      </c>
      <c r="N144" s="96" t="str">
        <f>IF(A144="","",IF(A144=Expiry,0,EXP(-q*Q144)*_xlfn.NORM.S.DIST(Y144,0)/(sigma*SQRT(Q144))*I144*Mult/100))</f>
        <v/>
      </c>
      <c r="O144" s="96" t="str">
        <f>IF(A144="","",IF(A144=Expiry,0,D144*E144*E144*EXP(-q*Q144)*_xlfn.NORM.S.DIST(Y144,0)*SQRT(Q144)/100))</f>
        <v/>
      </c>
      <c r="P144" s="69" t="str">
        <f>IF(A144="","",IF(A144=Expiry,0,AK144*I144*Mult*((-EXP(-q*Q144)*E144*_xlfn.NORM.S.DIST(Y144,0)*sigma/(2*SQRT(Q144))-r_dom*K*EXP(-r_dom*Q144)*_xlfn.NORM.S.DIST(Z144,1)+q*E144*EXP(-q*Q144)*_xlfn.NORM.S.DIST(Y144,1))/365)))</f>
        <v/>
      </c>
      <c r="Q144" s="83" t="str">
        <f t="shared" si="71"/>
        <v/>
      </c>
      <c r="R144" s="38"/>
      <c r="S144" s="68" t="str">
        <f t="shared" si="72"/>
        <v/>
      </c>
      <c r="T144" s="69" t="str">
        <f t="shared" si="73"/>
        <v/>
      </c>
      <c r="U144" s="70" t="str">
        <f t="shared" si="74"/>
        <v/>
      </c>
      <c r="V144" s="72" t="str">
        <f t="shared" si="75"/>
        <v/>
      </c>
      <c r="W144" s="2" t="str">
        <f t="shared" si="62"/>
        <v/>
      </c>
      <c r="X144" s="2" t="str">
        <f t="shared" si="57"/>
        <v/>
      </c>
      <c r="Y144" s="35" t="str">
        <f t="shared" ca="1" si="76"/>
        <v/>
      </c>
      <c r="Z144" s="36" t="str">
        <f t="shared" ca="1" si="77"/>
        <v/>
      </c>
      <c r="AA144" s="70" t="str">
        <f t="shared" si="78"/>
        <v/>
      </c>
      <c r="AB144" s="2"/>
      <c r="AC144" s="94" t="str">
        <f t="shared" si="58"/>
        <v/>
      </c>
      <c r="AD144" s="95" t="str">
        <f t="shared" si="59"/>
        <v/>
      </c>
      <c r="AE144" s="96" t="str">
        <f t="shared" si="60"/>
        <v/>
      </c>
      <c r="AF144" s="124" t="str">
        <f t="shared" si="61"/>
        <v/>
      </c>
      <c r="AG144" s="2"/>
      <c r="AH144" s="2"/>
      <c r="AI144" s="2"/>
      <c r="AJ144" s="2"/>
      <c r="AK144" s="2"/>
      <c r="AL144" s="2"/>
    </row>
    <row r="145" spans="1:38" x14ac:dyDescent="0.2">
      <c r="A145" s="45"/>
      <c r="B145" s="43" t="str">
        <f t="shared" si="64"/>
        <v/>
      </c>
      <c r="C145" s="96" t="str">
        <f t="shared" si="63"/>
        <v/>
      </c>
      <c r="D145" s="44" t="str">
        <f t="shared" si="65"/>
        <v/>
      </c>
      <c r="E145" s="52"/>
      <c r="F145" s="63" t="str">
        <f t="shared" si="66"/>
        <v/>
      </c>
      <c r="G145" s="56" t="str">
        <f t="shared" si="67"/>
        <v/>
      </c>
      <c r="H145" s="42"/>
      <c r="I145" s="2" t="str">
        <f t="shared" si="68"/>
        <v/>
      </c>
      <c r="J145" s="54" t="str">
        <f t="shared" si="55"/>
        <v/>
      </c>
      <c r="K145" s="55" t="str">
        <f t="shared" si="69"/>
        <v/>
      </c>
      <c r="L145" s="63" t="str">
        <f t="shared" si="70"/>
        <v/>
      </c>
      <c r="M145" s="96" t="str">
        <f t="shared" si="56"/>
        <v/>
      </c>
      <c r="N145" s="96" t="str">
        <f>IF(A145="","",IF(A145=Expiry,0,EXP(-q*Q145)*_xlfn.NORM.S.DIST(Y145,0)/(sigma*SQRT(Q145))*I145*Mult/100))</f>
        <v/>
      </c>
      <c r="O145" s="96" t="str">
        <f>IF(A145="","",IF(A145=Expiry,0,D145*E145*E145*EXP(-q*Q145)*_xlfn.NORM.S.DIST(Y145,0)*SQRT(Q145)/100))</f>
        <v/>
      </c>
      <c r="P145" s="69" t="str">
        <f>IF(A145="","",IF(A145=Expiry,0,AK145*I145*Mult*((-EXP(-q*Q145)*E145*_xlfn.NORM.S.DIST(Y145,0)*sigma/(2*SQRT(Q145))-r_dom*K*EXP(-r_dom*Q145)*_xlfn.NORM.S.DIST(Z145,1)+q*E145*EXP(-q*Q145)*_xlfn.NORM.S.DIST(Y145,1))/365)))</f>
        <v/>
      </c>
      <c r="Q145" s="83" t="str">
        <f t="shared" si="71"/>
        <v/>
      </c>
      <c r="R145" s="38"/>
      <c r="S145" s="68" t="str">
        <f t="shared" si="72"/>
        <v/>
      </c>
      <c r="T145" s="69" t="str">
        <f t="shared" si="73"/>
        <v/>
      </c>
      <c r="U145" s="70" t="str">
        <f t="shared" si="74"/>
        <v/>
      </c>
      <c r="V145" s="72" t="str">
        <f t="shared" si="75"/>
        <v/>
      </c>
      <c r="W145" s="2" t="str">
        <f t="shared" si="62"/>
        <v/>
      </c>
      <c r="X145" s="2" t="str">
        <f t="shared" si="57"/>
        <v/>
      </c>
      <c r="Y145" s="35" t="str">
        <f t="shared" ca="1" si="76"/>
        <v/>
      </c>
      <c r="Z145" s="36" t="str">
        <f t="shared" ca="1" si="77"/>
        <v/>
      </c>
      <c r="AA145" s="70" t="str">
        <f t="shared" si="78"/>
        <v/>
      </c>
      <c r="AB145" s="2"/>
      <c r="AC145" s="94" t="str">
        <f t="shared" si="58"/>
        <v/>
      </c>
      <c r="AD145" s="95" t="str">
        <f t="shared" si="59"/>
        <v/>
      </c>
      <c r="AE145" s="96" t="str">
        <f t="shared" si="60"/>
        <v/>
      </c>
      <c r="AF145" s="124" t="str">
        <f t="shared" si="61"/>
        <v/>
      </c>
      <c r="AG145" s="2"/>
      <c r="AH145" s="2"/>
      <c r="AI145" s="2"/>
      <c r="AJ145" s="2"/>
      <c r="AK145" s="2"/>
      <c r="AL145" s="2"/>
    </row>
    <row r="146" spans="1:38" x14ac:dyDescent="0.2">
      <c r="A146" s="45"/>
      <c r="B146" s="43" t="str">
        <f t="shared" si="64"/>
        <v/>
      </c>
      <c r="C146" s="96" t="str">
        <f t="shared" si="63"/>
        <v/>
      </c>
      <c r="D146" s="44" t="str">
        <f t="shared" si="65"/>
        <v/>
      </c>
      <c r="E146" s="52"/>
      <c r="F146" s="63" t="str">
        <f t="shared" si="66"/>
        <v/>
      </c>
      <c r="G146" s="56" t="str">
        <f t="shared" si="67"/>
        <v/>
      </c>
      <c r="H146" s="42"/>
      <c r="I146" s="2" t="str">
        <f t="shared" si="68"/>
        <v/>
      </c>
      <c r="J146" s="54" t="str">
        <f t="shared" si="55"/>
        <v/>
      </c>
      <c r="K146" s="55" t="str">
        <f t="shared" si="69"/>
        <v/>
      </c>
      <c r="L146" s="63" t="str">
        <f t="shared" si="70"/>
        <v/>
      </c>
      <c r="M146" s="96" t="str">
        <f t="shared" si="56"/>
        <v/>
      </c>
      <c r="N146" s="96" t="str">
        <f>IF(A146="","",IF(A146=Expiry,0,EXP(-q*Q146)*_xlfn.NORM.S.DIST(Y146,0)/(sigma*SQRT(Q146))*I146*Mult/100))</f>
        <v/>
      </c>
      <c r="O146" s="96" t="str">
        <f>IF(A146="","",IF(A146=Expiry,0,D146*E146*E146*EXP(-q*Q146)*_xlfn.NORM.S.DIST(Y146,0)*SQRT(Q146)/100))</f>
        <v/>
      </c>
      <c r="P146" s="69" t="str">
        <f>IF(A146="","",IF(A146=Expiry,0,AK146*I146*Mult*((-EXP(-q*Q146)*E146*_xlfn.NORM.S.DIST(Y146,0)*sigma/(2*SQRT(Q146))-r_dom*K*EXP(-r_dom*Q146)*_xlfn.NORM.S.DIST(Z146,1)+q*E146*EXP(-q*Q146)*_xlfn.NORM.S.DIST(Y146,1))/365)))</f>
        <v/>
      </c>
      <c r="Q146" s="83" t="str">
        <f t="shared" si="71"/>
        <v/>
      </c>
      <c r="R146" s="38"/>
      <c r="S146" s="68" t="str">
        <f t="shared" si="72"/>
        <v/>
      </c>
      <c r="T146" s="69" t="str">
        <f t="shared" si="73"/>
        <v/>
      </c>
      <c r="U146" s="70" t="str">
        <f t="shared" si="74"/>
        <v/>
      </c>
      <c r="V146" s="72" t="str">
        <f t="shared" si="75"/>
        <v/>
      </c>
      <c r="W146" s="2" t="str">
        <f t="shared" si="62"/>
        <v/>
      </c>
      <c r="X146" s="2" t="str">
        <f t="shared" si="57"/>
        <v/>
      </c>
      <c r="Y146" s="35" t="str">
        <f t="shared" ca="1" si="76"/>
        <v/>
      </c>
      <c r="Z146" s="36" t="str">
        <f t="shared" ca="1" si="77"/>
        <v/>
      </c>
      <c r="AA146" s="70" t="str">
        <f t="shared" si="78"/>
        <v/>
      </c>
      <c r="AB146" s="2"/>
      <c r="AC146" s="94" t="str">
        <f t="shared" si="58"/>
        <v/>
      </c>
      <c r="AD146" s="95" t="str">
        <f t="shared" si="59"/>
        <v/>
      </c>
      <c r="AE146" s="96" t="str">
        <f t="shared" si="60"/>
        <v/>
      </c>
      <c r="AF146" s="124" t="str">
        <f t="shared" si="61"/>
        <v/>
      </c>
      <c r="AG146" s="2"/>
      <c r="AH146" s="2"/>
      <c r="AI146" s="2"/>
      <c r="AJ146" s="2"/>
      <c r="AK146" s="2"/>
      <c r="AL146" s="2"/>
    </row>
    <row r="147" spans="1:38" x14ac:dyDescent="0.2">
      <c r="A147" s="45"/>
      <c r="B147" s="43" t="str">
        <f t="shared" si="64"/>
        <v/>
      </c>
      <c r="C147" s="96" t="str">
        <f t="shared" si="63"/>
        <v/>
      </c>
      <c r="D147" s="44" t="str">
        <f t="shared" si="65"/>
        <v/>
      </c>
      <c r="E147" s="52"/>
      <c r="F147" s="63" t="str">
        <f t="shared" si="66"/>
        <v/>
      </c>
      <c r="G147" s="56" t="str">
        <f t="shared" si="67"/>
        <v/>
      </c>
      <c r="H147" s="42"/>
      <c r="I147" s="2" t="str">
        <f t="shared" si="68"/>
        <v/>
      </c>
      <c r="J147" s="54" t="str">
        <f t="shared" si="55"/>
        <v/>
      </c>
      <c r="K147" s="55" t="str">
        <f t="shared" si="69"/>
        <v/>
      </c>
      <c r="L147" s="63" t="str">
        <f t="shared" si="70"/>
        <v/>
      </c>
      <c r="M147" s="96" t="str">
        <f t="shared" si="56"/>
        <v/>
      </c>
      <c r="N147" s="96" t="str">
        <f>IF(A147="","",IF(A147=Expiry,0,EXP(-q*Q147)*_xlfn.NORM.S.DIST(Y147,0)/(sigma*SQRT(Q147))*I147*Mult/100))</f>
        <v/>
      </c>
      <c r="O147" s="96" t="str">
        <f>IF(A147="","",IF(A147=Expiry,0,D147*E147*E147*EXP(-q*Q147)*_xlfn.NORM.S.DIST(Y147,0)*SQRT(Q147)/100))</f>
        <v/>
      </c>
      <c r="P147" s="69" t="str">
        <f>IF(A147="","",IF(A147=Expiry,0,AK147*I147*Mult*((-EXP(-q*Q147)*E147*_xlfn.NORM.S.DIST(Y147,0)*sigma/(2*SQRT(Q147))-r_dom*K*EXP(-r_dom*Q147)*_xlfn.NORM.S.DIST(Z147,1)+q*E147*EXP(-q*Q147)*_xlfn.NORM.S.DIST(Y147,1))/365)))</f>
        <v/>
      </c>
      <c r="Q147" s="83" t="str">
        <f t="shared" si="71"/>
        <v/>
      </c>
      <c r="R147" s="38"/>
      <c r="S147" s="68" t="str">
        <f t="shared" si="72"/>
        <v/>
      </c>
      <c r="T147" s="69" t="str">
        <f t="shared" si="73"/>
        <v/>
      </c>
      <c r="U147" s="70" t="str">
        <f t="shared" si="74"/>
        <v/>
      </c>
      <c r="V147" s="72" t="str">
        <f t="shared" si="75"/>
        <v/>
      </c>
      <c r="W147" s="2" t="str">
        <f t="shared" si="62"/>
        <v/>
      </c>
      <c r="X147" s="2" t="str">
        <f t="shared" si="57"/>
        <v/>
      </c>
      <c r="Y147" s="35" t="str">
        <f t="shared" ca="1" si="76"/>
        <v/>
      </c>
      <c r="Z147" s="36" t="str">
        <f t="shared" ca="1" si="77"/>
        <v/>
      </c>
      <c r="AA147" s="70" t="str">
        <f t="shared" si="78"/>
        <v/>
      </c>
      <c r="AB147" s="2"/>
      <c r="AC147" s="94" t="str">
        <f t="shared" si="58"/>
        <v/>
      </c>
      <c r="AD147" s="95" t="str">
        <f t="shared" si="59"/>
        <v/>
      </c>
      <c r="AE147" s="96" t="str">
        <f t="shared" si="60"/>
        <v/>
      </c>
      <c r="AF147" s="124" t="str">
        <f t="shared" si="61"/>
        <v/>
      </c>
      <c r="AG147" s="2"/>
      <c r="AH147" s="2"/>
      <c r="AI147" s="2"/>
      <c r="AJ147" s="2"/>
      <c r="AK147" s="2"/>
      <c r="AL147" s="2"/>
    </row>
    <row r="148" spans="1:38" x14ac:dyDescent="0.2">
      <c r="A148" s="45"/>
      <c r="B148" s="43" t="str">
        <f t="shared" si="64"/>
        <v/>
      </c>
      <c r="C148" s="96" t="str">
        <f t="shared" si="63"/>
        <v/>
      </c>
      <c r="D148" s="44" t="str">
        <f t="shared" si="65"/>
        <v/>
      </c>
      <c r="E148" s="52"/>
      <c r="F148" s="63" t="str">
        <f t="shared" si="66"/>
        <v/>
      </c>
      <c r="G148" s="56" t="str">
        <f t="shared" si="67"/>
        <v/>
      </c>
      <c r="H148" s="42"/>
      <c r="I148" s="2" t="str">
        <f t="shared" si="68"/>
        <v/>
      </c>
      <c r="J148" s="54" t="str">
        <f t="shared" si="55"/>
        <v/>
      </c>
      <c r="K148" s="55" t="str">
        <f t="shared" si="69"/>
        <v/>
      </c>
      <c r="L148" s="63" t="str">
        <f t="shared" si="70"/>
        <v/>
      </c>
      <c r="M148" s="96" t="str">
        <f t="shared" si="56"/>
        <v/>
      </c>
      <c r="N148" s="96" t="str">
        <f>IF(A148="","",IF(A148=Expiry,0,EXP(-q*Q148)*_xlfn.NORM.S.DIST(Y148,0)/(sigma*SQRT(Q148))*I148*Mult/100))</f>
        <v/>
      </c>
      <c r="O148" s="96" t="str">
        <f>IF(A148="","",IF(A148=Expiry,0,D148*E148*E148*EXP(-q*Q148)*_xlfn.NORM.S.DIST(Y148,0)*SQRT(Q148)/100))</f>
        <v/>
      </c>
      <c r="P148" s="69" t="str">
        <f>IF(A148="","",IF(A148=Expiry,0,AK148*I148*Mult*((-EXP(-q*Q148)*E148*_xlfn.NORM.S.DIST(Y148,0)*sigma/(2*SQRT(Q148))-r_dom*K*EXP(-r_dom*Q148)*_xlfn.NORM.S.DIST(Z148,1)+q*E148*EXP(-q*Q148)*_xlfn.NORM.S.DIST(Y148,1))/365)))</f>
        <v/>
      </c>
      <c r="Q148" s="83" t="str">
        <f t="shared" si="71"/>
        <v/>
      </c>
      <c r="R148" s="38"/>
      <c r="S148" s="68" t="str">
        <f t="shared" si="72"/>
        <v/>
      </c>
      <c r="T148" s="69" t="str">
        <f t="shared" si="73"/>
        <v/>
      </c>
      <c r="U148" s="70" t="str">
        <f t="shared" si="74"/>
        <v/>
      </c>
      <c r="V148" s="72" t="str">
        <f t="shared" si="75"/>
        <v/>
      </c>
      <c r="W148" s="2" t="str">
        <f t="shared" si="62"/>
        <v/>
      </c>
      <c r="X148" s="2" t="str">
        <f t="shared" si="57"/>
        <v/>
      </c>
      <c r="Y148" s="35" t="str">
        <f t="shared" ca="1" si="76"/>
        <v/>
      </c>
      <c r="Z148" s="36" t="str">
        <f t="shared" ca="1" si="77"/>
        <v/>
      </c>
      <c r="AA148" s="70" t="str">
        <f t="shared" si="78"/>
        <v/>
      </c>
      <c r="AB148" s="2"/>
      <c r="AC148" s="94" t="str">
        <f t="shared" si="58"/>
        <v/>
      </c>
      <c r="AD148" s="95" t="str">
        <f t="shared" si="59"/>
        <v/>
      </c>
      <c r="AE148" s="96" t="str">
        <f t="shared" si="60"/>
        <v/>
      </c>
      <c r="AF148" s="124" t="str">
        <f t="shared" si="61"/>
        <v/>
      </c>
      <c r="AG148" s="2"/>
      <c r="AH148" s="2"/>
      <c r="AI148" s="2"/>
      <c r="AJ148" s="2"/>
      <c r="AK148" s="2"/>
      <c r="AL148" s="2"/>
    </row>
    <row r="149" spans="1:38" x14ac:dyDescent="0.2">
      <c r="A149" s="45"/>
      <c r="B149" s="43" t="str">
        <f t="shared" si="64"/>
        <v/>
      </c>
      <c r="C149" s="96" t="str">
        <f t="shared" si="63"/>
        <v/>
      </c>
      <c r="D149" s="44" t="str">
        <f t="shared" si="65"/>
        <v/>
      </c>
      <c r="E149" s="52"/>
      <c r="F149" s="63" t="str">
        <f t="shared" si="66"/>
        <v/>
      </c>
      <c r="G149" s="56" t="str">
        <f t="shared" si="67"/>
        <v/>
      </c>
      <c r="H149" s="42"/>
      <c r="I149" s="2" t="str">
        <f t="shared" si="68"/>
        <v/>
      </c>
      <c r="J149" s="54" t="str">
        <f t="shared" si="55"/>
        <v/>
      </c>
      <c r="K149" s="55" t="str">
        <f t="shared" si="69"/>
        <v/>
      </c>
      <c r="L149" s="63" t="str">
        <f t="shared" si="70"/>
        <v/>
      </c>
      <c r="M149" s="96" t="str">
        <f t="shared" si="56"/>
        <v/>
      </c>
      <c r="N149" s="96" t="str">
        <f>IF(A149="","",IF(A149=Expiry,0,EXP(-q*Q149)*_xlfn.NORM.S.DIST(Y149,0)/(sigma*SQRT(Q149))*I149*Mult/100))</f>
        <v/>
      </c>
      <c r="O149" s="96" t="str">
        <f>IF(A149="","",IF(A149=Expiry,0,D149*E149*E149*EXP(-q*Q149)*_xlfn.NORM.S.DIST(Y149,0)*SQRT(Q149)/100))</f>
        <v/>
      </c>
      <c r="P149" s="69" t="str">
        <f>IF(A149="","",IF(A149=Expiry,0,AK149*I149*Mult*((-EXP(-q*Q149)*E149*_xlfn.NORM.S.DIST(Y149,0)*sigma/(2*SQRT(Q149))-r_dom*K*EXP(-r_dom*Q149)*_xlfn.NORM.S.DIST(Z149,1)+q*E149*EXP(-q*Q149)*_xlfn.NORM.S.DIST(Y149,1))/365)))</f>
        <v/>
      </c>
      <c r="Q149" s="83" t="str">
        <f t="shared" si="71"/>
        <v/>
      </c>
      <c r="R149" s="38"/>
      <c r="S149" s="68" t="str">
        <f t="shared" si="72"/>
        <v/>
      </c>
      <c r="T149" s="69" t="str">
        <f t="shared" si="73"/>
        <v/>
      </c>
      <c r="U149" s="70" t="str">
        <f t="shared" si="74"/>
        <v/>
      </c>
      <c r="V149" s="72" t="str">
        <f t="shared" si="75"/>
        <v/>
      </c>
      <c r="W149" s="2" t="str">
        <f t="shared" si="62"/>
        <v/>
      </c>
      <c r="X149" s="2" t="str">
        <f t="shared" si="57"/>
        <v/>
      </c>
      <c r="Y149" s="35" t="str">
        <f t="shared" ca="1" si="76"/>
        <v/>
      </c>
      <c r="Z149" s="36" t="str">
        <f t="shared" ca="1" si="77"/>
        <v/>
      </c>
      <c r="AA149" s="70" t="str">
        <f t="shared" si="78"/>
        <v/>
      </c>
      <c r="AB149" s="2"/>
      <c r="AC149" s="94" t="str">
        <f t="shared" si="58"/>
        <v/>
      </c>
      <c r="AD149" s="95" t="str">
        <f t="shared" si="59"/>
        <v/>
      </c>
      <c r="AE149" s="96" t="str">
        <f t="shared" si="60"/>
        <v/>
      </c>
      <c r="AF149" s="124" t="str">
        <f t="shared" si="61"/>
        <v/>
      </c>
      <c r="AG149" s="2"/>
      <c r="AH149" s="2"/>
      <c r="AI149" s="2"/>
      <c r="AJ149" s="2"/>
      <c r="AK149" s="2"/>
      <c r="AL149" s="2"/>
    </row>
    <row r="150" spans="1:38" x14ac:dyDescent="0.2">
      <c r="A150" s="45"/>
      <c r="B150" s="43" t="str">
        <f t="shared" si="64"/>
        <v/>
      </c>
      <c r="C150" s="96" t="str">
        <f t="shared" si="63"/>
        <v/>
      </c>
      <c r="D150" s="44" t="str">
        <f t="shared" si="65"/>
        <v/>
      </c>
      <c r="E150" s="52"/>
      <c r="F150" s="63" t="str">
        <f t="shared" si="66"/>
        <v/>
      </c>
      <c r="G150" s="56" t="str">
        <f t="shared" si="67"/>
        <v/>
      </c>
      <c r="H150" s="42"/>
      <c r="I150" s="2" t="str">
        <f t="shared" si="68"/>
        <v/>
      </c>
      <c r="J150" s="54" t="str">
        <f t="shared" si="55"/>
        <v/>
      </c>
      <c r="K150" s="55" t="str">
        <f t="shared" si="69"/>
        <v/>
      </c>
      <c r="L150" s="63" t="str">
        <f t="shared" si="70"/>
        <v/>
      </c>
      <c r="M150" s="96" t="str">
        <f t="shared" si="56"/>
        <v/>
      </c>
      <c r="N150" s="96" t="str">
        <f>IF(A150="","",IF(A150=Expiry,0,EXP(-q*Q150)*_xlfn.NORM.S.DIST(Y150,0)/(sigma*SQRT(Q150))*I150*Mult/100))</f>
        <v/>
      </c>
      <c r="O150" s="96" t="str">
        <f>IF(A150="","",IF(A150=Expiry,0,D150*E150*E150*EXP(-q*Q150)*_xlfn.NORM.S.DIST(Y150,0)*SQRT(Q150)/100))</f>
        <v/>
      </c>
      <c r="P150" s="69" t="str">
        <f>IF(A150="","",IF(A150=Expiry,0,AK150*I150*Mult*((-EXP(-q*Q150)*E150*_xlfn.NORM.S.DIST(Y150,0)*sigma/(2*SQRT(Q150))-r_dom*K*EXP(-r_dom*Q150)*_xlfn.NORM.S.DIST(Z150,1)+q*E150*EXP(-q*Q150)*_xlfn.NORM.S.DIST(Y150,1))/365)))</f>
        <v/>
      </c>
      <c r="Q150" s="83" t="str">
        <f t="shared" si="71"/>
        <v/>
      </c>
      <c r="R150" s="38"/>
      <c r="S150" s="68" t="str">
        <f t="shared" si="72"/>
        <v/>
      </c>
      <c r="T150" s="69" t="str">
        <f t="shared" si="73"/>
        <v/>
      </c>
      <c r="U150" s="70" t="str">
        <f t="shared" si="74"/>
        <v/>
      </c>
      <c r="V150" s="72" t="str">
        <f t="shared" si="75"/>
        <v/>
      </c>
      <c r="W150" s="2" t="str">
        <f t="shared" si="62"/>
        <v/>
      </c>
      <c r="X150" s="2" t="str">
        <f t="shared" si="57"/>
        <v/>
      </c>
      <c r="Y150" s="35" t="str">
        <f t="shared" ca="1" si="76"/>
        <v/>
      </c>
      <c r="Z150" s="36" t="str">
        <f t="shared" ca="1" si="77"/>
        <v/>
      </c>
      <c r="AA150" s="70" t="str">
        <f t="shared" si="78"/>
        <v/>
      </c>
      <c r="AB150" s="2"/>
      <c r="AC150" s="94" t="str">
        <f t="shared" si="58"/>
        <v/>
      </c>
      <c r="AD150" s="95" t="str">
        <f t="shared" si="59"/>
        <v/>
      </c>
      <c r="AE150" s="96" t="str">
        <f t="shared" si="60"/>
        <v/>
      </c>
      <c r="AF150" s="124" t="str">
        <f t="shared" si="61"/>
        <v/>
      </c>
      <c r="AG150" s="2"/>
      <c r="AH150" s="2"/>
      <c r="AI150" s="2"/>
      <c r="AJ150" s="2"/>
      <c r="AK150" s="2"/>
      <c r="AL150" s="2"/>
    </row>
    <row r="151" spans="1:38" x14ac:dyDescent="0.2">
      <c r="A151" s="45"/>
      <c r="B151" s="43" t="str">
        <f t="shared" si="64"/>
        <v/>
      </c>
      <c r="C151" s="96" t="str">
        <f t="shared" si="63"/>
        <v/>
      </c>
      <c r="D151" s="44" t="str">
        <f t="shared" si="65"/>
        <v/>
      </c>
      <c r="E151" s="52"/>
      <c r="F151" s="63" t="str">
        <f t="shared" si="66"/>
        <v/>
      </c>
      <c r="G151" s="56" t="str">
        <f t="shared" si="67"/>
        <v/>
      </c>
      <c r="H151" s="42"/>
      <c r="I151" s="2" t="str">
        <f t="shared" si="68"/>
        <v/>
      </c>
      <c r="J151" s="54" t="str">
        <f t="shared" si="55"/>
        <v/>
      </c>
      <c r="K151" s="55" t="str">
        <f t="shared" si="69"/>
        <v/>
      </c>
      <c r="L151" s="63" t="str">
        <f t="shared" si="70"/>
        <v/>
      </c>
      <c r="M151" s="96" t="str">
        <f t="shared" si="56"/>
        <v/>
      </c>
      <c r="N151" s="96" t="str">
        <f>IF(A151="","",IF(A151=Expiry,0,EXP(-q*Q151)*_xlfn.NORM.S.DIST(Y151,0)/(sigma*SQRT(Q151))*I151*Mult/100))</f>
        <v/>
      </c>
      <c r="O151" s="96" t="str">
        <f>IF(A151="","",IF(A151=Expiry,0,D151*E151*E151*EXP(-q*Q151)*_xlfn.NORM.S.DIST(Y151,0)*SQRT(Q151)/100))</f>
        <v/>
      </c>
      <c r="P151" s="69" t="str">
        <f>IF(A151="","",IF(A151=Expiry,0,AK151*I151*Mult*((-EXP(-q*Q151)*E151*_xlfn.NORM.S.DIST(Y151,0)*sigma/(2*SQRT(Q151))-r_dom*K*EXP(-r_dom*Q151)*_xlfn.NORM.S.DIST(Z151,1)+q*E151*EXP(-q*Q151)*_xlfn.NORM.S.DIST(Y151,1))/365)))</f>
        <v/>
      </c>
      <c r="Q151" s="83" t="str">
        <f t="shared" si="71"/>
        <v/>
      </c>
      <c r="R151" s="38"/>
      <c r="S151" s="68" t="str">
        <f t="shared" si="72"/>
        <v/>
      </c>
      <c r="T151" s="69" t="str">
        <f t="shared" si="73"/>
        <v/>
      </c>
      <c r="U151" s="70" t="str">
        <f t="shared" si="74"/>
        <v/>
      </c>
      <c r="V151" s="72" t="str">
        <f t="shared" si="75"/>
        <v/>
      </c>
      <c r="W151" s="2" t="str">
        <f t="shared" si="62"/>
        <v/>
      </c>
      <c r="X151" s="2" t="str">
        <f t="shared" si="57"/>
        <v/>
      </c>
      <c r="Y151" s="35" t="str">
        <f t="shared" ca="1" si="76"/>
        <v/>
      </c>
      <c r="Z151" s="36" t="str">
        <f t="shared" ca="1" si="77"/>
        <v/>
      </c>
      <c r="AA151" s="70" t="str">
        <f t="shared" si="78"/>
        <v/>
      </c>
      <c r="AB151" s="2"/>
      <c r="AC151" s="94" t="str">
        <f t="shared" si="58"/>
        <v/>
      </c>
      <c r="AD151" s="95" t="str">
        <f t="shared" si="59"/>
        <v/>
      </c>
      <c r="AE151" s="96" t="str">
        <f t="shared" si="60"/>
        <v/>
      </c>
      <c r="AF151" s="124" t="str">
        <f t="shared" si="61"/>
        <v/>
      </c>
      <c r="AG151" s="2"/>
      <c r="AH151" s="2"/>
      <c r="AI151" s="2"/>
      <c r="AJ151" s="2"/>
      <c r="AK151" s="2"/>
      <c r="AL151" s="2"/>
    </row>
    <row r="152" spans="1:38" x14ac:dyDescent="0.2">
      <c r="A152" s="45"/>
      <c r="B152" s="43" t="str">
        <f t="shared" si="64"/>
        <v/>
      </c>
      <c r="C152" s="96" t="str">
        <f t="shared" si="63"/>
        <v/>
      </c>
      <c r="D152" s="44" t="str">
        <f t="shared" si="65"/>
        <v/>
      </c>
      <c r="E152" s="52"/>
      <c r="F152" s="63" t="str">
        <f t="shared" si="66"/>
        <v/>
      </c>
      <c r="G152" s="56" t="str">
        <f t="shared" si="67"/>
        <v/>
      </c>
      <c r="H152" s="42"/>
      <c r="I152" s="2" t="str">
        <f t="shared" si="68"/>
        <v/>
      </c>
      <c r="J152" s="54" t="str">
        <f t="shared" si="55"/>
        <v/>
      </c>
      <c r="K152" s="55" t="str">
        <f t="shared" si="69"/>
        <v/>
      </c>
      <c r="L152" s="63" t="str">
        <f t="shared" si="70"/>
        <v/>
      </c>
      <c r="M152" s="96" t="str">
        <f t="shared" si="56"/>
        <v/>
      </c>
      <c r="N152" s="96" t="str">
        <f>IF(A152="","",IF(A152=Expiry,0,EXP(-q*Q152)*_xlfn.NORM.S.DIST(Y152,0)/(sigma*SQRT(Q152))*I152*Mult/100))</f>
        <v/>
      </c>
      <c r="O152" s="96" t="str">
        <f>IF(A152="","",IF(A152=Expiry,0,D152*E152*E152*EXP(-q*Q152)*_xlfn.NORM.S.DIST(Y152,0)*SQRT(Q152)/100))</f>
        <v/>
      </c>
      <c r="P152" s="69" t="str">
        <f>IF(A152="","",IF(A152=Expiry,0,AK152*I152*Mult*((-EXP(-q*Q152)*E152*_xlfn.NORM.S.DIST(Y152,0)*sigma/(2*SQRT(Q152))-r_dom*K*EXP(-r_dom*Q152)*_xlfn.NORM.S.DIST(Z152,1)+q*E152*EXP(-q*Q152)*_xlfn.NORM.S.DIST(Y152,1))/365)))</f>
        <v/>
      </c>
      <c r="Q152" s="83" t="str">
        <f t="shared" si="71"/>
        <v/>
      </c>
      <c r="R152" s="38"/>
      <c r="S152" s="68" t="str">
        <f t="shared" si="72"/>
        <v/>
      </c>
      <c r="T152" s="69" t="str">
        <f t="shared" si="73"/>
        <v/>
      </c>
      <c r="U152" s="70" t="str">
        <f t="shared" si="74"/>
        <v/>
      </c>
      <c r="V152" s="72" t="str">
        <f t="shared" si="75"/>
        <v/>
      </c>
      <c r="W152" s="2" t="str">
        <f t="shared" si="62"/>
        <v/>
      </c>
      <c r="X152" s="2" t="str">
        <f t="shared" si="57"/>
        <v/>
      </c>
      <c r="Y152" s="35" t="str">
        <f t="shared" ca="1" si="76"/>
        <v/>
      </c>
      <c r="Z152" s="36" t="str">
        <f t="shared" ca="1" si="77"/>
        <v/>
      </c>
      <c r="AA152" s="70" t="str">
        <f t="shared" si="78"/>
        <v/>
      </c>
      <c r="AB152" s="2"/>
      <c r="AC152" s="94" t="str">
        <f t="shared" si="58"/>
        <v/>
      </c>
      <c r="AD152" s="95" t="str">
        <f t="shared" si="59"/>
        <v/>
      </c>
      <c r="AE152" s="96" t="str">
        <f t="shared" si="60"/>
        <v/>
      </c>
      <c r="AF152" s="124" t="str">
        <f t="shared" si="61"/>
        <v/>
      </c>
      <c r="AG152" s="2"/>
      <c r="AH152" s="2"/>
      <c r="AI152" s="2"/>
      <c r="AJ152" s="2"/>
      <c r="AK152" s="2"/>
      <c r="AL152" s="2"/>
    </row>
    <row r="153" spans="1:38" x14ac:dyDescent="0.2">
      <c r="A153" s="45"/>
      <c r="B153" s="43" t="str">
        <f t="shared" si="64"/>
        <v/>
      </c>
      <c r="C153" s="96" t="str">
        <f t="shared" si="63"/>
        <v/>
      </c>
      <c r="D153" s="44" t="str">
        <f t="shared" si="65"/>
        <v/>
      </c>
      <c r="E153" s="52"/>
      <c r="F153" s="63" t="str">
        <f t="shared" si="66"/>
        <v/>
      </c>
      <c r="G153" s="56" t="str">
        <f t="shared" si="67"/>
        <v/>
      </c>
      <c r="H153" s="42"/>
      <c r="I153" s="2" t="str">
        <f t="shared" si="68"/>
        <v/>
      </c>
      <c r="J153" s="54" t="str">
        <f t="shared" si="55"/>
        <v/>
      </c>
      <c r="K153" s="55" t="str">
        <f t="shared" si="69"/>
        <v/>
      </c>
      <c r="L153" s="63" t="str">
        <f t="shared" si="70"/>
        <v/>
      </c>
      <c r="M153" s="96" t="str">
        <f t="shared" si="56"/>
        <v/>
      </c>
      <c r="N153" s="96" t="str">
        <f>IF(A153="","",IF(A153=Expiry,0,EXP(-q*Q153)*_xlfn.NORM.S.DIST(Y153,0)/(sigma*SQRT(Q153))*I153*Mult/100))</f>
        <v/>
      </c>
      <c r="O153" s="96" t="str">
        <f>IF(A153="","",IF(A153=Expiry,0,D153*E153*E153*EXP(-q*Q153)*_xlfn.NORM.S.DIST(Y153,0)*SQRT(Q153)/100))</f>
        <v/>
      </c>
      <c r="P153" s="69" t="str">
        <f>IF(A153="","",IF(A153=Expiry,0,AK153*I153*Mult*((-EXP(-q*Q153)*E153*_xlfn.NORM.S.DIST(Y153,0)*sigma/(2*SQRT(Q153))-r_dom*K*EXP(-r_dom*Q153)*_xlfn.NORM.S.DIST(Z153,1)+q*E153*EXP(-q*Q153)*_xlfn.NORM.S.DIST(Y153,1))/365)))</f>
        <v/>
      </c>
      <c r="Q153" s="83" t="str">
        <f t="shared" si="71"/>
        <v/>
      </c>
      <c r="R153" s="38"/>
      <c r="S153" s="68" t="str">
        <f t="shared" si="72"/>
        <v/>
      </c>
      <c r="T153" s="69" t="str">
        <f t="shared" si="73"/>
        <v/>
      </c>
      <c r="U153" s="70" t="str">
        <f t="shared" si="74"/>
        <v/>
      </c>
      <c r="V153" s="72" t="str">
        <f t="shared" si="75"/>
        <v/>
      </c>
      <c r="W153" s="2" t="str">
        <f t="shared" si="62"/>
        <v/>
      </c>
      <c r="X153" s="2" t="str">
        <f t="shared" si="57"/>
        <v/>
      </c>
      <c r="Y153" s="35" t="str">
        <f t="shared" ca="1" si="76"/>
        <v/>
      </c>
      <c r="Z153" s="36" t="str">
        <f t="shared" ca="1" si="77"/>
        <v/>
      </c>
      <c r="AA153" s="70" t="str">
        <f t="shared" si="78"/>
        <v/>
      </c>
      <c r="AB153" s="2"/>
      <c r="AC153" s="94" t="str">
        <f t="shared" si="58"/>
        <v/>
      </c>
      <c r="AD153" s="95" t="str">
        <f t="shared" si="59"/>
        <v/>
      </c>
      <c r="AE153" s="96" t="str">
        <f t="shared" si="60"/>
        <v/>
      </c>
      <c r="AF153" s="124" t="str">
        <f t="shared" si="61"/>
        <v/>
      </c>
      <c r="AG153" s="2"/>
      <c r="AH153" s="2"/>
      <c r="AI153" s="2"/>
      <c r="AJ153" s="2"/>
      <c r="AK153" s="2"/>
      <c r="AL153" s="2"/>
    </row>
    <row r="154" spans="1:38" x14ac:dyDescent="0.2">
      <c r="A154" s="45"/>
      <c r="B154" s="43" t="str">
        <f t="shared" si="64"/>
        <v/>
      </c>
      <c r="C154" s="96" t="str">
        <f t="shared" si="63"/>
        <v/>
      </c>
      <c r="D154" s="44" t="str">
        <f t="shared" si="65"/>
        <v/>
      </c>
      <c r="E154" s="52"/>
      <c r="F154" s="63" t="str">
        <f t="shared" si="66"/>
        <v/>
      </c>
      <c r="G154" s="56" t="str">
        <f t="shared" si="67"/>
        <v/>
      </c>
      <c r="H154" s="42"/>
      <c r="I154" s="2" t="str">
        <f t="shared" si="68"/>
        <v/>
      </c>
      <c r="J154" s="54" t="str">
        <f t="shared" si="55"/>
        <v/>
      </c>
      <c r="K154" s="55" t="str">
        <f t="shared" si="69"/>
        <v/>
      </c>
      <c r="L154" s="63" t="str">
        <f t="shared" si="70"/>
        <v/>
      </c>
      <c r="M154" s="96" t="str">
        <f t="shared" si="56"/>
        <v/>
      </c>
      <c r="N154" s="96" t="str">
        <f>IF(A154="","",IF(A154=Expiry,0,EXP(-q*Q154)*_xlfn.NORM.S.DIST(Y154,0)/(sigma*SQRT(Q154))*I154*Mult/100))</f>
        <v/>
      </c>
      <c r="O154" s="96" t="str">
        <f>IF(A154="","",IF(A154=Expiry,0,D154*E154*E154*EXP(-q*Q154)*_xlfn.NORM.S.DIST(Y154,0)*SQRT(Q154)/100))</f>
        <v/>
      </c>
      <c r="P154" s="69" t="str">
        <f>IF(A154="","",IF(A154=Expiry,0,AK154*I154*Mult*((-EXP(-q*Q154)*E154*_xlfn.NORM.S.DIST(Y154,0)*sigma/(2*SQRT(Q154))-r_dom*K*EXP(-r_dom*Q154)*_xlfn.NORM.S.DIST(Z154,1)+q*E154*EXP(-q*Q154)*_xlfn.NORM.S.DIST(Y154,1))/365)))</f>
        <v/>
      </c>
      <c r="Q154" s="83" t="str">
        <f t="shared" si="71"/>
        <v/>
      </c>
      <c r="R154" s="38"/>
      <c r="S154" s="68" t="str">
        <f t="shared" si="72"/>
        <v/>
      </c>
      <c r="T154" s="69" t="str">
        <f t="shared" si="73"/>
        <v/>
      </c>
      <c r="U154" s="70" t="str">
        <f t="shared" si="74"/>
        <v/>
      </c>
      <c r="V154" s="72" t="str">
        <f t="shared" si="75"/>
        <v/>
      </c>
      <c r="W154" s="2" t="str">
        <f t="shared" si="62"/>
        <v/>
      </c>
      <c r="X154" s="2" t="str">
        <f t="shared" si="57"/>
        <v/>
      </c>
      <c r="Y154" s="35" t="str">
        <f t="shared" ca="1" si="76"/>
        <v/>
      </c>
      <c r="Z154" s="36" t="str">
        <f t="shared" ca="1" si="77"/>
        <v/>
      </c>
      <c r="AA154" s="70" t="str">
        <f t="shared" si="78"/>
        <v/>
      </c>
      <c r="AB154" s="2"/>
      <c r="AC154" s="94" t="str">
        <f t="shared" si="58"/>
        <v/>
      </c>
      <c r="AD154" s="95" t="str">
        <f t="shared" si="59"/>
        <v/>
      </c>
      <c r="AE154" s="96" t="str">
        <f t="shared" si="60"/>
        <v/>
      </c>
      <c r="AF154" s="124" t="str">
        <f t="shared" si="61"/>
        <v/>
      </c>
      <c r="AG154" s="2"/>
      <c r="AH154" s="2"/>
      <c r="AI154" s="2"/>
      <c r="AJ154" s="2"/>
      <c r="AK154" s="2"/>
      <c r="AL154" s="2"/>
    </row>
    <row r="155" spans="1:38" x14ac:dyDescent="0.2">
      <c r="A155" s="45"/>
      <c r="B155" s="43" t="str">
        <f t="shared" si="64"/>
        <v/>
      </c>
      <c r="C155" s="96" t="str">
        <f t="shared" si="63"/>
        <v/>
      </c>
      <c r="D155" s="44" t="str">
        <f t="shared" si="65"/>
        <v/>
      </c>
      <c r="E155" s="52"/>
      <c r="F155" s="63" t="str">
        <f t="shared" si="66"/>
        <v/>
      </c>
      <c r="G155" s="56" t="str">
        <f t="shared" si="67"/>
        <v/>
      </c>
      <c r="H155" s="42"/>
      <c r="I155" s="2" t="str">
        <f t="shared" si="68"/>
        <v/>
      </c>
      <c r="J155" s="54" t="str">
        <f t="shared" si="55"/>
        <v/>
      </c>
      <c r="K155" s="55" t="str">
        <f t="shared" si="69"/>
        <v/>
      </c>
      <c r="L155" s="63" t="str">
        <f t="shared" si="70"/>
        <v/>
      </c>
      <c r="M155" s="96" t="str">
        <f t="shared" si="56"/>
        <v/>
      </c>
      <c r="N155" s="96" t="str">
        <f>IF(A155="","",IF(A155=Expiry,0,EXP(-q*Q155)*_xlfn.NORM.S.DIST(Y155,0)/(sigma*SQRT(Q155))*I155*Mult/100))</f>
        <v/>
      </c>
      <c r="O155" s="96" t="str">
        <f>IF(A155="","",IF(A155=Expiry,0,D155*E155*E155*EXP(-q*Q155)*_xlfn.NORM.S.DIST(Y155,0)*SQRT(Q155)/100))</f>
        <v/>
      </c>
      <c r="P155" s="69" t="str">
        <f>IF(A155="","",IF(A155=Expiry,0,AK155*I155*Mult*((-EXP(-q*Q155)*E155*_xlfn.NORM.S.DIST(Y155,0)*sigma/(2*SQRT(Q155))-r_dom*K*EXP(-r_dom*Q155)*_xlfn.NORM.S.DIST(Z155,1)+q*E155*EXP(-q*Q155)*_xlfn.NORM.S.DIST(Y155,1))/365)))</f>
        <v/>
      </c>
      <c r="Q155" s="83" t="str">
        <f t="shared" si="71"/>
        <v/>
      </c>
      <c r="R155" s="38"/>
      <c r="S155" s="68" t="str">
        <f t="shared" si="72"/>
        <v/>
      </c>
      <c r="T155" s="69" t="str">
        <f t="shared" si="73"/>
        <v/>
      </c>
      <c r="U155" s="70" t="str">
        <f t="shared" si="74"/>
        <v/>
      </c>
      <c r="V155" s="72" t="str">
        <f t="shared" si="75"/>
        <v/>
      </c>
      <c r="W155" s="2" t="str">
        <f t="shared" si="62"/>
        <v/>
      </c>
      <c r="X155" s="2" t="str">
        <f t="shared" si="57"/>
        <v/>
      </c>
      <c r="Y155" s="35" t="str">
        <f t="shared" ca="1" si="76"/>
        <v/>
      </c>
      <c r="Z155" s="36" t="str">
        <f t="shared" ca="1" si="77"/>
        <v/>
      </c>
      <c r="AA155" s="70" t="str">
        <f t="shared" si="78"/>
        <v/>
      </c>
      <c r="AB155" s="2"/>
      <c r="AC155" s="94" t="str">
        <f t="shared" si="58"/>
        <v/>
      </c>
      <c r="AD155" s="95" t="str">
        <f t="shared" si="59"/>
        <v/>
      </c>
      <c r="AE155" s="96" t="str">
        <f t="shared" si="60"/>
        <v/>
      </c>
      <c r="AF155" s="124" t="str">
        <f t="shared" si="61"/>
        <v/>
      </c>
      <c r="AG155" s="2"/>
      <c r="AH155" s="2"/>
      <c r="AI155" s="2"/>
      <c r="AJ155" s="2"/>
      <c r="AK155" s="2"/>
      <c r="AL155" s="2"/>
    </row>
    <row r="156" spans="1:38" x14ac:dyDescent="0.2">
      <c r="A156" s="45"/>
      <c r="B156" s="43" t="str">
        <f t="shared" si="64"/>
        <v/>
      </c>
      <c r="C156" s="96" t="str">
        <f t="shared" si="63"/>
        <v/>
      </c>
      <c r="D156" s="44" t="str">
        <f t="shared" si="65"/>
        <v/>
      </c>
      <c r="E156" s="52"/>
      <c r="F156" s="63" t="str">
        <f t="shared" si="66"/>
        <v/>
      </c>
      <c r="G156" s="56" t="str">
        <f t="shared" si="67"/>
        <v/>
      </c>
      <c r="H156" s="42"/>
      <c r="I156" s="2" t="str">
        <f t="shared" si="68"/>
        <v/>
      </c>
      <c r="J156" s="54" t="str">
        <f t="shared" si="55"/>
        <v/>
      </c>
      <c r="K156" s="55" t="str">
        <f t="shared" si="69"/>
        <v/>
      </c>
      <c r="L156" s="63" t="str">
        <f t="shared" si="70"/>
        <v/>
      </c>
      <c r="M156" s="96" t="str">
        <f t="shared" si="56"/>
        <v/>
      </c>
      <c r="N156" s="96" t="str">
        <f>IF(A156="","",IF(A156=Expiry,0,EXP(-q*Q156)*_xlfn.NORM.S.DIST(Y156,0)/(sigma*SQRT(Q156))*I156*Mult/100))</f>
        <v/>
      </c>
      <c r="O156" s="96" t="str">
        <f>IF(A156="","",IF(A156=Expiry,0,D156*E156*E156*EXP(-q*Q156)*_xlfn.NORM.S.DIST(Y156,0)*SQRT(Q156)/100))</f>
        <v/>
      </c>
      <c r="P156" s="69" t="str">
        <f>IF(A156="","",IF(A156=Expiry,0,AK156*I156*Mult*((-EXP(-q*Q156)*E156*_xlfn.NORM.S.DIST(Y156,0)*sigma/(2*SQRT(Q156))-r_dom*K*EXP(-r_dom*Q156)*_xlfn.NORM.S.DIST(Z156,1)+q*E156*EXP(-q*Q156)*_xlfn.NORM.S.DIST(Y156,1))/365)))</f>
        <v/>
      </c>
      <c r="Q156" s="83" t="str">
        <f t="shared" si="71"/>
        <v/>
      </c>
      <c r="R156" s="38"/>
      <c r="S156" s="68" t="str">
        <f t="shared" si="72"/>
        <v/>
      </c>
      <c r="T156" s="69" t="str">
        <f t="shared" si="73"/>
        <v/>
      </c>
      <c r="U156" s="70" t="str">
        <f t="shared" si="74"/>
        <v/>
      </c>
      <c r="V156" s="72" t="str">
        <f t="shared" si="75"/>
        <v/>
      </c>
      <c r="W156" s="2" t="str">
        <f t="shared" si="62"/>
        <v/>
      </c>
      <c r="X156" s="2" t="str">
        <f t="shared" si="57"/>
        <v/>
      </c>
      <c r="Y156" s="35" t="str">
        <f t="shared" ca="1" si="76"/>
        <v/>
      </c>
      <c r="Z156" s="36" t="str">
        <f t="shared" ca="1" si="77"/>
        <v/>
      </c>
      <c r="AA156" s="70" t="str">
        <f t="shared" si="78"/>
        <v/>
      </c>
      <c r="AB156" s="2"/>
      <c r="AC156" s="94" t="str">
        <f t="shared" si="58"/>
        <v/>
      </c>
      <c r="AD156" s="95" t="str">
        <f t="shared" si="59"/>
        <v/>
      </c>
      <c r="AE156" s="96" t="str">
        <f t="shared" si="60"/>
        <v/>
      </c>
      <c r="AF156" s="124" t="str">
        <f t="shared" si="61"/>
        <v/>
      </c>
      <c r="AG156" s="2"/>
      <c r="AH156" s="2"/>
      <c r="AI156" s="2"/>
      <c r="AJ156" s="2"/>
      <c r="AK156" s="2"/>
      <c r="AL156" s="2"/>
    </row>
    <row r="157" spans="1:38" x14ac:dyDescent="0.2">
      <c r="A157" s="45"/>
      <c r="B157" s="43" t="str">
        <f t="shared" si="64"/>
        <v/>
      </c>
      <c r="C157" s="96" t="str">
        <f t="shared" si="63"/>
        <v/>
      </c>
      <c r="D157" s="44" t="str">
        <f t="shared" si="65"/>
        <v/>
      </c>
      <c r="E157" s="52"/>
      <c r="F157" s="63" t="str">
        <f t="shared" si="66"/>
        <v/>
      </c>
      <c r="G157" s="56" t="str">
        <f t="shared" si="67"/>
        <v/>
      </c>
      <c r="H157" s="42"/>
      <c r="I157" s="2" t="str">
        <f t="shared" si="68"/>
        <v/>
      </c>
      <c r="J157" s="54" t="str">
        <f t="shared" si="55"/>
        <v/>
      </c>
      <c r="K157" s="55" t="str">
        <f t="shared" si="69"/>
        <v/>
      </c>
      <c r="L157" s="63" t="str">
        <f t="shared" si="70"/>
        <v/>
      </c>
      <c r="M157" s="96" t="str">
        <f t="shared" si="56"/>
        <v/>
      </c>
      <c r="N157" s="96" t="str">
        <f>IF(A157="","",IF(A157=Expiry,0,EXP(-q*Q157)*_xlfn.NORM.S.DIST(Y157,0)/(sigma*SQRT(Q157))*I157*Mult/100))</f>
        <v/>
      </c>
      <c r="O157" s="96" t="str">
        <f>IF(A157="","",IF(A157=Expiry,0,D157*E157*E157*EXP(-q*Q157)*_xlfn.NORM.S.DIST(Y157,0)*SQRT(Q157)/100))</f>
        <v/>
      </c>
      <c r="P157" s="69" t="str">
        <f>IF(A157="","",IF(A157=Expiry,0,AK157*I157*Mult*((-EXP(-q*Q157)*E157*_xlfn.NORM.S.DIST(Y157,0)*sigma/(2*SQRT(Q157))-r_dom*K*EXP(-r_dom*Q157)*_xlfn.NORM.S.DIST(Z157,1)+q*E157*EXP(-q*Q157)*_xlfn.NORM.S.DIST(Y157,1))/365)))</f>
        <v/>
      </c>
      <c r="Q157" s="83" t="str">
        <f t="shared" si="71"/>
        <v/>
      </c>
      <c r="R157" s="38"/>
      <c r="S157" s="68" t="str">
        <f t="shared" si="72"/>
        <v/>
      </c>
      <c r="T157" s="69" t="str">
        <f t="shared" si="73"/>
        <v/>
      </c>
      <c r="U157" s="70" t="str">
        <f t="shared" si="74"/>
        <v/>
      </c>
      <c r="V157" s="72" t="str">
        <f t="shared" si="75"/>
        <v/>
      </c>
      <c r="W157" s="2" t="str">
        <f t="shared" si="62"/>
        <v/>
      </c>
      <c r="X157" s="2" t="str">
        <f t="shared" si="57"/>
        <v/>
      </c>
      <c r="Y157" s="35" t="str">
        <f t="shared" ca="1" si="76"/>
        <v/>
      </c>
      <c r="Z157" s="36" t="str">
        <f t="shared" ca="1" si="77"/>
        <v/>
      </c>
      <c r="AA157" s="70" t="str">
        <f t="shared" si="78"/>
        <v/>
      </c>
      <c r="AB157" s="2"/>
      <c r="AC157" s="94" t="str">
        <f t="shared" si="58"/>
        <v/>
      </c>
      <c r="AD157" s="95" t="str">
        <f t="shared" si="59"/>
        <v/>
      </c>
      <c r="AE157" s="96" t="str">
        <f t="shared" si="60"/>
        <v/>
      </c>
      <c r="AF157" s="124" t="str">
        <f t="shared" si="61"/>
        <v/>
      </c>
      <c r="AG157" s="2"/>
      <c r="AH157" s="2"/>
      <c r="AI157" s="2"/>
      <c r="AJ157" s="2"/>
      <c r="AK157" s="2"/>
      <c r="AL157" s="2"/>
    </row>
    <row r="158" spans="1:38" x14ac:dyDescent="0.2">
      <c r="A158" s="45"/>
      <c r="B158" s="43" t="str">
        <f t="shared" si="64"/>
        <v/>
      </c>
      <c r="C158" s="96" t="str">
        <f t="shared" si="63"/>
        <v/>
      </c>
      <c r="D158" s="44" t="str">
        <f t="shared" si="65"/>
        <v/>
      </c>
      <c r="E158" s="52"/>
      <c r="F158" s="63" t="str">
        <f t="shared" si="66"/>
        <v/>
      </c>
      <c r="G158" s="56" t="str">
        <f t="shared" si="67"/>
        <v/>
      </c>
      <c r="H158" s="42"/>
      <c r="I158" s="2" t="str">
        <f t="shared" si="68"/>
        <v/>
      </c>
      <c r="J158" s="54" t="str">
        <f t="shared" si="55"/>
        <v/>
      </c>
      <c r="K158" s="55" t="str">
        <f t="shared" si="69"/>
        <v/>
      </c>
      <c r="L158" s="63" t="str">
        <f t="shared" si="70"/>
        <v/>
      </c>
      <c r="M158" s="96" t="str">
        <f t="shared" si="56"/>
        <v/>
      </c>
      <c r="N158" s="96" t="str">
        <f>IF(A158="","",IF(A158=Expiry,0,EXP(-q*Q158)*_xlfn.NORM.S.DIST(Y158,0)/(sigma*SQRT(Q158))*I158*Mult/100))</f>
        <v/>
      </c>
      <c r="O158" s="96" t="str">
        <f>IF(A158="","",IF(A158=Expiry,0,D158*E158*E158*EXP(-q*Q158)*_xlfn.NORM.S.DIST(Y158,0)*SQRT(Q158)/100))</f>
        <v/>
      </c>
      <c r="P158" s="69" t="str">
        <f>IF(A158="","",IF(A158=Expiry,0,AK158*I158*Mult*((-EXP(-q*Q158)*E158*_xlfn.NORM.S.DIST(Y158,0)*sigma/(2*SQRT(Q158))-r_dom*K*EXP(-r_dom*Q158)*_xlfn.NORM.S.DIST(Z158,1)+q*E158*EXP(-q*Q158)*_xlfn.NORM.S.DIST(Y158,1))/365)))</f>
        <v/>
      </c>
      <c r="Q158" s="83" t="str">
        <f t="shared" si="71"/>
        <v/>
      </c>
      <c r="R158" s="38"/>
      <c r="S158" s="68" t="str">
        <f t="shared" si="72"/>
        <v/>
      </c>
      <c r="T158" s="69" t="str">
        <f t="shared" si="73"/>
        <v/>
      </c>
      <c r="U158" s="70" t="str">
        <f t="shared" si="74"/>
        <v/>
      </c>
      <c r="V158" s="72" t="str">
        <f t="shared" si="75"/>
        <v/>
      </c>
      <c r="W158" s="2" t="str">
        <f t="shared" si="62"/>
        <v/>
      </c>
      <c r="X158" s="2" t="str">
        <f t="shared" si="57"/>
        <v/>
      </c>
      <c r="Y158" s="35" t="str">
        <f t="shared" ca="1" si="76"/>
        <v/>
      </c>
      <c r="Z158" s="36" t="str">
        <f t="shared" ca="1" si="77"/>
        <v/>
      </c>
      <c r="AA158" s="70" t="str">
        <f t="shared" si="78"/>
        <v/>
      </c>
      <c r="AB158" s="2"/>
      <c r="AC158" s="94" t="str">
        <f t="shared" si="58"/>
        <v/>
      </c>
      <c r="AD158" s="95" t="str">
        <f t="shared" si="59"/>
        <v/>
      </c>
      <c r="AE158" s="96" t="str">
        <f t="shared" si="60"/>
        <v/>
      </c>
      <c r="AF158" s="124" t="str">
        <f t="shared" si="61"/>
        <v/>
      </c>
      <c r="AG158" s="2"/>
      <c r="AH158" s="2"/>
      <c r="AI158" s="2"/>
      <c r="AJ158" s="2"/>
      <c r="AK158" s="2"/>
      <c r="AL158" s="2"/>
    </row>
    <row r="159" spans="1:38" x14ac:dyDescent="0.2">
      <c r="A159" s="45"/>
      <c r="B159" s="43" t="str">
        <f t="shared" si="64"/>
        <v/>
      </c>
      <c r="C159" s="96" t="str">
        <f t="shared" si="63"/>
        <v/>
      </c>
      <c r="D159" s="44" t="str">
        <f t="shared" si="65"/>
        <v/>
      </c>
      <c r="E159" s="52"/>
      <c r="F159" s="63" t="str">
        <f t="shared" si="66"/>
        <v/>
      </c>
      <c r="G159" s="56" t="str">
        <f t="shared" si="67"/>
        <v/>
      </c>
      <c r="H159" s="42"/>
      <c r="I159" s="2" t="str">
        <f t="shared" si="68"/>
        <v/>
      </c>
      <c r="J159" s="54" t="str">
        <f t="shared" si="55"/>
        <v/>
      </c>
      <c r="K159" s="55" t="str">
        <f t="shared" si="69"/>
        <v/>
      </c>
      <c r="L159" s="63" t="str">
        <f t="shared" si="70"/>
        <v/>
      </c>
      <c r="M159" s="96" t="str">
        <f t="shared" si="56"/>
        <v/>
      </c>
      <c r="N159" s="96" t="str">
        <f>IF(A159="","",IF(A159=Expiry,0,EXP(-q*Q159)*_xlfn.NORM.S.DIST(Y159,0)/(sigma*SQRT(Q159))*I159*Mult/100))</f>
        <v/>
      </c>
      <c r="O159" s="96" t="str">
        <f>IF(A159="","",IF(A159=Expiry,0,D159*E159*E159*EXP(-q*Q159)*_xlfn.NORM.S.DIST(Y159,0)*SQRT(Q159)/100))</f>
        <v/>
      </c>
      <c r="P159" s="69" t="str">
        <f>IF(A159="","",IF(A159=Expiry,0,AK159*I159*Mult*((-EXP(-q*Q159)*E159*_xlfn.NORM.S.DIST(Y159,0)*sigma/(2*SQRT(Q159))-r_dom*K*EXP(-r_dom*Q159)*_xlfn.NORM.S.DIST(Z159,1)+q*E159*EXP(-q*Q159)*_xlfn.NORM.S.DIST(Y159,1))/365)))</f>
        <v/>
      </c>
      <c r="Q159" s="83" t="str">
        <f t="shared" si="71"/>
        <v/>
      </c>
      <c r="R159" s="38"/>
      <c r="S159" s="68" t="str">
        <f t="shared" si="72"/>
        <v/>
      </c>
      <c r="T159" s="69" t="str">
        <f t="shared" si="73"/>
        <v/>
      </c>
      <c r="U159" s="70" t="str">
        <f t="shared" si="74"/>
        <v/>
      </c>
      <c r="V159" s="72" t="str">
        <f t="shared" si="75"/>
        <v/>
      </c>
      <c r="W159" s="2" t="str">
        <f t="shared" si="62"/>
        <v/>
      </c>
      <c r="X159" s="2" t="str">
        <f t="shared" si="57"/>
        <v/>
      </c>
      <c r="Y159" s="35" t="str">
        <f t="shared" ca="1" si="76"/>
        <v/>
      </c>
      <c r="Z159" s="36" t="str">
        <f t="shared" ca="1" si="77"/>
        <v/>
      </c>
      <c r="AA159" s="70" t="str">
        <f t="shared" si="78"/>
        <v/>
      </c>
      <c r="AB159" s="2"/>
      <c r="AC159" s="94" t="str">
        <f t="shared" si="58"/>
        <v/>
      </c>
      <c r="AD159" s="95" t="str">
        <f t="shared" si="59"/>
        <v/>
      </c>
      <c r="AE159" s="96" t="str">
        <f t="shared" si="60"/>
        <v/>
      </c>
      <c r="AF159" s="124" t="str">
        <f t="shared" si="61"/>
        <v/>
      </c>
      <c r="AG159" s="2"/>
      <c r="AH159" s="2"/>
      <c r="AI159" s="2"/>
      <c r="AJ159" s="2"/>
      <c r="AK159" s="2"/>
      <c r="AL159" s="2"/>
    </row>
    <row r="160" spans="1:38" x14ac:dyDescent="0.2">
      <c r="A160" s="45"/>
      <c r="B160" s="43" t="str">
        <f t="shared" si="64"/>
        <v/>
      </c>
      <c r="C160" s="96" t="str">
        <f t="shared" si="63"/>
        <v/>
      </c>
      <c r="D160" s="44" t="str">
        <f t="shared" si="65"/>
        <v/>
      </c>
      <c r="E160" s="52"/>
      <c r="F160" s="63" t="str">
        <f t="shared" si="66"/>
        <v/>
      </c>
      <c r="G160" s="56" t="str">
        <f t="shared" si="67"/>
        <v/>
      </c>
      <c r="H160" s="42"/>
      <c r="I160" s="2" t="str">
        <f t="shared" si="68"/>
        <v/>
      </c>
      <c r="J160" s="54" t="str">
        <f t="shared" si="55"/>
        <v/>
      </c>
      <c r="K160" s="55" t="str">
        <f t="shared" si="69"/>
        <v/>
      </c>
      <c r="L160" s="63" t="str">
        <f t="shared" si="70"/>
        <v/>
      </c>
      <c r="M160" s="96" t="str">
        <f t="shared" si="56"/>
        <v/>
      </c>
      <c r="N160" s="96" t="str">
        <f>IF(A160="","",IF(A160=Expiry,0,EXP(-q*Q160)*_xlfn.NORM.S.DIST(Y160,0)/(sigma*SQRT(Q160))*I160*Mult/100))</f>
        <v/>
      </c>
      <c r="O160" s="96" t="str">
        <f>IF(A160="","",IF(A160=Expiry,0,D160*E160*E160*EXP(-q*Q160)*_xlfn.NORM.S.DIST(Y160,0)*SQRT(Q160)/100))</f>
        <v/>
      </c>
      <c r="P160" s="69" t="str">
        <f>IF(A160="","",IF(A160=Expiry,0,AK160*I160*Mult*((-EXP(-q*Q160)*E160*_xlfn.NORM.S.DIST(Y160,0)*sigma/(2*SQRT(Q160))-r_dom*K*EXP(-r_dom*Q160)*_xlfn.NORM.S.DIST(Z160,1)+q*E160*EXP(-q*Q160)*_xlfn.NORM.S.DIST(Y160,1))/365)))</f>
        <v/>
      </c>
      <c r="Q160" s="83" t="str">
        <f t="shared" si="71"/>
        <v/>
      </c>
      <c r="R160" s="38"/>
      <c r="S160" s="68" t="str">
        <f t="shared" si="72"/>
        <v/>
      </c>
      <c r="T160" s="69" t="str">
        <f t="shared" si="73"/>
        <v/>
      </c>
      <c r="U160" s="70" t="str">
        <f t="shared" si="74"/>
        <v/>
      </c>
      <c r="V160" s="72" t="str">
        <f t="shared" si="75"/>
        <v/>
      </c>
      <c r="W160" s="2" t="str">
        <f t="shared" si="62"/>
        <v/>
      </c>
      <c r="X160" s="2" t="str">
        <f t="shared" si="57"/>
        <v/>
      </c>
      <c r="Y160" s="35" t="str">
        <f t="shared" ca="1" si="76"/>
        <v/>
      </c>
      <c r="Z160" s="36" t="str">
        <f t="shared" ca="1" si="77"/>
        <v/>
      </c>
      <c r="AA160" s="70" t="str">
        <f t="shared" si="78"/>
        <v/>
      </c>
      <c r="AB160" s="2"/>
      <c r="AC160" s="94" t="str">
        <f t="shared" si="58"/>
        <v/>
      </c>
      <c r="AD160" s="95" t="str">
        <f t="shared" si="59"/>
        <v/>
      </c>
      <c r="AE160" s="96" t="str">
        <f t="shared" si="60"/>
        <v/>
      </c>
      <c r="AF160" s="124" t="str">
        <f t="shared" si="61"/>
        <v/>
      </c>
      <c r="AG160" s="2"/>
      <c r="AH160" s="2"/>
      <c r="AI160" s="2"/>
      <c r="AJ160" s="2"/>
      <c r="AK160" s="2"/>
      <c r="AL160" s="2"/>
    </row>
    <row r="161" spans="1:38" x14ac:dyDescent="0.2">
      <c r="A161" s="45"/>
      <c r="B161" s="43" t="str">
        <f t="shared" si="64"/>
        <v/>
      </c>
      <c r="C161" s="96" t="str">
        <f t="shared" si="63"/>
        <v/>
      </c>
      <c r="D161" s="44" t="str">
        <f t="shared" si="65"/>
        <v/>
      </c>
      <c r="E161" s="52"/>
      <c r="F161" s="63" t="str">
        <f t="shared" si="66"/>
        <v/>
      </c>
      <c r="G161" s="56" t="str">
        <f t="shared" si="67"/>
        <v/>
      </c>
      <c r="H161" s="42"/>
      <c r="I161" s="2" t="str">
        <f t="shared" si="68"/>
        <v/>
      </c>
      <c r="J161" s="54" t="str">
        <f t="shared" si="55"/>
        <v/>
      </c>
      <c r="K161" s="55" t="str">
        <f t="shared" si="69"/>
        <v/>
      </c>
      <c r="L161" s="63" t="str">
        <f t="shared" si="70"/>
        <v/>
      </c>
      <c r="M161" s="96" t="str">
        <f t="shared" si="56"/>
        <v/>
      </c>
      <c r="N161" s="96" t="str">
        <f>IF(A161="","",IF(A161=Expiry,0,EXP(-q*Q161)*_xlfn.NORM.S.DIST(Y161,0)/(sigma*SQRT(Q161))*I161*Mult/100))</f>
        <v/>
      </c>
      <c r="O161" s="96" t="str">
        <f>IF(A161="","",IF(A161=Expiry,0,D161*E161*E161*EXP(-q*Q161)*_xlfn.NORM.S.DIST(Y161,0)*SQRT(Q161)/100))</f>
        <v/>
      </c>
      <c r="P161" s="69" t="str">
        <f>IF(A161="","",IF(A161=Expiry,0,AK161*I161*Mult*((-EXP(-q*Q161)*E161*_xlfn.NORM.S.DIST(Y161,0)*sigma/(2*SQRT(Q161))-r_dom*K*EXP(-r_dom*Q161)*_xlfn.NORM.S.DIST(Z161,1)+q*E161*EXP(-q*Q161)*_xlfn.NORM.S.DIST(Y161,1))/365)))</f>
        <v/>
      </c>
      <c r="Q161" s="83" t="str">
        <f t="shared" si="71"/>
        <v/>
      </c>
      <c r="R161" s="38"/>
      <c r="S161" s="68" t="str">
        <f t="shared" si="72"/>
        <v/>
      </c>
      <c r="T161" s="69" t="str">
        <f t="shared" si="73"/>
        <v/>
      </c>
      <c r="U161" s="70" t="str">
        <f t="shared" si="74"/>
        <v/>
      </c>
      <c r="V161" s="72" t="str">
        <f t="shared" si="75"/>
        <v/>
      </c>
      <c r="W161" s="2" t="str">
        <f t="shared" si="62"/>
        <v/>
      </c>
      <c r="X161" s="2" t="str">
        <f t="shared" si="57"/>
        <v/>
      </c>
      <c r="Y161" s="35" t="str">
        <f t="shared" ca="1" si="76"/>
        <v/>
      </c>
      <c r="Z161" s="36" t="str">
        <f t="shared" ca="1" si="77"/>
        <v/>
      </c>
      <c r="AA161" s="70" t="str">
        <f t="shared" si="78"/>
        <v/>
      </c>
      <c r="AB161" s="2"/>
      <c r="AC161" s="94" t="str">
        <f t="shared" si="58"/>
        <v/>
      </c>
      <c r="AD161" s="95" t="str">
        <f t="shared" si="59"/>
        <v/>
      </c>
      <c r="AE161" s="96" t="str">
        <f t="shared" si="60"/>
        <v/>
      </c>
      <c r="AF161" s="124" t="str">
        <f t="shared" si="61"/>
        <v/>
      </c>
      <c r="AG161" s="2"/>
      <c r="AH161" s="2"/>
      <c r="AI161" s="2"/>
      <c r="AJ161" s="2"/>
      <c r="AK161" s="2"/>
      <c r="AL161" s="2"/>
    </row>
    <row r="162" spans="1:38" x14ac:dyDescent="0.2">
      <c r="A162" s="45"/>
      <c r="B162" s="43" t="str">
        <f t="shared" si="64"/>
        <v/>
      </c>
      <c r="C162" s="96" t="str">
        <f t="shared" si="63"/>
        <v/>
      </c>
      <c r="D162" s="44" t="str">
        <f t="shared" si="65"/>
        <v/>
      </c>
      <c r="E162" s="52"/>
      <c r="F162" s="63" t="str">
        <f t="shared" si="66"/>
        <v/>
      </c>
      <c r="G162" s="56" t="str">
        <f t="shared" si="67"/>
        <v/>
      </c>
      <c r="H162" s="42"/>
      <c r="I162" s="2" t="str">
        <f t="shared" si="68"/>
        <v/>
      </c>
      <c r="J162" s="54" t="str">
        <f t="shared" si="55"/>
        <v/>
      </c>
      <c r="K162" s="55" t="str">
        <f t="shared" si="69"/>
        <v/>
      </c>
      <c r="L162" s="63" t="str">
        <f t="shared" si="70"/>
        <v/>
      </c>
      <c r="M162" s="96" t="str">
        <f t="shared" si="56"/>
        <v/>
      </c>
      <c r="N162" s="96" t="str">
        <f>IF(A162="","",IF(A162=Expiry,0,EXP(-q*Q162)*_xlfn.NORM.S.DIST(Y162,0)/(sigma*SQRT(Q162))*I162*Mult/100))</f>
        <v/>
      </c>
      <c r="O162" s="96" t="str">
        <f>IF(A162="","",IF(A162=Expiry,0,D162*E162*E162*EXP(-q*Q162)*_xlfn.NORM.S.DIST(Y162,0)*SQRT(Q162)/100))</f>
        <v/>
      </c>
      <c r="P162" s="69" t="str">
        <f>IF(A162="","",IF(A162=Expiry,0,AK162*I162*Mult*((-EXP(-q*Q162)*E162*_xlfn.NORM.S.DIST(Y162,0)*sigma/(2*SQRT(Q162))-r_dom*K*EXP(-r_dom*Q162)*_xlfn.NORM.S.DIST(Z162,1)+q*E162*EXP(-q*Q162)*_xlfn.NORM.S.DIST(Y162,1))/365)))</f>
        <v/>
      </c>
      <c r="Q162" s="83" t="str">
        <f t="shared" si="71"/>
        <v/>
      </c>
      <c r="R162" s="38"/>
      <c r="S162" s="68" t="str">
        <f t="shared" si="72"/>
        <v/>
      </c>
      <c r="T162" s="69" t="str">
        <f t="shared" si="73"/>
        <v/>
      </c>
      <c r="U162" s="70" t="str">
        <f t="shared" si="74"/>
        <v/>
      </c>
      <c r="V162" s="72" t="str">
        <f t="shared" si="75"/>
        <v/>
      </c>
      <c r="W162" s="2" t="str">
        <f t="shared" si="62"/>
        <v/>
      </c>
      <c r="X162" s="2" t="str">
        <f t="shared" si="57"/>
        <v/>
      </c>
      <c r="Y162" s="35" t="str">
        <f t="shared" ca="1" si="76"/>
        <v/>
      </c>
      <c r="Z162" s="36" t="str">
        <f t="shared" ca="1" si="77"/>
        <v/>
      </c>
      <c r="AA162" s="70" t="str">
        <f t="shared" si="78"/>
        <v/>
      </c>
      <c r="AB162" s="2"/>
      <c r="AC162" s="94" t="str">
        <f t="shared" si="58"/>
        <v/>
      </c>
      <c r="AD162" s="95" t="str">
        <f t="shared" si="59"/>
        <v/>
      </c>
      <c r="AE162" s="96" t="str">
        <f t="shared" si="60"/>
        <v/>
      </c>
      <c r="AF162" s="124" t="str">
        <f t="shared" si="61"/>
        <v/>
      </c>
      <c r="AG162" s="2"/>
      <c r="AH162" s="2"/>
      <c r="AI162" s="2"/>
      <c r="AJ162" s="2"/>
      <c r="AK162" s="2"/>
      <c r="AL162" s="2"/>
    </row>
    <row r="163" spans="1:38" x14ac:dyDescent="0.2">
      <c r="A163" s="45"/>
      <c r="B163" s="43" t="str">
        <f t="shared" si="64"/>
        <v/>
      </c>
      <c r="C163" s="96" t="str">
        <f t="shared" si="63"/>
        <v/>
      </c>
      <c r="D163" s="44" t="str">
        <f t="shared" si="65"/>
        <v/>
      </c>
      <c r="E163" s="52"/>
      <c r="F163" s="63" t="str">
        <f t="shared" si="66"/>
        <v/>
      </c>
      <c r="G163" s="56" t="str">
        <f t="shared" si="67"/>
        <v/>
      </c>
      <c r="H163" s="42"/>
      <c r="I163" s="2" t="str">
        <f t="shared" si="68"/>
        <v/>
      </c>
      <c r="J163" s="54" t="str">
        <f t="shared" si="55"/>
        <v/>
      </c>
      <c r="K163" s="55" t="str">
        <f t="shared" si="69"/>
        <v/>
      </c>
      <c r="L163" s="63" t="str">
        <f t="shared" si="70"/>
        <v/>
      </c>
      <c r="M163" s="96" t="str">
        <f t="shared" si="56"/>
        <v/>
      </c>
      <c r="N163" s="96" t="str">
        <f>IF(A163="","",IF(A163=Expiry,0,EXP(-q*Q163)*_xlfn.NORM.S.DIST(Y163,0)/(sigma*SQRT(Q163))*I163*Mult/100))</f>
        <v/>
      </c>
      <c r="O163" s="96" t="str">
        <f>IF(A163="","",IF(A163=Expiry,0,D163*E163*E163*EXP(-q*Q163)*_xlfn.NORM.S.DIST(Y163,0)*SQRT(Q163)/100))</f>
        <v/>
      </c>
      <c r="P163" s="69" t="str">
        <f>IF(A163="","",IF(A163=Expiry,0,AK163*I163*Mult*((-EXP(-q*Q163)*E163*_xlfn.NORM.S.DIST(Y163,0)*sigma/(2*SQRT(Q163))-r_dom*K*EXP(-r_dom*Q163)*_xlfn.NORM.S.DIST(Z163,1)+q*E163*EXP(-q*Q163)*_xlfn.NORM.S.DIST(Y163,1))/365)))</f>
        <v/>
      </c>
      <c r="Q163" s="83" t="str">
        <f t="shared" si="71"/>
        <v/>
      </c>
      <c r="R163" s="38"/>
      <c r="S163" s="68" t="str">
        <f t="shared" si="72"/>
        <v/>
      </c>
      <c r="T163" s="69" t="str">
        <f t="shared" si="73"/>
        <v/>
      </c>
      <c r="U163" s="70" t="str">
        <f t="shared" si="74"/>
        <v/>
      </c>
      <c r="V163" s="72" t="str">
        <f t="shared" si="75"/>
        <v/>
      </c>
      <c r="W163" s="2" t="str">
        <f t="shared" si="62"/>
        <v/>
      </c>
      <c r="X163" s="2" t="str">
        <f t="shared" si="57"/>
        <v/>
      </c>
      <c r="Y163" s="35" t="str">
        <f t="shared" ca="1" si="76"/>
        <v/>
      </c>
      <c r="Z163" s="36" t="str">
        <f t="shared" ca="1" si="77"/>
        <v/>
      </c>
      <c r="AA163" s="70" t="str">
        <f t="shared" si="78"/>
        <v/>
      </c>
      <c r="AB163" s="2"/>
      <c r="AC163" s="94" t="str">
        <f t="shared" si="58"/>
        <v/>
      </c>
      <c r="AD163" s="95" t="str">
        <f t="shared" si="59"/>
        <v/>
      </c>
      <c r="AE163" s="96" t="str">
        <f t="shared" si="60"/>
        <v/>
      </c>
      <c r="AF163" s="124" t="str">
        <f t="shared" si="61"/>
        <v/>
      </c>
      <c r="AG163" s="2"/>
      <c r="AH163" s="2"/>
      <c r="AI163" s="2"/>
      <c r="AJ163" s="2"/>
      <c r="AK163" s="2"/>
      <c r="AL163" s="2"/>
    </row>
    <row r="164" spans="1:38" x14ac:dyDescent="0.2">
      <c r="A164" s="45"/>
      <c r="B164" s="43" t="str">
        <f t="shared" si="64"/>
        <v/>
      </c>
      <c r="C164" s="96" t="str">
        <f t="shared" si="63"/>
        <v/>
      </c>
      <c r="D164" s="44" t="str">
        <f t="shared" si="65"/>
        <v/>
      </c>
      <c r="E164" s="52"/>
      <c r="F164" s="63" t="str">
        <f t="shared" si="66"/>
        <v/>
      </c>
      <c r="G164" s="56" t="str">
        <f t="shared" si="67"/>
        <v/>
      </c>
      <c r="H164" s="42"/>
      <c r="I164" s="2" t="str">
        <f t="shared" si="68"/>
        <v/>
      </c>
      <c r="J164" s="54" t="str">
        <f t="shared" ref="J164:J227" si="79">IF(CorP="C",AC164,AD164)</f>
        <v/>
      </c>
      <c r="K164" s="55" t="str">
        <f t="shared" si="69"/>
        <v/>
      </c>
      <c r="L164" s="63" t="str">
        <f t="shared" si="70"/>
        <v/>
      </c>
      <c r="M164" s="96" t="str">
        <f t="shared" ref="M164:M227" si="80">IF(CorP="C",AE164,AF164)</f>
        <v/>
      </c>
      <c r="N164" s="96" t="str">
        <f>IF(A164="","",IF(A164=Expiry,0,EXP(-q*Q164)*_xlfn.NORM.S.DIST(Y164,0)/(sigma*SQRT(Q164))*I164*Mult/100))</f>
        <v/>
      </c>
      <c r="O164" s="96" t="str">
        <f>IF(A164="","",IF(A164=Expiry,0,D164*E164*E164*EXP(-q*Q164)*_xlfn.NORM.S.DIST(Y164,0)*SQRT(Q164)/100))</f>
        <v/>
      </c>
      <c r="P164" s="69" t="str">
        <f>IF(A164="","",IF(A164=Expiry,0,AK164*I164*Mult*((-EXP(-q*Q164)*E164*_xlfn.NORM.S.DIST(Y164,0)*sigma/(2*SQRT(Q164))-r_dom*K*EXP(-r_dom*Q164)*_xlfn.NORM.S.DIST(Z164,1)+q*E164*EXP(-q*Q164)*_xlfn.NORM.S.DIST(Y164,1))/365)))</f>
        <v/>
      </c>
      <c r="Q164" s="83" t="str">
        <f t="shared" si="71"/>
        <v/>
      </c>
      <c r="R164" s="38"/>
      <c r="S164" s="68" t="str">
        <f t="shared" si="72"/>
        <v/>
      </c>
      <c r="T164" s="69" t="str">
        <f t="shared" si="73"/>
        <v/>
      </c>
      <c r="U164" s="70" t="str">
        <f t="shared" si="74"/>
        <v/>
      </c>
      <c r="V164" s="72" t="str">
        <f t="shared" si="75"/>
        <v/>
      </c>
      <c r="W164" s="2" t="str">
        <f t="shared" si="62"/>
        <v/>
      </c>
      <c r="X164" s="2" t="str">
        <f t="shared" ref="X164:X227" si="81">IF(A164="","",K)</f>
        <v/>
      </c>
      <c r="Y164" s="35" t="str">
        <f t="shared" ca="1" si="76"/>
        <v/>
      </c>
      <c r="Z164" s="36" t="str">
        <f t="shared" ca="1" si="77"/>
        <v/>
      </c>
      <c r="AA164" s="70" t="str">
        <f t="shared" si="78"/>
        <v/>
      </c>
      <c r="AB164" s="2"/>
      <c r="AC164" s="94" t="str">
        <f t="shared" ref="AC164:AC227" si="82">IF(A164="","",IF(A164=Expiry,MAX(E164-K,0),E164*EXP(-q*Q164)*_xlfn.NORM.S.DIST(Y164,1)-K*EXP(-r_dom*Q164)*_xlfn.NORM.S.DIST(Z164,1)))</f>
        <v/>
      </c>
      <c r="AD164" s="95" t="str">
        <f t="shared" ref="AD164:AD227" si="83">IF(A164="","",IF(A164=Expiry,MAX(K-E164,0),K*EXP(-r_dom*Q164)*_xlfn.NORM.S.DIST(-Z164,1)-E164*EXP(-q*Q164)*_xlfn.NORM.S.DIST(-Y164,1)))</f>
        <v/>
      </c>
      <c r="AE164" s="96" t="str">
        <f t="shared" ref="AE164:AE227" si="84">IF(A164="","",I164*Mult*IF(A164=Expiry,IF(E164&gt;K,1,0),EXP(-q*Q164)*_xlfn.NORM.S.DIST(Y164,1)))</f>
        <v/>
      </c>
      <c r="AF164" s="124" t="str">
        <f t="shared" ref="AF164:AF227" si="85">IF(A164="","",I164*Mult*IF(A164=Expiry,IF(E164&lt;K,-1,0),-EXP(-q*Q164)*_xlfn.NORM.S.DIST(-Y164,1)))</f>
        <v/>
      </c>
      <c r="AG164" s="2"/>
      <c r="AH164" s="2"/>
      <c r="AI164" s="2"/>
      <c r="AJ164" s="2"/>
      <c r="AK164" s="2"/>
      <c r="AL164" s="2"/>
    </row>
    <row r="165" spans="1:38" x14ac:dyDescent="0.2">
      <c r="A165" s="45"/>
      <c r="B165" s="43" t="str">
        <f t="shared" si="64"/>
        <v/>
      </c>
      <c r="C165" s="96" t="str">
        <f t="shared" si="63"/>
        <v/>
      </c>
      <c r="D165" s="44" t="str">
        <f t="shared" si="65"/>
        <v/>
      </c>
      <c r="E165" s="52"/>
      <c r="F165" s="63" t="str">
        <f t="shared" si="66"/>
        <v/>
      </c>
      <c r="G165" s="56" t="str">
        <f t="shared" si="67"/>
        <v/>
      </c>
      <c r="H165" s="42"/>
      <c r="I165" s="2" t="str">
        <f t="shared" si="68"/>
        <v/>
      </c>
      <c r="J165" s="54" t="str">
        <f t="shared" si="79"/>
        <v/>
      </c>
      <c r="K165" s="55" t="str">
        <f t="shared" si="69"/>
        <v/>
      </c>
      <c r="L165" s="63" t="str">
        <f t="shared" si="70"/>
        <v/>
      </c>
      <c r="M165" s="96" t="str">
        <f t="shared" si="80"/>
        <v/>
      </c>
      <c r="N165" s="96" t="str">
        <f>IF(A165="","",IF(A165=Expiry,0,EXP(-q*Q165)*_xlfn.NORM.S.DIST(Y165,0)/(sigma*SQRT(Q165))*I165*Mult/100))</f>
        <v/>
      </c>
      <c r="O165" s="96" t="str">
        <f>IF(A165="","",IF(A165=Expiry,0,D165*E165*E165*EXP(-q*Q165)*_xlfn.NORM.S.DIST(Y165,0)*SQRT(Q165)/100))</f>
        <v/>
      </c>
      <c r="P165" s="69" t="str">
        <f>IF(A165="","",IF(A165=Expiry,0,AK165*I165*Mult*((-EXP(-q*Q165)*E165*_xlfn.NORM.S.DIST(Y165,0)*sigma/(2*SQRT(Q165))-r_dom*K*EXP(-r_dom*Q165)*_xlfn.NORM.S.DIST(Z165,1)+q*E165*EXP(-q*Q165)*_xlfn.NORM.S.DIST(Y165,1))/365)))</f>
        <v/>
      </c>
      <c r="Q165" s="83" t="str">
        <f t="shared" si="71"/>
        <v/>
      </c>
      <c r="R165" s="38"/>
      <c r="S165" s="68" t="str">
        <f t="shared" si="72"/>
        <v/>
      </c>
      <c r="T165" s="69" t="str">
        <f t="shared" si="73"/>
        <v/>
      </c>
      <c r="U165" s="70" t="str">
        <f t="shared" si="74"/>
        <v/>
      </c>
      <c r="V165" s="72" t="str">
        <f t="shared" si="75"/>
        <v/>
      </c>
      <c r="W165" s="2" t="str">
        <f t="shared" ref="W165:W228" si="86">IF(A165="","",100)</f>
        <v/>
      </c>
      <c r="X165" s="2" t="str">
        <f t="shared" si="81"/>
        <v/>
      </c>
      <c r="Y165" s="35" t="str">
        <f t="shared" ca="1" si="76"/>
        <v/>
      </c>
      <c r="Z165" s="36" t="str">
        <f t="shared" ca="1" si="77"/>
        <v/>
      </c>
      <c r="AA165" s="70" t="str">
        <f t="shared" si="78"/>
        <v/>
      </c>
      <c r="AB165" s="2"/>
      <c r="AC165" s="94" t="str">
        <f t="shared" si="82"/>
        <v/>
      </c>
      <c r="AD165" s="95" t="str">
        <f t="shared" si="83"/>
        <v/>
      </c>
      <c r="AE165" s="96" t="str">
        <f t="shared" si="84"/>
        <v/>
      </c>
      <c r="AF165" s="124" t="str">
        <f t="shared" si="85"/>
        <v/>
      </c>
      <c r="AG165" s="2"/>
      <c r="AH165" s="2"/>
      <c r="AI165" s="2"/>
      <c r="AJ165" s="2"/>
      <c r="AK165" s="2"/>
      <c r="AL165" s="2"/>
    </row>
    <row r="166" spans="1:38" x14ac:dyDescent="0.2">
      <c r="A166" s="45"/>
      <c r="B166" s="43" t="str">
        <f t="shared" si="64"/>
        <v/>
      </c>
      <c r="C166" s="96" t="str">
        <f t="shared" ref="C166:C229" si="87">IF(A166="","",C165+B166)</f>
        <v/>
      </c>
      <c r="D166" s="44" t="str">
        <f t="shared" si="65"/>
        <v/>
      </c>
      <c r="E166" s="52"/>
      <c r="F166" s="63" t="str">
        <f t="shared" si="66"/>
        <v/>
      </c>
      <c r="G166" s="56" t="str">
        <f t="shared" si="67"/>
        <v/>
      </c>
      <c r="H166" s="42"/>
      <c r="I166" s="2" t="str">
        <f t="shared" si="68"/>
        <v/>
      </c>
      <c r="J166" s="54" t="str">
        <f t="shared" si="79"/>
        <v/>
      </c>
      <c r="K166" s="55" t="str">
        <f t="shared" si="69"/>
        <v/>
      </c>
      <c r="L166" s="63" t="str">
        <f t="shared" si="70"/>
        <v/>
      </c>
      <c r="M166" s="96" t="str">
        <f t="shared" si="80"/>
        <v/>
      </c>
      <c r="N166" s="96" t="str">
        <f>IF(A166="","",IF(A166=Expiry,0,EXP(-q*Q166)*_xlfn.NORM.S.DIST(Y166,0)/(sigma*SQRT(Q166))*I166*Mult/100))</f>
        <v/>
      </c>
      <c r="O166" s="96" t="str">
        <f>IF(A166="","",IF(A166=Expiry,0,D166*E166*E166*EXP(-q*Q166)*_xlfn.NORM.S.DIST(Y166,0)*SQRT(Q166)/100))</f>
        <v/>
      </c>
      <c r="P166" s="69" t="str">
        <f>IF(A166="","",IF(A166=Expiry,0,AK166*I166*Mult*((-EXP(-q*Q166)*E166*_xlfn.NORM.S.DIST(Y166,0)*sigma/(2*SQRT(Q166))-r_dom*K*EXP(-r_dom*Q166)*_xlfn.NORM.S.DIST(Z166,1)+q*E166*EXP(-q*Q166)*_xlfn.NORM.S.DIST(Y166,1))/365)))</f>
        <v/>
      </c>
      <c r="Q166" s="83" t="str">
        <f t="shared" si="71"/>
        <v/>
      </c>
      <c r="R166" s="38"/>
      <c r="S166" s="68" t="str">
        <f t="shared" si="72"/>
        <v/>
      </c>
      <c r="T166" s="69" t="str">
        <f t="shared" si="73"/>
        <v/>
      </c>
      <c r="U166" s="70" t="str">
        <f t="shared" si="74"/>
        <v/>
      </c>
      <c r="V166" s="72" t="str">
        <f t="shared" si="75"/>
        <v/>
      </c>
      <c r="W166" s="2" t="str">
        <f t="shared" si="86"/>
        <v/>
      </c>
      <c r="X166" s="2" t="str">
        <f t="shared" si="81"/>
        <v/>
      </c>
      <c r="Y166" s="35" t="str">
        <f t="shared" ca="1" si="76"/>
        <v/>
      </c>
      <c r="Z166" s="36" t="str">
        <f t="shared" ca="1" si="77"/>
        <v/>
      </c>
      <c r="AA166" s="70" t="str">
        <f t="shared" si="78"/>
        <v/>
      </c>
      <c r="AB166" s="2"/>
      <c r="AC166" s="94" t="str">
        <f t="shared" si="82"/>
        <v/>
      </c>
      <c r="AD166" s="95" t="str">
        <f t="shared" si="83"/>
        <v/>
      </c>
      <c r="AE166" s="96" t="str">
        <f t="shared" si="84"/>
        <v/>
      </c>
      <c r="AF166" s="124" t="str">
        <f t="shared" si="85"/>
        <v/>
      </c>
      <c r="AG166" s="2"/>
      <c r="AH166" s="2"/>
      <c r="AI166" s="2"/>
      <c r="AJ166" s="2"/>
      <c r="AK166" s="2"/>
      <c r="AL166" s="2"/>
    </row>
    <row r="167" spans="1:38" x14ac:dyDescent="0.2">
      <c r="A167" s="45"/>
      <c r="B167" s="43" t="str">
        <f t="shared" si="64"/>
        <v/>
      </c>
      <c r="C167" s="96" t="str">
        <f t="shared" si="87"/>
        <v/>
      </c>
      <c r="D167" s="44" t="str">
        <f t="shared" si="65"/>
        <v/>
      </c>
      <c r="E167" s="52"/>
      <c r="F167" s="63" t="str">
        <f t="shared" si="66"/>
        <v/>
      </c>
      <c r="G167" s="56" t="str">
        <f t="shared" si="67"/>
        <v/>
      </c>
      <c r="H167" s="42"/>
      <c r="I167" s="2" t="str">
        <f t="shared" si="68"/>
        <v/>
      </c>
      <c r="J167" s="54" t="str">
        <f t="shared" si="79"/>
        <v/>
      </c>
      <c r="K167" s="55" t="str">
        <f t="shared" si="69"/>
        <v/>
      </c>
      <c r="L167" s="63" t="str">
        <f t="shared" si="70"/>
        <v/>
      </c>
      <c r="M167" s="96" t="str">
        <f t="shared" si="80"/>
        <v/>
      </c>
      <c r="N167" s="96" t="str">
        <f>IF(A167="","",IF(A167=Expiry,0,EXP(-q*Q167)*_xlfn.NORM.S.DIST(Y167,0)/(sigma*SQRT(Q167))*I167*Mult/100))</f>
        <v/>
      </c>
      <c r="O167" s="96" t="str">
        <f>IF(A167="","",IF(A167=Expiry,0,D167*E167*E167*EXP(-q*Q167)*_xlfn.NORM.S.DIST(Y167,0)*SQRT(Q167)/100))</f>
        <v/>
      </c>
      <c r="P167" s="69" t="str">
        <f>IF(A167="","",IF(A167=Expiry,0,AK167*I167*Mult*((-EXP(-q*Q167)*E167*_xlfn.NORM.S.DIST(Y167,0)*sigma/(2*SQRT(Q167))-r_dom*K*EXP(-r_dom*Q167)*_xlfn.NORM.S.DIST(Z167,1)+q*E167*EXP(-q*Q167)*_xlfn.NORM.S.DIST(Y167,1))/365)))</f>
        <v/>
      </c>
      <c r="Q167" s="83" t="str">
        <f t="shared" si="71"/>
        <v/>
      </c>
      <c r="R167" s="38"/>
      <c r="S167" s="68" t="str">
        <f t="shared" si="72"/>
        <v/>
      </c>
      <c r="T167" s="69" t="str">
        <f t="shared" si="73"/>
        <v/>
      </c>
      <c r="U167" s="70" t="str">
        <f t="shared" si="74"/>
        <v/>
      </c>
      <c r="V167" s="72" t="str">
        <f t="shared" si="75"/>
        <v/>
      </c>
      <c r="W167" s="2" t="str">
        <f t="shared" si="86"/>
        <v/>
      </c>
      <c r="X167" s="2" t="str">
        <f t="shared" si="81"/>
        <v/>
      </c>
      <c r="Y167" s="35" t="str">
        <f t="shared" ca="1" si="76"/>
        <v/>
      </c>
      <c r="Z167" s="36" t="str">
        <f t="shared" ca="1" si="77"/>
        <v/>
      </c>
      <c r="AA167" s="70" t="str">
        <f t="shared" si="78"/>
        <v/>
      </c>
      <c r="AB167" s="2"/>
      <c r="AC167" s="94" t="str">
        <f t="shared" si="82"/>
        <v/>
      </c>
      <c r="AD167" s="95" t="str">
        <f t="shared" si="83"/>
        <v/>
      </c>
      <c r="AE167" s="96" t="str">
        <f t="shared" si="84"/>
        <v/>
      </c>
      <c r="AF167" s="124" t="str">
        <f t="shared" si="85"/>
        <v/>
      </c>
      <c r="AG167" s="2"/>
      <c r="AH167" s="2"/>
      <c r="AI167" s="2"/>
      <c r="AJ167" s="2"/>
      <c r="AK167" s="2"/>
      <c r="AL167" s="2"/>
    </row>
    <row r="168" spans="1:38" x14ac:dyDescent="0.2">
      <c r="A168" s="45"/>
      <c r="B168" s="43" t="str">
        <f t="shared" si="64"/>
        <v/>
      </c>
      <c r="C168" s="96" t="str">
        <f t="shared" si="87"/>
        <v/>
      </c>
      <c r="D168" s="44" t="str">
        <f t="shared" si="65"/>
        <v/>
      </c>
      <c r="E168" s="52"/>
      <c r="F168" s="63" t="str">
        <f t="shared" si="66"/>
        <v/>
      </c>
      <c r="G168" s="56" t="str">
        <f t="shared" si="67"/>
        <v/>
      </c>
      <c r="H168" s="42"/>
      <c r="I168" s="2" t="str">
        <f t="shared" si="68"/>
        <v/>
      </c>
      <c r="J168" s="54" t="str">
        <f t="shared" si="79"/>
        <v/>
      </c>
      <c r="K168" s="55" t="str">
        <f t="shared" si="69"/>
        <v/>
      </c>
      <c r="L168" s="63" t="str">
        <f t="shared" si="70"/>
        <v/>
      </c>
      <c r="M168" s="96" t="str">
        <f t="shared" si="80"/>
        <v/>
      </c>
      <c r="N168" s="96" t="str">
        <f>IF(A168="","",IF(A168=Expiry,0,EXP(-q*Q168)*_xlfn.NORM.S.DIST(Y168,0)/(sigma*SQRT(Q168))*I168*Mult/100))</f>
        <v/>
      </c>
      <c r="O168" s="96" t="str">
        <f>IF(A168="","",IF(A168=Expiry,0,D168*E168*E168*EXP(-q*Q168)*_xlfn.NORM.S.DIST(Y168,0)*SQRT(Q168)/100))</f>
        <v/>
      </c>
      <c r="P168" s="69" t="str">
        <f>IF(A168="","",IF(A168=Expiry,0,AK168*I168*Mult*((-EXP(-q*Q168)*E168*_xlfn.NORM.S.DIST(Y168,0)*sigma/(2*SQRT(Q168))-r_dom*K*EXP(-r_dom*Q168)*_xlfn.NORM.S.DIST(Z168,1)+q*E168*EXP(-q*Q168)*_xlfn.NORM.S.DIST(Y168,1))/365)))</f>
        <v/>
      </c>
      <c r="Q168" s="83" t="str">
        <f t="shared" si="71"/>
        <v/>
      </c>
      <c r="R168" s="38"/>
      <c r="S168" s="68" t="str">
        <f t="shared" si="72"/>
        <v/>
      </c>
      <c r="T168" s="69" t="str">
        <f t="shared" si="73"/>
        <v/>
      </c>
      <c r="U168" s="70" t="str">
        <f t="shared" si="74"/>
        <v/>
      </c>
      <c r="V168" s="72" t="str">
        <f t="shared" si="75"/>
        <v/>
      </c>
      <c r="W168" s="2" t="str">
        <f t="shared" si="86"/>
        <v/>
      </c>
      <c r="X168" s="2" t="str">
        <f t="shared" si="81"/>
        <v/>
      </c>
      <c r="Y168" s="35" t="str">
        <f t="shared" ca="1" si="76"/>
        <v/>
      </c>
      <c r="Z168" s="36" t="str">
        <f t="shared" ca="1" si="77"/>
        <v/>
      </c>
      <c r="AA168" s="70" t="str">
        <f t="shared" si="78"/>
        <v/>
      </c>
      <c r="AB168" s="2"/>
      <c r="AC168" s="94" t="str">
        <f t="shared" si="82"/>
        <v/>
      </c>
      <c r="AD168" s="95" t="str">
        <f t="shared" si="83"/>
        <v/>
      </c>
      <c r="AE168" s="96" t="str">
        <f t="shared" si="84"/>
        <v/>
      </c>
      <c r="AF168" s="124" t="str">
        <f t="shared" si="85"/>
        <v/>
      </c>
      <c r="AG168" s="2"/>
      <c r="AH168" s="2"/>
      <c r="AI168" s="2"/>
      <c r="AJ168" s="2"/>
      <c r="AK168" s="2"/>
      <c r="AL168" s="2"/>
    </row>
    <row r="169" spans="1:38" x14ac:dyDescent="0.2">
      <c r="A169" s="45"/>
      <c r="B169" s="43" t="str">
        <f t="shared" si="64"/>
        <v/>
      </c>
      <c r="C169" s="96" t="str">
        <f t="shared" si="87"/>
        <v/>
      </c>
      <c r="D169" s="44" t="str">
        <f t="shared" si="65"/>
        <v/>
      </c>
      <c r="E169" s="52"/>
      <c r="F169" s="63" t="str">
        <f t="shared" si="66"/>
        <v/>
      </c>
      <c r="G169" s="56" t="str">
        <f t="shared" si="67"/>
        <v/>
      </c>
      <c r="H169" s="42"/>
      <c r="I169" s="2" t="str">
        <f t="shared" si="68"/>
        <v/>
      </c>
      <c r="J169" s="54" t="str">
        <f t="shared" si="79"/>
        <v/>
      </c>
      <c r="K169" s="55" t="str">
        <f t="shared" si="69"/>
        <v/>
      </c>
      <c r="L169" s="63" t="str">
        <f t="shared" si="70"/>
        <v/>
      </c>
      <c r="M169" s="96" t="str">
        <f t="shared" si="80"/>
        <v/>
      </c>
      <c r="N169" s="96" t="str">
        <f>IF(A169="","",IF(A169=Expiry,0,EXP(-q*Q169)*_xlfn.NORM.S.DIST(Y169,0)/(sigma*SQRT(Q169))*I169*Mult/100))</f>
        <v/>
      </c>
      <c r="O169" s="96" t="str">
        <f>IF(A169="","",IF(A169=Expiry,0,D169*E169*E169*EXP(-q*Q169)*_xlfn.NORM.S.DIST(Y169,0)*SQRT(Q169)/100))</f>
        <v/>
      </c>
      <c r="P169" s="69" t="str">
        <f>IF(A169="","",IF(A169=Expiry,0,AK169*I169*Mult*((-EXP(-q*Q169)*E169*_xlfn.NORM.S.DIST(Y169,0)*sigma/(2*SQRT(Q169))-r_dom*K*EXP(-r_dom*Q169)*_xlfn.NORM.S.DIST(Z169,1)+q*E169*EXP(-q*Q169)*_xlfn.NORM.S.DIST(Y169,1))/365)))</f>
        <v/>
      </c>
      <c r="Q169" s="83" t="str">
        <f t="shared" si="71"/>
        <v/>
      </c>
      <c r="R169" s="38"/>
      <c r="S169" s="68" t="str">
        <f t="shared" si="72"/>
        <v/>
      </c>
      <c r="T169" s="69" t="str">
        <f t="shared" si="73"/>
        <v/>
      </c>
      <c r="U169" s="70" t="str">
        <f t="shared" si="74"/>
        <v/>
      </c>
      <c r="V169" s="72" t="str">
        <f t="shared" si="75"/>
        <v/>
      </c>
      <c r="W169" s="2" t="str">
        <f t="shared" si="86"/>
        <v/>
      </c>
      <c r="X169" s="2" t="str">
        <f t="shared" si="81"/>
        <v/>
      </c>
      <c r="Y169" s="35" t="str">
        <f t="shared" ca="1" si="76"/>
        <v/>
      </c>
      <c r="Z169" s="36" t="str">
        <f t="shared" ca="1" si="77"/>
        <v/>
      </c>
      <c r="AA169" s="70" t="str">
        <f t="shared" si="78"/>
        <v/>
      </c>
      <c r="AB169" s="2"/>
      <c r="AC169" s="94" t="str">
        <f t="shared" si="82"/>
        <v/>
      </c>
      <c r="AD169" s="95" t="str">
        <f t="shared" si="83"/>
        <v/>
      </c>
      <c r="AE169" s="96" t="str">
        <f t="shared" si="84"/>
        <v/>
      </c>
      <c r="AF169" s="124" t="str">
        <f t="shared" si="85"/>
        <v/>
      </c>
      <c r="AG169" s="2"/>
      <c r="AH169" s="2"/>
      <c r="AI169" s="2"/>
      <c r="AJ169" s="2"/>
      <c r="AK169" s="2"/>
      <c r="AL169" s="2"/>
    </row>
    <row r="170" spans="1:38" x14ac:dyDescent="0.2">
      <c r="A170" s="45"/>
      <c r="B170" s="43" t="str">
        <f t="shared" si="64"/>
        <v/>
      </c>
      <c r="C170" s="96" t="str">
        <f t="shared" si="87"/>
        <v/>
      </c>
      <c r="D170" s="44" t="str">
        <f t="shared" si="65"/>
        <v/>
      </c>
      <c r="E170" s="52"/>
      <c r="F170" s="63" t="str">
        <f t="shared" si="66"/>
        <v/>
      </c>
      <c r="G170" s="56" t="str">
        <f t="shared" si="67"/>
        <v/>
      </c>
      <c r="H170" s="42"/>
      <c r="I170" s="2" t="str">
        <f t="shared" si="68"/>
        <v/>
      </c>
      <c r="J170" s="54" t="str">
        <f t="shared" si="79"/>
        <v/>
      </c>
      <c r="K170" s="55" t="str">
        <f t="shared" si="69"/>
        <v/>
      </c>
      <c r="L170" s="63" t="str">
        <f t="shared" si="70"/>
        <v/>
      </c>
      <c r="M170" s="96" t="str">
        <f t="shared" si="80"/>
        <v/>
      </c>
      <c r="N170" s="96" t="str">
        <f>IF(A170="","",IF(A170=Expiry,0,EXP(-q*Q170)*_xlfn.NORM.S.DIST(Y170,0)/(sigma*SQRT(Q170))*I170*Mult/100))</f>
        <v/>
      </c>
      <c r="O170" s="96" t="str">
        <f>IF(A170="","",IF(A170=Expiry,0,D170*E170*E170*EXP(-q*Q170)*_xlfn.NORM.S.DIST(Y170,0)*SQRT(Q170)/100))</f>
        <v/>
      </c>
      <c r="P170" s="69" t="str">
        <f>IF(A170="","",IF(A170=Expiry,0,AK170*I170*Mult*((-EXP(-q*Q170)*E170*_xlfn.NORM.S.DIST(Y170,0)*sigma/(2*SQRT(Q170))-r_dom*K*EXP(-r_dom*Q170)*_xlfn.NORM.S.DIST(Z170,1)+q*E170*EXP(-q*Q170)*_xlfn.NORM.S.DIST(Y170,1))/365)))</f>
        <v/>
      </c>
      <c r="Q170" s="83" t="str">
        <f t="shared" si="71"/>
        <v/>
      </c>
      <c r="R170" s="38"/>
      <c r="S170" s="68" t="str">
        <f t="shared" si="72"/>
        <v/>
      </c>
      <c r="T170" s="69" t="str">
        <f t="shared" si="73"/>
        <v/>
      </c>
      <c r="U170" s="70" t="str">
        <f t="shared" si="74"/>
        <v/>
      </c>
      <c r="V170" s="72" t="str">
        <f t="shared" si="75"/>
        <v/>
      </c>
      <c r="W170" s="2" t="str">
        <f t="shared" si="86"/>
        <v/>
      </c>
      <c r="X170" s="2" t="str">
        <f t="shared" si="81"/>
        <v/>
      </c>
      <c r="Y170" s="35" t="str">
        <f t="shared" ca="1" si="76"/>
        <v/>
      </c>
      <c r="Z170" s="36" t="str">
        <f t="shared" ca="1" si="77"/>
        <v/>
      </c>
      <c r="AA170" s="70" t="str">
        <f t="shared" si="78"/>
        <v/>
      </c>
      <c r="AB170" s="2"/>
      <c r="AC170" s="94" t="str">
        <f t="shared" si="82"/>
        <v/>
      </c>
      <c r="AD170" s="95" t="str">
        <f t="shared" si="83"/>
        <v/>
      </c>
      <c r="AE170" s="96" t="str">
        <f t="shared" si="84"/>
        <v/>
      </c>
      <c r="AF170" s="124" t="str">
        <f t="shared" si="85"/>
        <v/>
      </c>
      <c r="AG170" s="2"/>
      <c r="AH170" s="2"/>
      <c r="AI170" s="2"/>
      <c r="AJ170" s="2"/>
      <c r="AK170" s="2"/>
      <c r="AL170" s="2"/>
    </row>
    <row r="171" spans="1:38" x14ac:dyDescent="0.2">
      <c r="A171" s="45"/>
      <c r="B171" s="43" t="str">
        <f t="shared" si="64"/>
        <v/>
      </c>
      <c r="C171" s="96" t="str">
        <f t="shared" si="87"/>
        <v/>
      </c>
      <c r="D171" s="44" t="str">
        <f t="shared" si="65"/>
        <v/>
      </c>
      <c r="E171" s="52"/>
      <c r="F171" s="63" t="str">
        <f t="shared" si="66"/>
        <v/>
      </c>
      <c r="G171" s="56" t="str">
        <f t="shared" si="67"/>
        <v/>
      </c>
      <c r="H171" s="42"/>
      <c r="I171" s="2" t="str">
        <f t="shared" si="68"/>
        <v/>
      </c>
      <c r="J171" s="54" t="str">
        <f t="shared" si="79"/>
        <v/>
      </c>
      <c r="K171" s="55" t="str">
        <f t="shared" si="69"/>
        <v/>
      </c>
      <c r="L171" s="63" t="str">
        <f t="shared" si="70"/>
        <v/>
      </c>
      <c r="M171" s="96" t="str">
        <f t="shared" si="80"/>
        <v/>
      </c>
      <c r="N171" s="96" t="str">
        <f>IF(A171="","",IF(A171=Expiry,0,EXP(-q*Q171)*_xlfn.NORM.S.DIST(Y171,0)/(sigma*SQRT(Q171))*I171*Mult/100))</f>
        <v/>
      </c>
      <c r="O171" s="96" t="str">
        <f>IF(A171="","",IF(A171=Expiry,0,D171*E171*E171*EXP(-q*Q171)*_xlfn.NORM.S.DIST(Y171,0)*SQRT(Q171)/100))</f>
        <v/>
      </c>
      <c r="P171" s="69" t="str">
        <f>IF(A171="","",IF(A171=Expiry,0,AK171*I171*Mult*((-EXP(-q*Q171)*E171*_xlfn.NORM.S.DIST(Y171,0)*sigma/(2*SQRT(Q171))-r_dom*K*EXP(-r_dom*Q171)*_xlfn.NORM.S.DIST(Z171,1)+q*E171*EXP(-q*Q171)*_xlfn.NORM.S.DIST(Y171,1))/365)))</f>
        <v/>
      </c>
      <c r="Q171" s="83" t="str">
        <f t="shared" si="71"/>
        <v/>
      </c>
      <c r="R171" s="38"/>
      <c r="S171" s="68" t="str">
        <f t="shared" si="72"/>
        <v/>
      </c>
      <c r="T171" s="69" t="str">
        <f t="shared" si="73"/>
        <v/>
      </c>
      <c r="U171" s="70" t="str">
        <f t="shared" si="74"/>
        <v/>
      </c>
      <c r="V171" s="72" t="str">
        <f t="shared" si="75"/>
        <v/>
      </c>
      <c r="W171" s="2" t="str">
        <f t="shared" si="86"/>
        <v/>
      </c>
      <c r="X171" s="2" t="str">
        <f t="shared" si="81"/>
        <v/>
      </c>
      <c r="Y171" s="35" t="str">
        <f t="shared" ca="1" si="76"/>
        <v/>
      </c>
      <c r="Z171" s="36" t="str">
        <f t="shared" ca="1" si="77"/>
        <v/>
      </c>
      <c r="AA171" s="70" t="str">
        <f t="shared" si="78"/>
        <v/>
      </c>
      <c r="AB171" s="2"/>
      <c r="AC171" s="94" t="str">
        <f t="shared" si="82"/>
        <v/>
      </c>
      <c r="AD171" s="95" t="str">
        <f t="shared" si="83"/>
        <v/>
      </c>
      <c r="AE171" s="96" t="str">
        <f t="shared" si="84"/>
        <v/>
      </c>
      <c r="AF171" s="124" t="str">
        <f t="shared" si="85"/>
        <v/>
      </c>
      <c r="AG171" s="2"/>
      <c r="AH171" s="2"/>
      <c r="AI171" s="2"/>
      <c r="AJ171" s="2"/>
      <c r="AK171" s="2"/>
      <c r="AL171" s="2"/>
    </row>
    <row r="172" spans="1:38" x14ac:dyDescent="0.2">
      <c r="A172" s="45"/>
      <c r="B172" s="43" t="str">
        <f t="shared" si="64"/>
        <v/>
      </c>
      <c r="C172" s="96" t="str">
        <f t="shared" si="87"/>
        <v/>
      </c>
      <c r="D172" s="44" t="str">
        <f t="shared" si="65"/>
        <v/>
      </c>
      <c r="E172" s="52"/>
      <c r="F172" s="63" t="str">
        <f t="shared" si="66"/>
        <v/>
      </c>
      <c r="G172" s="56" t="str">
        <f t="shared" si="67"/>
        <v/>
      </c>
      <c r="H172" s="42"/>
      <c r="I172" s="2" t="str">
        <f t="shared" si="68"/>
        <v/>
      </c>
      <c r="J172" s="54" t="str">
        <f t="shared" si="79"/>
        <v/>
      </c>
      <c r="K172" s="55" t="str">
        <f t="shared" si="69"/>
        <v/>
      </c>
      <c r="L172" s="63" t="str">
        <f t="shared" si="70"/>
        <v/>
      </c>
      <c r="M172" s="96" t="str">
        <f t="shared" si="80"/>
        <v/>
      </c>
      <c r="N172" s="96" t="str">
        <f>IF(A172="","",IF(A172=Expiry,0,EXP(-q*Q172)*_xlfn.NORM.S.DIST(Y172,0)/(sigma*SQRT(Q172))*I172*Mult/100))</f>
        <v/>
      </c>
      <c r="O172" s="96" t="str">
        <f>IF(A172="","",IF(A172=Expiry,0,D172*E172*E172*EXP(-q*Q172)*_xlfn.NORM.S.DIST(Y172,0)*SQRT(Q172)/100))</f>
        <v/>
      </c>
      <c r="P172" s="69" t="str">
        <f>IF(A172="","",IF(A172=Expiry,0,AK172*I172*Mult*((-EXP(-q*Q172)*E172*_xlfn.NORM.S.DIST(Y172,0)*sigma/(2*SQRT(Q172))-r_dom*K*EXP(-r_dom*Q172)*_xlfn.NORM.S.DIST(Z172,1)+q*E172*EXP(-q*Q172)*_xlfn.NORM.S.DIST(Y172,1))/365)))</f>
        <v/>
      </c>
      <c r="Q172" s="83" t="str">
        <f t="shared" si="71"/>
        <v/>
      </c>
      <c r="R172" s="38"/>
      <c r="S172" s="68" t="str">
        <f t="shared" si="72"/>
        <v/>
      </c>
      <c r="T172" s="69" t="str">
        <f t="shared" si="73"/>
        <v/>
      </c>
      <c r="U172" s="70" t="str">
        <f t="shared" si="74"/>
        <v/>
      </c>
      <c r="V172" s="72" t="str">
        <f t="shared" si="75"/>
        <v/>
      </c>
      <c r="W172" s="2" t="str">
        <f t="shared" si="86"/>
        <v/>
      </c>
      <c r="X172" s="2" t="str">
        <f t="shared" si="81"/>
        <v/>
      </c>
      <c r="Y172" s="35" t="str">
        <f t="shared" ca="1" si="76"/>
        <v/>
      </c>
      <c r="Z172" s="36" t="str">
        <f t="shared" ca="1" si="77"/>
        <v/>
      </c>
      <c r="AA172" s="70" t="str">
        <f t="shared" si="78"/>
        <v/>
      </c>
      <c r="AB172" s="2"/>
      <c r="AC172" s="94" t="str">
        <f t="shared" si="82"/>
        <v/>
      </c>
      <c r="AD172" s="95" t="str">
        <f t="shared" si="83"/>
        <v/>
      </c>
      <c r="AE172" s="96" t="str">
        <f t="shared" si="84"/>
        <v/>
      </c>
      <c r="AF172" s="124" t="str">
        <f t="shared" si="85"/>
        <v/>
      </c>
      <c r="AG172" s="2"/>
      <c r="AH172" s="2"/>
      <c r="AI172" s="2"/>
      <c r="AJ172" s="2"/>
      <c r="AK172" s="2"/>
      <c r="AL172" s="2"/>
    </row>
    <row r="173" spans="1:38" x14ac:dyDescent="0.2">
      <c r="A173" s="45"/>
      <c r="B173" s="43" t="str">
        <f t="shared" si="64"/>
        <v/>
      </c>
      <c r="C173" s="96" t="str">
        <f t="shared" si="87"/>
        <v/>
      </c>
      <c r="D173" s="44" t="str">
        <f t="shared" si="65"/>
        <v/>
      </c>
      <c r="E173" s="52"/>
      <c r="F173" s="63" t="str">
        <f t="shared" si="66"/>
        <v/>
      </c>
      <c r="G173" s="56" t="str">
        <f t="shared" si="67"/>
        <v/>
      </c>
      <c r="H173" s="42"/>
      <c r="I173" s="2" t="str">
        <f t="shared" si="68"/>
        <v/>
      </c>
      <c r="J173" s="54" t="str">
        <f t="shared" si="79"/>
        <v/>
      </c>
      <c r="K173" s="55" t="str">
        <f t="shared" si="69"/>
        <v/>
      </c>
      <c r="L173" s="63" t="str">
        <f t="shared" si="70"/>
        <v/>
      </c>
      <c r="M173" s="96" t="str">
        <f t="shared" si="80"/>
        <v/>
      </c>
      <c r="N173" s="96" t="str">
        <f>IF(A173="","",IF(A173=Expiry,0,EXP(-q*Q173)*_xlfn.NORM.S.DIST(Y173,0)/(sigma*SQRT(Q173))*I173*Mult/100))</f>
        <v/>
      </c>
      <c r="O173" s="96" t="str">
        <f>IF(A173="","",IF(A173=Expiry,0,D173*E173*E173*EXP(-q*Q173)*_xlfn.NORM.S.DIST(Y173,0)*SQRT(Q173)/100))</f>
        <v/>
      </c>
      <c r="P173" s="69" t="str">
        <f>IF(A173="","",IF(A173=Expiry,0,AK173*I173*Mult*((-EXP(-q*Q173)*E173*_xlfn.NORM.S.DIST(Y173,0)*sigma/(2*SQRT(Q173))-r_dom*K*EXP(-r_dom*Q173)*_xlfn.NORM.S.DIST(Z173,1)+q*E173*EXP(-q*Q173)*_xlfn.NORM.S.DIST(Y173,1))/365)))</f>
        <v/>
      </c>
      <c r="Q173" s="83" t="str">
        <f t="shared" si="71"/>
        <v/>
      </c>
      <c r="R173" s="38"/>
      <c r="S173" s="68" t="str">
        <f t="shared" si="72"/>
        <v/>
      </c>
      <c r="T173" s="69" t="str">
        <f t="shared" si="73"/>
        <v/>
      </c>
      <c r="U173" s="70" t="str">
        <f t="shared" si="74"/>
        <v/>
      </c>
      <c r="V173" s="72" t="str">
        <f t="shared" si="75"/>
        <v/>
      </c>
      <c r="W173" s="2" t="str">
        <f t="shared" si="86"/>
        <v/>
      </c>
      <c r="X173" s="2" t="str">
        <f t="shared" si="81"/>
        <v/>
      </c>
      <c r="Y173" s="35" t="str">
        <f t="shared" ca="1" si="76"/>
        <v/>
      </c>
      <c r="Z173" s="36" t="str">
        <f t="shared" ca="1" si="77"/>
        <v/>
      </c>
      <c r="AA173" s="70" t="str">
        <f t="shared" si="78"/>
        <v/>
      </c>
      <c r="AB173" s="2"/>
      <c r="AC173" s="94" t="str">
        <f t="shared" si="82"/>
        <v/>
      </c>
      <c r="AD173" s="95" t="str">
        <f t="shared" si="83"/>
        <v/>
      </c>
      <c r="AE173" s="96" t="str">
        <f t="shared" si="84"/>
        <v/>
      </c>
      <c r="AF173" s="124" t="str">
        <f t="shared" si="85"/>
        <v/>
      </c>
      <c r="AG173" s="2"/>
      <c r="AH173" s="2"/>
      <c r="AI173" s="2"/>
      <c r="AJ173" s="2"/>
      <c r="AK173" s="2"/>
      <c r="AL173" s="2"/>
    </row>
    <row r="174" spans="1:38" x14ac:dyDescent="0.2">
      <c r="A174" s="45"/>
      <c r="B174" s="43" t="str">
        <f t="shared" si="64"/>
        <v/>
      </c>
      <c r="C174" s="96" t="str">
        <f t="shared" si="87"/>
        <v/>
      </c>
      <c r="D174" s="44" t="str">
        <f t="shared" si="65"/>
        <v/>
      </c>
      <c r="E174" s="52"/>
      <c r="F174" s="63" t="str">
        <f t="shared" si="66"/>
        <v/>
      </c>
      <c r="G174" s="56" t="str">
        <f t="shared" si="67"/>
        <v/>
      </c>
      <c r="H174" s="42"/>
      <c r="I174" s="2" t="str">
        <f t="shared" si="68"/>
        <v/>
      </c>
      <c r="J174" s="54" t="str">
        <f t="shared" si="79"/>
        <v/>
      </c>
      <c r="K174" s="55" t="str">
        <f t="shared" si="69"/>
        <v/>
      </c>
      <c r="L174" s="63" t="str">
        <f t="shared" si="70"/>
        <v/>
      </c>
      <c r="M174" s="96" t="str">
        <f t="shared" si="80"/>
        <v/>
      </c>
      <c r="N174" s="96" t="str">
        <f>IF(A174="","",IF(A174=Expiry,0,EXP(-q*Q174)*_xlfn.NORM.S.DIST(Y174,0)/(sigma*SQRT(Q174))*I174*Mult/100))</f>
        <v/>
      </c>
      <c r="O174" s="96" t="str">
        <f>IF(A174="","",IF(A174=Expiry,0,D174*E174*E174*EXP(-q*Q174)*_xlfn.NORM.S.DIST(Y174,0)*SQRT(Q174)/100))</f>
        <v/>
      </c>
      <c r="P174" s="69" t="str">
        <f>IF(A174="","",IF(A174=Expiry,0,AK174*I174*Mult*((-EXP(-q*Q174)*E174*_xlfn.NORM.S.DIST(Y174,0)*sigma/(2*SQRT(Q174))-r_dom*K*EXP(-r_dom*Q174)*_xlfn.NORM.S.DIST(Z174,1)+q*E174*EXP(-q*Q174)*_xlfn.NORM.S.DIST(Y174,1))/365)))</f>
        <v/>
      </c>
      <c r="Q174" s="83" t="str">
        <f t="shared" si="71"/>
        <v/>
      </c>
      <c r="R174" s="38"/>
      <c r="S174" s="68" t="str">
        <f t="shared" si="72"/>
        <v/>
      </c>
      <c r="T174" s="69" t="str">
        <f t="shared" si="73"/>
        <v/>
      </c>
      <c r="U174" s="70" t="str">
        <f t="shared" si="74"/>
        <v/>
      </c>
      <c r="V174" s="72" t="str">
        <f t="shared" si="75"/>
        <v/>
      </c>
      <c r="W174" s="2" t="str">
        <f t="shared" si="86"/>
        <v/>
      </c>
      <c r="X174" s="2" t="str">
        <f t="shared" si="81"/>
        <v/>
      </c>
      <c r="Y174" s="35" t="str">
        <f t="shared" ca="1" si="76"/>
        <v/>
      </c>
      <c r="Z174" s="36" t="str">
        <f t="shared" ca="1" si="77"/>
        <v/>
      </c>
      <c r="AA174" s="70" t="str">
        <f t="shared" si="78"/>
        <v/>
      </c>
      <c r="AB174" s="2"/>
      <c r="AC174" s="94" t="str">
        <f t="shared" si="82"/>
        <v/>
      </c>
      <c r="AD174" s="95" t="str">
        <f t="shared" si="83"/>
        <v/>
      </c>
      <c r="AE174" s="96" t="str">
        <f t="shared" si="84"/>
        <v/>
      </c>
      <c r="AF174" s="124" t="str">
        <f t="shared" si="85"/>
        <v/>
      </c>
      <c r="AG174" s="2"/>
      <c r="AH174" s="2"/>
      <c r="AI174" s="2"/>
      <c r="AJ174" s="2"/>
      <c r="AK174" s="2"/>
      <c r="AL174" s="2"/>
    </row>
    <row r="175" spans="1:38" x14ac:dyDescent="0.2">
      <c r="A175" s="45"/>
      <c r="B175" s="43" t="str">
        <f t="shared" si="64"/>
        <v/>
      </c>
      <c r="C175" s="96" t="str">
        <f t="shared" si="87"/>
        <v/>
      </c>
      <c r="D175" s="44" t="str">
        <f t="shared" si="65"/>
        <v/>
      </c>
      <c r="E175" s="52"/>
      <c r="F175" s="63" t="str">
        <f t="shared" si="66"/>
        <v/>
      </c>
      <c r="G175" s="56" t="str">
        <f t="shared" si="67"/>
        <v/>
      </c>
      <c r="H175" s="42"/>
      <c r="I175" s="2" t="str">
        <f t="shared" si="68"/>
        <v/>
      </c>
      <c r="J175" s="54" t="str">
        <f t="shared" si="79"/>
        <v/>
      </c>
      <c r="K175" s="55" t="str">
        <f t="shared" si="69"/>
        <v/>
      </c>
      <c r="L175" s="63" t="str">
        <f t="shared" si="70"/>
        <v/>
      </c>
      <c r="M175" s="96" t="str">
        <f t="shared" si="80"/>
        <v/>
      </c>
      <c r="N175" s="96" t="str">
        <f>IF(A175="","",IF(A175=Expiry,0,EXP(-q*Q175)*_xlfn.NORM.S.DIST(Y175,0)/(sigma*SQRT(Q175))*I175*Mult/100))</f>
        <v/>
      </c>
      <c r="O175" s="96" t="str">
        <f>IF(A175="","",IF(A175=Expiry,0,D175*E175*E175*EXP(-q*Q175)*_xlfn.NORM.S.DIST(Y175,0)*SQRT(Q175)/100))</f>
        <v/>
      </c>
      <c r="P175" s="69" t="str">
        <f>IF(A175="","",IF(A175=Expiry,0,AK175*I175*Mult*((-EXP(-q*Q175)*E175*_xlfn.NORM.S.DIST(Y175,0)*sigma/(2*SQRT(Q175))-r_dom*K*EXP(-r_dom*Q175)*_xlfn.NORM.S.DIST(Z175,1)+q*E175*EXP(-q*Q175)*_xlfn.NORM.S.DIST(Y175,1))/365)))</f>
        <v/>
      </c>
      <c r="Q175" s="83" t="str">
        <f t="shared" si="71"/>
        <v/>
      </c>
      <c r="R175" s="38"/>
      <c r="S175" s="68" t="str">
        <f t="shared" si="72"/>
        <v/>
      </c>
      <c r="T175" s="69" t="str">
        <f t="shared" si="73"/>
        <v/>
      </c>
      <c r="U175" s="70" t="str">
        <f t="shared" si="74"/>
        <v/>
      </c>
      <c r="V175" s="72" t="str">
        <f t="shared" si="75"/>
        <v/>
      </c>
      <c r="W175" s="2" t="str">
        <f t="shared" si="86"/>
        <v/>
      </c>
      <c r="X175" s="2" t="str">
        <f t="shared" si="81"/>
        <v/>
      </c>
      <c r="Y175" s="35" t="str">
        <f t="shared" ca="1" si="76"/>
        <v/>
      </c>
      <c r="Z175" s="36" t="str">
        <f t="shared" ca="1" si="77"/>
        <v/>
      </c>
      <c r="AA175" s="70" t="str">
        <f t="shared" si="78"/>
        <v/>
      </c>
      <c r="AB175" s="2"/>
      <c r="AC175" s="94" t="str">
        <f t="shared" si="82"/>
        <v/>
      </c>
      <c r="AD175" s="95" t="str">
        <f t="shared" si="83"/>
        <v/>
      </c>
      <c r="AE175" s="96" t="str">
        <f t="shared" si="84"/>
        <v/>
      </c>
      <c r="AF175" s="124" t="str">
        <f t="shared" si="85"/>
        <v/>
      </c>
      <c r="AG175" s="2"/>
      <c r="AH175" s="2"/>
      <c r="AI175" s="2"/>
      <c r="AJ175" s="2"/>
      <c r="AK175" s="2"/>
      <c r="AL175" s="2"/>
    </row>
    <row r="176" spans="1:38" x14ac:dyDescent="0.2">
      <c r="A176" s="45"/>
      <c r="B176" s="43" t="str">
        <f t="shared" si="64"/>
        <v/>
      </c>
      <c r="C176" s="96" t="str">
        <f t="shared" si="87"/>
        <v/>
      </c>
      <c r="D176" s="44" t="str">
        <f t="shared" si="65"/>
        <v/>
      </c>
      <c r="E176" s="52"/>
      <c r="F176" s="63" t="str">
        <f t="shared" si="66"/>
        <v/>
      </c>
      <c r="G176" s="56" t="str">
        <f t="shared" si="67"/>
        <v/>
      </c>
      <c r="H176" s="42"/>
      <c r="I176" s="2" t="str">
        <f t="shared" si="68"/>
        <v/>
      </c>
      <c r="J176" s="54" t="str">
        <f t="shared" si="79"/>
        <v/>
      </c>
      <c r="K176" s="55" t="str">
        <f t="shared" si="69"/>
        <v/>
      </c>
      <c r="L176" s="63" t="str">
        <f t="shared" si="70"/>
        <v/>
      </c>
      <c r="M176" s="96" t="str">
        <f t="shared" si="80"/>
        <v/>
      </c>
      <c r="N176" s="96" t="str">
        <f>IF(A176="","",IF(A176=Expiry,0,EXP(-q*Q176)*_xlfn.NORM.S.DIST(Y176,0)/(sigma*SQRT(Q176))*I176*Mult/100))</f>
        <v/>
      </c>
      <c r="O176" s="96" t="str">
        <f>IF(A176="","",IF(A176=Expiry,0,D176*E176*E176*EXP(-q*Q176)*_xlfn.NORM.S.DIST(Y176,0)*SQRT(Q176)/100))</f>
        <v/>
      </c>
      <c r="P176" s="69" t="str">
        <f>IF(A176="","",IF(A176=Expiry,0,AK176*I176*Mult*((-EXP(-q*Q176)*E176*_xlfn.NORM.S.DIST(Y176,0)*sigma/(2*SQRT(Q176))-r_dom*K*EXP(-r_dom*Q176)*_xlfn.NORM.S.DIST(Z176,1)+q*E176*EXP(-q*Q176)*_xlfn.NORM.S.DIST(Y176,1))/365)))</f>
        <v/>
      </c>
      <c r="Q176" s="83" t="str">
        <f t="shared" si="71"/>
        <v/>
      </c>
      <c r="R176" s="38"/>
      <c r="S176" s="68" t="str">
        <f t="shared" si="72"/>
        <v/>
      </c>
      <c r="T176" s="69" t="str">
        <f t="shared" si="73"/>
        <v/>
      </c>
      <c r="U176" s="70" t="str">
        <f t="shared" si="74"/>
        <v/>
      </c>
      <c r="V176" s="72" t="str">
        <f t="shared" si="75"/>
        <v/>
      </c>
      <c r="W176" s="2" t="str">
        <f t="shared" si="86"/>
        <v/>
      </c>
      <c r="X176" s="2" t="str">
        <f t="shared" si="81"/>
        <v/>
      </c>
      <c r="Y176" s="35" t="str">
        <f t="shared" ca="1" si="76"/>
        <v/>
      </c>
      <c r="Z176" s="36" t="str">
        <f t="shared" ca="1" si="77"/>
        <v/>
      </c>
      <c r="AA176" s="70" t="str">
        <f t="shared" si="78"/>
        <v/>
      </c>
      <c r="AB176" s="2"/>
      <c r="AC176" s="94" t="str">
        <f t="shared" si="82"/>
        <v/>
      </c>
      <c r="AD176" s="95" t="str">
        <f t="shared" si="83"/>
        <v/>
      </c>
      <c r="AE176" s="96" t="str">
        <f t="shared" si="84"/>
        <v/>
      </c>
      <c r="AF176" s="124" t="str">
        <f t="shared" si="85"/>
        <v/>
      </c>
      <c r="AG176" s="2"/>
      <c r="AH176" s="2"/>
      <c r="AI176" s="2"/>
      <c r="AJ176" s="2"/>
      <c r="AK176" s="2"/>
      <c r="AL176" s="2"/>
    </row>
    <row r="177" spans="1:38" x14ac:dyDescent="0.2">
      <c r="A177" s="45"/>
      <c r="B177" s="43" t="str">
        <f t="shared" si="64"/>
        <v/>
      </c>
      <c r="C177" s="96" t="str">
        <f t="shared" si="87"/>
        <v/>
      </c>
      <c r="D177" s="44" t="str">
        <f t="shared" si="65"/>
        <v/>
      </c>
      <c r="E177" s="52"/>
      <c r="F177" s="63" t="str">
        <f t="shared" si="66"/>
        <v/>
      </c>
      <c r="G177" s="56" t="str">
        <f t="shared" si="67"/>
        <v/>
      </c>
      <c r="H177" s="42"/>
      <c r="I177" s="2" t="str">
        <f t="shared" si="68"/>
        <v/>
      </c>
      <c r="J177" s="54" t="str">
        <f t="shared" si="79"/>
        <v/>
      </c>
      <c r="K177" s="55" t="str">
        <f t="shared" si="69"/>
        <v/>
      </c>
      <c r="L177" s="63" t="str">
        <f t="shared" si="70"/>
        <v/>
      </c>
      <c r="M177" s="96" t="str">
        <f t="shared" si="80"/>
        <v/>
      </c>
      <c r="N177" s="96" t="str">
        <f>IF(A177="","",IF(A177=Expiry,0,EXP(-q*Q177)*_xlfn.NORM.S.DIST(Y177,0)/(sigma*SQRT(Q177))*I177*Mult/100))</f>
        <v/>
      </c>
      <c r="O177" s="96" t="str">
        <f>IF(A177="","",IF(A177=Expiry,0,D177*E177*E177*EXP(-q*Q177)*_xlfn.NORM.S.DIST(Y177,0)*SQRT(Q177)/100))</f>
        <v/>
      </c>
      <c r="P177" s="69" t="str">
        <f>IF(A177="","",IF(A177=Expiry,0,AK177*I177*Mult*((-EXP(-q*Q177)*E177*_xlfn.NORM.S.DIST(Y177,0)*sigma/(2*SQRT(Q177))-r_dom*K*EXP(-r_dom*Q177)*_xlfn.NORM.S.DIST(Z177,1)+q*E177*EXP(-q*Q177)*_xlfn.NORM.S.DIST(Y177,1))/365)))</f>
        <v/>
      </c>
      <c r="Q177" s="83" t="str">
        <f t="shared" si="71"/>
        <v/>
      </c>
      <c r="R177" s="38"/>
      <c r="S177" s="68" t="str">
        <f t="shared" si="72"/>
        <v/>
      </c>
      <c r="T177" s="69" t="str">
        <f t="shared" si="73"/>
        <v/>
      </c>
      <c r="U177" s="70" t="str">
        <f t="shared" si="74"/>
        <v/>
      </c>
      <c r="V177" s="72" t="str">
        <f t="shared" si="75"/>
        <v/>
      </c>
      <c r="W177" s="2" t="str">
        <f t="shared" si="86"/>
        <v/>
      </c>
      <c r="X177" s="2" t="str">
        <f t="shared" si="81"/>
        <v/>
      </c>
      <c r="Y177" s="35" t="str">
        <f t="shared" ca="1" si="76"/>
        <v/>
      </c>
      <c r="Z177" s="36" t="str">
        <f t="shared" ca="1" si="77"/>
        <v/>
      </c>
      <c r="AA177" s="70" t="str">
        <f t="shared" si="78"/>
        <v/>
      </c>
      <c r="AB177" s="2"/>
      <c r="AC177" s="94" t="str">
        <f t="shared" si="82"/>
        <v/>
      </c>
      <c r="AD177" s="95" t="str">
        <f t="shared" si="83"/>
        <v/>
      </c>
      <c r="AE177" s="96" t="str">
        <f t="shared" si="84"/>
        <v/>
      </c>
      <c r="AF177" s="124" t="str">
        <f t="shared" si="85"/>
        <v/>
      </c>
      <c r="AG177" s="2"/>
      <c r="AH177" s="2"/>
      <c r="AI177" s="2"/>
      <c r="AJ177" s="2"/>
      <c r="AK177" s="2"/>
      <c r="AL177" s="2"/>
    </row>
    <row r="178" spans="1:38" x14ac:dyDescent="0.2">
      <c r="A178" s="45"/>
      <c r="B178" s="43" t="str">
        <f t="shared" ref="B178:B241" si="88">IF(A178="","",-(M178+C177))</f>
        <v/>
      </c>
      <c r="C178" s="96" t="str">
        <f t="shared" si="87"/>
        <v/>
      </c>
      <c r="D178" s="44" t="str">
        <f t="shared" ref="D178:D241" si="89">IF(A178="","",C178*E178)</f>
        <v/>
      </c>
      <c r="E178" s="52"/>
      <c r="F178" s="63" t="str">
        <f t="shared" ref="F178:F241" si="90">IF(A178="","",C177*(E178-E177))</f>
        <v/>
      </c>
      <c r="G178" s="56" t="str">
        <f t="shared" ref="G178:G241" si="91">IF(H178="","",J178)</f>
        <v/>
      </c>
      <c r="H178" s="42"/>
      <c r="I178" s="2" t="str">
        <f t="shared" ref="I178:I241" si="92">IF(A178="","",I177+H178)</f>
        <v/>
      </c>
      <c r="J178" s="54" t="str">
        <f t="shared" si="79"/>
        <v/>
      </c>
      <c r="K178" s="55" t="str">
        <f t="shared" ref="K178:K241" si="93">IF(I178="","",I178*Mult*J178)</f>
        <v/>
      </c>
      <c r="L178" s="63" t="str">
        <f t="shared" ref="L178:L241" si="94">IF(A178="","",Mult*(IFERROR(0,H178*(G178-J178))+(I178-H178)*(J178-J177)))</f>
        <v/>
      </c>
      <c r="M178" s="96" t="str">
        <f t="shared" si="80"/>
        <v/>
      </c>
      <c r="N178" s="96" t="str">
        <f>IF(A178="","",IF(A178=Expiry,0,EXP(-q*Q178)*_xlfn.NORM.S.DIST(Y178,0)/(sigma*SQRT(Q178))*I178*Mult/100))</f>
        <v/>
      </c>
      <c r="O178" s="96" t="str">
        <f>IF(A178="","",IF(A178=Expiry,0,D178*E178*E178*EXP(-q*Q178)*_xlfn.NORM.S.DIST(Y178,0)*SQRT(Q178)/100))</f>
        <v/>
      </c>
      <c r="P178" s="69" t="str">
        <f>IF(A178="","",IF(A178=Expiry,0,AK178*I178*Mult*((-EXP(-q*Q178)*E178*_xlfn.NORM.S.DIST(Y178,0)*sigma/(2*SQRT(Q178))-r_dom*K*EXP(-r_dom*Q178)*_xlfn.NORM.S.DIST(Z178,1)+q*E178*EXP(-q*Q178)*_xlfn.NORM.S.DIST(Y178,1))/365)))</f>
        <v/>
      </c>
      <c r="Q178" s="83" t="str">
        <f t="shared" ref="Q178:Q241" si="95">IF(A178="","",IF(OR(A178="",Expiry&lt;=A178),0,(Expiry-A178)/365))</f>
        <v/>
      </c>
      <c r="R178" s="38"/>
      <c r="S178" s="68" t="str">
        <f t="shared" ref="S178:S241" si="96">IF(A178="","",F178+L178)</f>
        <v/>
      </c>
      <c r="T178" s="69" t="str">
        <f t="shared" ref="T178:T241" si="97">IF(A178="","",T177+S178)</f>
        <v/>
      </c>
      <c r="U178" s="70" t="str">
        <f t="shared" ref="U178:U241" si="98">IF(A178="","",LN(T178/T177))</f>
        <v/>
      </c>
      <c r="V178" s="72" t="str">
        <f t="shared" ref="V178:V241" si="99">IF(A178="","",V177*EXP(U178))</f>
        <v/>
      </c>
      <c r="W178" s="2" t="str">
        <f t="shared" si="86"/>
        <v/>
      </c>
      <c r="X178" s="2" t="str">
        <f t="shared" si="81"/>
        <v/>
      </c>
      <c r="Y178" s="35" t="str">
        <f t="shared" ref="Y178:Y241" ca="1" si="100">IF(OR(A178="",A178=Expiry),"",((LN(E178/K)+(r_dom-q+sigma^2/2)*Q178))/(sigma*SQRT(Q178)))</f>
        <v/>
      </c>
      <c r="Z178" s="36" t="str">
        <f t="shared" ref="Z178:Z241" ca="1" si="101">IF(OR(A178="",A178=Expiry),"",Y178-sigma*SQRT(Q178))</f>
        <v/>
      </c>
      <c r="AA178" s="70" t="str">
        <f t="shared" ref="AA178:AA241" si="102">IF(A178="","",LN(E178/E177))</f>
        <v/>
      </c>
      <c r="AB178" s="2"/>
      <c r="AC178" s="94" t="str">
        <f t="shared" si="82"/>
        <v/>
      </c>
      <c r="AD178" s="95" t="str">
        <f t="shared" si="83"/>
        <v/>
      </c>
      <c r="AE178" s="96" t="str">
        <f t="shared" si="84"/>
        <v/>
      </c>
      <c r="AF178" s="124" t="str">
        <f t="shared" si="85"/>
        <v/>
      </c>
      <c r="AG178" s="2"/>
      <c r="AH178" s="2"/>
      <c r="AI178" s="2"/>
      <c r="AJ178" s="2"/>
      <c r="AK178" s="2"/>
      <c r="AL178" s="2"/>
    </row>
    <row r="179" spans="1:38" x14ac:dyDescent="0.2">
      <c r="A179" s="45"/>
      <c r="B179" s="43" t="str">
        <f t="shared" si="88"/>
        <v/>
      </c>
      <c r="C179" s="96" t="str">
        <f t="shared" si="87"/>
        <v/>
      </c>
      <c r="D179" s="44" t="str">
        <f t="shared" si="89"/>
        <v/>
      </c>
      <c r="E179" s="52"/>
      <c r="F179" s="63" t="str">
        <f t="shared" si="90"/>
        <v/>
      </c>
      <c r="G179" s="56" t="str">
        <f t="shared" si="91"/>
        <v/>
      </c>
      <c r="H179" s="42"/>
      <c r="I179" s="2" t="str">
        <f t="shared" si="92"/>
        <v/>
      </c>
      <c r="J179" s="54" t="str">
        <f t="shared" si="79"/>
        <v/>
      </c>
      <c r="K179" s="55" t="str">
        <f t="shared" si="93"/>
        <v/>
      </c>
      <c r="L179" s="63" t="str">
        <f t="shared" si="94"/>
        <v/>
      </c>
      <c r="M179" s="96" t="str">
        <f t="shared" si="80"/>
        <v/>
      </c>
      <c r="N179" s="96" t="str">
        <f>IF(A179="","",IF(A179=Expiry,0,EXP(-q*Q179)*_xlfn.NORM.S.DIST(Y179,0)/(sigma*SQRT(Q179))*I179*Mult/100))</f>
        <v/>
      </c>
      <c r="O179" s="96" t="str">
        <f>IF(A179="","",IF(A179=Expiry,0,D179*E179*E179*EXP(-q*Q179)*_xlfn.NORM.S.DIST(Y179,0)*SQRT(Q179)/100))</f>
        <v/>
      </c>
      <c r="P179" s="69" t="str">
        <f>IF(A179="","",IF(A179=Expiry,0,AK179*I179*Mult*((-EXP(-q*Q179)*E179*_xlfn.NORM.S.DIST(Y179,0)*sigma/(2*SQRT(Q179))-r_dom*K*EXP(-r_dom*Q179)*_xlfn.NORM.S.DIST(Z179,1)+q*E179*EXP(-q*Q179)*_xlfn.NORM.S.DIST(Y179,1))/365)))</f>
        <v/>
      </c>
      <c r="Q179" s="83" t="str">
        <f t="shared" si="95"/>
        <v/>
      </c>
      <c r="R179" s="38"/>
      <c r="S179" s="68" t="str">
        <f t="shared" si="96"/>
        <v/>
      </c>
      <c r="T179" s="69" t="str">
        <f t="shared" si="97"/>
        <v/>
      </c>
      <c r="U179" s="70" t="str">
        <f t="shared" si="98"/>
        <v/>
      </c>
      <c r="V179" s="72" t="str">
        <f t="shared" si="99"/>
        <v/>
      </c>
      <c r="W179" s="2" t="str">
        <f t="shared" si="86"/>
        <v/>
      </c>
      <c r="X179" s="2" t="str">
        <f t="shared" si="81"/>
        <v/>
      </c>
      <c r="Y179" s="35" t="str">
        <f t="shared" ca="1" si="100"/>
        <v/>
      </c>
      <c r="Z179" s="36" t="str">
        <f t="shared" ca="1" si="101"/>
        <v/>
      </c>
      <c r="AA179" s="70" t="str">
        <f t="shared" si="102"/>
        <v/>
      </c>
      <c r="AB179" s="2"/>
      <c r="AC179" s="94" t="str">
        <f t="shared" si="82"/>
        <v/>
      </c>
      <c r="AD179" s="95" t="str">
        <f t="shared" si="83"/>
        <v/>
      </c>
      <c r="AE179" s="96" t="str">
        <f t="shared" si="84"/>
        <v/>
      </c>
      <c r="AF179" s="124" t="str">
        <f t="shared" si="85"/>
        <v/>
      </c>
      <c r="AG179" s="2"/>
      <c r="AH179" s="2"/>
      <c r="AI179" s="2"/>
      <c r="AJ179" s="2"/>
      <c r="AK179" s="2"/>
      <c r="AL179" s="2"/>
    </row>
    <row r="180" spans="1:38" x14ac:dyDescent="0.2">
      <c r="A180" s="45"/>
      <c r="B180" s="43" t="str">
        <f t="shared" si="88"/>
        <v/>
      </c>
      <c r="C180" s="96" t="str">
        <f t="shared" si="87"/>
        <v/>
      </c>
      <c r="D180" s="44" t="str">
        <f t="shared" si="89"/>
        <v/>
      </c>
      <c r="E180" s="52"/>
      <c r="F180" s="63" t="str">
        <f t="shared" si="90"/>
        <v/>
      </c>
      <c r="G180" s="56" t="str">
        <f t="shared" si="91"/>
        <v/>
      </c>
      <c r="H180" s="42"/>
      <c r="I180" s="2" t="str">
        <f t="shared" si="92"/>
        <v/>
      </c>
      <c r="J180" s="54" t="str">
        <f t="shared" si="79"/>
        <v/>
      </c>
      <c r="K180" s="55" t="str">
        <f t="shared" si="93"/>
        <v/>
      </c>
      <c r="L180" s="63" t="str">
        <f t="shared" si="94"/>
        <v/>
      </c>
      <c r="M180" s="96" t="str">
        <f t="shared" si="80"/>
        <v/>
      </c>
      <c r="N180" s="96" t="str">
        <f>IF(A180="","",IF(A180=Expiry,0,EXP(-q*Q180)*_xlfn.NORM.S.DIST(Y180,0)/(sigma*SQRT(Q180))*I180*Mult/100))</f>
        <v/>
      </c>
      <c r="O180" s="96" t="str">
        <f>IF(A180="","",IF(A180=Expiry,0,D180*E180*E180*EXP(-q*Q180)*_xlfn.NORM.S.DIST(Y180,0)*SQRT(Q180)/100))</f>
        <v/>
      </c>
      <c r="P180" s="69" t="str">
        <f>IF(A180="","",IF(A180=Expiry,0,AK180*I180*Mult*((-EXP(-q*Q180)*E180*_xlfn.NORM.S.DIST(Y180,0)*sigma/(2*SQRT(Q180))-r_dom*K*EXP(-r_dom*Q180)*_xlfn.NORM.S.DIST(Z180,1)+q*E180*EXP(-q*Q180)*_xlfn.NORM.S.DIST(Y180,1))/365)))</f>
        <v/>
      </c>
      <c r="Q180" s="83" t="str">
        <f t="shared" si="95"/>
        <v/>
      </c>
      <c r="R180" s="38"/>
      <c r="S180" s="68" t="str">
        <f t="shared" si="96"/>
        <v/>
      </c>
      <c r="T180" s="69" t="str">
        <f t="shared" si="97"/>
        <v/>
      </c>
      <c r="U180" s="70" t="str">
        <f t="shared" si="98"/>
        <v/>
      </c>
      <c r="V180" s="72" t="str">
        <f t="shared" si="99"/>
        <v/>
      </c>
      <c r="W180" s="2" t="str">
        <f t="shared" si="86"/>
        <v/>
      </c>
      <c r="X180" s="2" t="str">
        <f t="shared" si="81"/>
        <v/>
      </c>
      <c r="Y180" s="35" t="str">
        <f t="shared" ca="1" si="100"/>
        <v/>
      </c>
      <c r="Z180" s="36" t="str">
        <f t="shared" ca="1" si="101"/>
        <v/>
      </c>
      <c r="AA180" s="70" t="str">
        <f t="shared" si="102"/>
        <v/>
      </c>
      <c r="AB180" s="2"/>
      <c r="AC180" s="94" t="str">
        <f t="shared" si="82"/>
        <v/>
      </c>
      <c r="AD180" s="95" t="str">
        <f t="shared" si="83"/>
        <v/>
      </c>
      <c r="AE180" s="96" t="str">
        <f t="shared" si="84"/>
        <v/>
      </c>
      <c r="AF180" s="124" t="str">
        <f t="shared" si="85"/>
        <v/>
      </c>
      <c r="AG180" s="2"/>
      <c r="AH180" s="2"/>
      <c r="AI180" s="2"/>
      <c r="AJ180" s="2"/>
      <c r="AK180" s="2"/>
      <c r="AL180" s="2"/>
    </row>
    <row r="181" spans="1:38" x14ac:dyDescent="0.2">
      <c r="A181" s="45"/>
      <c r="B181" s="43" t="str">
        <f t="shared" si="88"/>
        <v/>
      </c>
      <c r="C181" s="96" t="str">
        <f t="shared" si="87"/>
        <v/>
      </c>
      <c r="D181" s="44" t="str">
        <f t="shared" si="89"/>
        <v/>
      </c>
      <c r="E181" s="52"/>
      <c r="F181" s="63" t="str">
        <f t="shared" si="90"/>
        <v/>
      </c>
      <c r="G181" s="56" t="str">
        <f t="shared" si="91"/>
        <v/>
      </c>
      <c r="H181" s="42"/>
      <c r="I181" s="2" t="str">
        <f t="shared" si="92"/>
        <v/>
      </c>
      <c r="J181" s="54" t="str">
        <f t="shared" si="79"/>
        <v/>
      </c>
      <c r="K181" s="55" t="str">
        <f t="shared" si="93"/>
        <v/>
      </c>
      <c r="L181" s="63" t="str">
        <f t="shared" si="94"/>
        <v/>
      </c>
      <c r="M181" s="96" t="str">
        <f t="shared" si="80"/>
        <v/>
      </c>
      <c r="N181" s="96" t="str">
        <f>IF(A181="","",IF(A181=Expiry,0,EXP(-q*Q181)*_xlfn.NORM.S.DIST(Y181,0)/(sigma*SQRT(Q181))*I181*Mult/100))</f>
        <v/>
      </c>
      <c r="O181" s="96" t="str">
        <f>IF(A181="","",IF(A181=Expiry,0,D181*E181*E181*EXP(-q*Q181)*_xlfn.NORM.S.DIST(Y181,0)*SQRT(Q181)/100))</f>
        <v/>
      </c>
      <c r="P181" s="69" t="str">
        <f>IF(A181="","",IF(A181=Expiry,0,AK181*I181*Mult*((-EXP(-q*Q181)*E181*_xlfn.NORM.S.DIST(Y181,0)*sigma/(2*SQRT(Q181))-r_dom*K*EXP(-r_dom*Q181)*_xlfn.NORM.S.DIST(Z181,1)+q*E181*EXP(-q*Q181)*_xlfn.NORM.S.DIST(Y181,1))/365)))</f>
        <v/>
      </c>
      <c r="Q181" s="83" t="str">
        <f t="shared" si="95"/>
        <v/>
      </c>
      <c r="R181" s="38"/>
      <c r="S181" s="68" t="str">
        <f t="shared" si="96"/>
        <v/>
      </c>
      <c r="T181" s="69" t="str">
        <f t="shared" si="97"/>
        <v/>
      </c>
      <c r="U181" s="70" t="str">
        <f t="shared" si="98"/>
        <v/>
      </c>
      <c r="V181" s="72" t="str">
        <f t="shared" si="99"/>
        <v/>
      </c>
      <c r="W181" s="2" t="str">
        <f t="shared" si="86"/>
        <v/>
      </c>
      <c r="X181" s="2" t="str">
        <f t="shared" si="81"/>
        <v/>
      </c>
      <c r="Y181" s="35" t="str">
        <f t="shared" ca="1" si="100"/>
        <v/>
      </c>
      <c r="Z181" s="36" t="str">
        <f t="shared" ca="1" si="101"/>
        <v/>
      </c>
      <c r="AA181" s="70" t="str">
        <f t="shared" si="102"/>
        <v/>
      </c>
      <c r="AB181" s="2"/>
      <c r="AC181" s="94" t="str">
        <f t="shared" si="82"/>
        <v/>
      </c>
      <c r="AD181" s="95" t="str">
        <f t="shared" si="83"/>
        <v/>
      </c>
      <c r="AE181" s="96" t="str">
        <f t="shared" si="84"/>
        <v/>
      </c>
      <c r="AF181" s="124" t="str">
        <f t="shared" si="85"/>
        <v/>
      </c>
      <c r="AG181" s="2"/>
      <c r="AH181" s="2"/>
      <c r="AI181" s="2"/>
      <c r="AJ181" s="2"/>
      <c r="AK181" s="2"/>
      <c r="AL181" s="2"/>
    </row>
    <row r="182" spans="1:38" x14ac:dyDescent="0.2">
      <c r="A182" s="45"/>
      <c r="B182" s="43" t="str">
        <f t="shared" si="88"/>
        <v/>
      </c>
      <c r="C182" s="96" t="str">
        <f t="shared" si="87"/>
        <v/>
      </c>
      <c r="D182" s="44" t="str">
        <f t="shared" si="89"/>
        <v/>
      </c>
      <c r="E182" s="52"/>
      <c r="F182" s="63" t="str">
        <f t="shared" si="90"/>
        <v/>
      </c>
      <c r="G182" s="56" t="str">
        <f t="shared" si="91"/>
        <v/>
      </c>
      <c r="H182" s="42"/>
      <c r="I182" s="2" t="str">
        <f t="shared" si="92"/>
        <v/>
      </c>
      <c r="J182" s="54" t="str">
        <f t="shared" si="79"/>
        <v/>
      </c>
      <c r="K182" s="55" t="str">
        <f t="shared" si="93"/>
        <v/>
      </c>
      <c r="L182" s="63" t="str">
        <f t="shared" si="94"/>
        <v/>
      </c>
      <c r="M182" s="96" t="str">
        <f t="shared" si="80"/>
        <v/>
      </c>
      <c r="N182" s="96" t="str">
        <f>IF(A182="","",IF(A182=Expiry,0,EXP(-q*Q182)*_xlfn.NORM.S.DIST(Y182,0)/(sigma*SQRT(Q182))*I182*Mult/100))</f>
        <v/>
      </c>
      <c r="O182" s="96" t="str">
        <f>IF(A182="","",IF(A182=Expiry,0,D182*E182*E182*EXP(-q*Q182)*_xlfn.NORM.S.DIST(Y182,0)*SQRT(Q182)/100))</f>
        <v/>
      </c>
      <c r="P182" s="69" t="str">
        <f>IF(A182="","",IF(A182=Expiry,0,AK182*I182*Mult*((-EXP(-q*Q182)*E182*_xlfn.NORM.S.DIST(Y182,0)*sigma/(2*SQRT(Q182))-r_dom*K*EXP(-r_dom*Q182)*_xlfn.NORM.S.DIST(Z182,1)+q*E182*EXP(-q*Q182)*_xlfn.NORM.S.DIST(Y182,1))/365)))</f>
        <v/>
      </c>
      <c r="Q182" s="83" t="str">
        <f t="shared" si="95"/>
        <v/>
      </c>
      <c r="R182" s="38"/>
      <c r="S182" s="68" t="str">
        <f t="shared" si="96"/>
        <v/>
      </c>
      <c r="T182" s="69" t="str">
        <f t="shared" si="97"/>
        <v/>
      </c>
      <c r="U182" s="70" t="str">
        <f t="shared" si="98"/>
        <v/>
      </c>
      <c r="V182" s="72" t="str">
        <f t="shared" si="99"/>
        <v/>
      </c>
      <c r="W182" s="2" t="str">
        <f t="shared" si="86"/>
        <v/>
      </c>
      <c r="X182" s="2" t="str">
        <f t="shared" si="81"/>
        <v/>
      </c>
      <c r="Y182" s="35" t="str">
        <f t="shared" ca="1" si="100"/>
        <v/>
      </c>
      <c r="Z182" s="36" t="str">
        <f t="shared" ca="1" si="101"/>
        <v/>
      </c>
      <c r="AA182" s="70" t="str">
        <f t="shared" si="102"/>
        <v/>
      </c>
      <c r="AB182" s="2"/>
      <c r="AC182" s="94" t="str">
        <f t="shared" si="82"/>
        <v/>
      </c>
      <c r="AD182" s="95" t="str">
        <f t="shared" si="83"/>
        <v/>
      </c>
      <c r="AE182" s="96" t="str">
        <f t="shared" si="84"/>
        <v/>
      </c>
      <c r="AF182" s="124" t="str">
        <f t="shared" si="85"/>
        <v/>
      </c>
      <c r="AG182" s="2"/>
      <c r="AH182" s="2"/>
      <c r="AI182" s="2"/>
      <c r="AJ182" s="2"/>
      <c r="AK182" s="2"/>
      <c r="AL182" s="2"/>
    </row>
    <row r="183" spans="1:38" x14ac:dyDescent="0.2">
      <c r="A183" s="45"/>
      <c r="B183" s="43" t="str">
        <f t="shared" si="88"/>
        <v/>
      </c>
      <c r="C183" s="96" t="str">
        <f t="shared" si="87"/>
        <v/>
      </c>
      <c r="D183" s="44" t="str">
        <f t="shared" si="89"/>
        <v/>
      </c>
      <c r="E183" s="52"/>
      <c r="F183" s="63" t="str">
        <f t="shared" si="90"/>
        <v/>
      </c>
      <c r="G183" s="56" t="str">
        <f t="shared" si="91"/>
        <v/>
      </c>
      <c r="H183" s="42"/>
      <c r="I183" s="2" t="str">
        <f t="shared" si="92"/>
        <v/>
      </c>
      <c r="J183" s="54" t="str">
        <f t="shared" si="79"/>
        <v/>
      </c>
      <c r="K183" s="55" t="str">
        <f t="shared" si="93"/>
        <v/>
      </c>
      <c r="L183" s="63" t="str">
        <f t="shared" si="94"/>
        <v/>
      </c>
      <c r="M183" s="96" t="str">
        <f t="shared" si="80"/>
        <v/>
      </c>
      <c r="N183" s="96" t="str">
        <f>IF(A183="","",IF(A183=Expiry,0,EXP(-q*Q183)*_xlfn.NORM.S.DIST(Y183,0)/(sigma*SQRT(Q183))*I183*Mult/100))</f>
        <v/>
      </c>
      <c r="O183" s="96" t="str">
        <f>IF(A183="","",IF(A183=Expiry,0,D183*E183*E183*EXP(-q*Q183)*_xlfn.NORM.S.DIST(Y183,0)*SQRT(Q183)/100))</f>
        <v/>
      </c>
      <c r="P183" s="69" t="str">
        <f>IF(A183="","",IF(A183=Expiry,0,AK183*I183*Mult*((-EXP(-q*Q183)*E183*_xlfn.NORM.S.DIST(Y183,0)*sigma/(2*SQRT(Q183))-r_dom*K*EXP(-r_dom*Q183)*_xlfn.NORM.S.DIST(Z183,1)+q*E183*EXP(-q*Q183)*_xlfn.NORM.S.DIST(Y183,1))/365)))</f>
        <v/>
      </c>
      <c r="Q183" s="83" t="str">
        <f t="shared" si="95"/>
        <v/>
      </c>
      <c r="R183" s="38"/>
      <c r="S183" s="68" t="str">
        <f t="shared" si="96"/>
        <v/>
      </c>
      <c r="T183" s="69" t="str">
        <f t="shared" si="97"/>
        <v/>
      </c>
      <c r="U183" s="70" t="str">
        <f t="shared" si="98"/>
        <v/>
      </c>
      <c r="V183" s="72" t="str">
        <f t="shared" si="99"/>
        <v/>
      </c>
      <c r="W183" s="2" t="str">
        <f t="shared" si="86"/>
        <v/>
      </c>
      <c r="X183" s="2" t="str">
        <f t="shared" si="81"/>
        <v/>
      </c>
      <c r="Y183" s="35" t="str">
        <f t="shared" ca="1" si="100"/>
        <v/>
      </c>
      <c r="Z183" s="36" t="str">
        <f t="shared" ca="1" si="101"/>
        <v/>
      </c>
      <c r="AA183" s="70" t="str">
        <f t="shared" si="102"/>
        <v/>
      </c>
      <c r="AB183" s="2"/>
      <c r="AC183" s="94" t="str">
        <f t="shared" si="82"/>
        <v/>
      </c>
      <c r="AD183" s="95" t="str">
        <f t="shared" si="83"/>
        <v/>
      </c>
      <c r="AE183" s="96" t="str">
        <f t="shared" si="84"/>
        <v/>
      </c>
      <c r="AF183" s="124" t="str">
        <f t="shared" si="85"/>
        <v/>
      </c>
      <c r="AG183" s="2"/>
      <c r="AH183" s="2"/>
      <c r="AI183" s="2"/>
      <c r="AJ183" s="2"/>
      <c r="AK183" s="2"/>
      <c r="AL183" s="2"/>
    </row>
    <row r="184" spans="1:38" x14ac:dyDescent="0.2">
      <c r="A184" s="45"/>
      <c r="B184" s="43" t="str">
        <f t="shared" si="88"/>
        <v/>
      </c>
      <c r="C184" s="96" t="str">
        <f t="shared" si="87"/>
        <v/>
      </c>
      <c r="D184" s="44" t="str">
        <f t="shared" si="89"/>
        <v/>
      </c>
      <c r="E184" s="52"/>
      <c r="F184" s="63" t="str">
        <f t="shared" si="90"/>
        <v/>
      </c>
      <c r="G184" s="56" t="str">
        <f t="shared" si="91"/>
        <v/>
      </c>
      <c r="H184" s="42"/>
      <c r="I184" s="2" t="str">
        <f t="shared" si="92"/>
        <v/>
      </c>
      <c r="J184" s="54" t="str">
        <f t="shared" si="79"/>
        <v/>
      </c>
      <c r="K184" s="55" t="str">
        <f t="shared" si="93"/>
        <v/>
      </c>
      <c r="L184" s="63" t="str">
        <f t="shared" si="94"/>
        <v/>
      </c>
      <c r="M184" s="96" t="str">
        <f t="shared" si="80"/>
        <v/>
      </c>
      <c r="N184" s="96" t="str">
        <f>IF(A184="","",IF(A184=Expiry,0,EXP(-q*Q184)*_xlfn.NORM.S.DIST(Y184,0)/(sigma*SQRT(Q184))*I184*Mult/100))</f>
        <v/>
      </c>
      <c r="O184" s="96" t="str">
        <f>IF(A184="","",IF(A184=Expiry,0,D184*E184*E184*EXP(-q*Q184)*_xlfn.NORM.S.DIST(Y184,0)*SQRT(Q184)/100))</f>
        <v/>
      </c>
      <c r="P184" s="69" t="str">
        <f>IF(A184="","",IF(A184=Expiry,0,AK184*I184*Mult*((-EXP(-q*Q184)*E184*_xlfn.NORM.S.DIST(Y184,0)*sigma/(2*SQRT(Q184))-r_dom*K*EXP(-r_dom*Q184)*_xlfn.NORM.S.DIST(Z184,1)+q*E184*EXP(-q*Q184)*_xlfn.NORM.S.DIST(Y184,1))/365)))</f>
        <v/>
      </c>
      <c r="Q184" s="83" t="str">
        <f t="shared" si="95"/>
        <v/>
      </c>
      <c r="R184" s="38"/>
      <c r="S184" s="68" t="str">
        <f t="shared" si="96"/>
        <v/>
      </c>
      <c r="T184" s="69" t="str">
        <f t="shared" si="97"/>
        <v/>
      </c>
      <c r="U184" s="70" t="str">
        <f t="shared" si="98"/>
        <v/>
      </c>
      <c r="V184" s="72" t="str">
        <f t="shared" si="99"/>
        <v/>
      </c>
      <c r="W184" s="2" t="str">
        <f t="shared" si="86"/>
        <v/>
      </c>
      <c r="X184" s="2" t="str">
        <f t="shared" si="81"/>
        <v/>
      </c>
      <c r="Y184" s="35" t="str">
        <f t="shared" ca="1" si="100"/>
        <v/>
      </c>
      <c r="Z184" s="36" t="str">
        <f t="shared" ca="1" si="101"/>
        <v/>
      </c>
      <c r="AA184" s="70" t="str">
        <f t="shared" si="102"/>
        <v/>
      </c>
      <c r="AB184" s="2"/>
      <c r="AC184" s="94" t="str">
        <f t="shared" si="82"/>
        <v/>
      </c>
      <c r="AD184" s="95" t="str">
        <f t="shared" si="83"/>
        <v/>
      </c>
      <c r="AE184" s="96" t="str">
        <f t="shared" si="84"/>
        <v/>
      </c>
      <c r="AF184" s="124" t="str">
        <f t="shared" si="85"/>
        <v/>
      </c>
      <c r="AG184" s="2"/>
      <c r="AH184" s="2"/>
      <c r="AI184" s="2"/>
      <c r="AJ184" s="2"/>
      <c r="AK184" s="2"/>
      <c r="AL184" s="2"/>
    </row>
    <row r="185" spans="1:38" x14ac:dyDescent="0.2">
      <c r="A185" s="45"/>
      <c r="B185" s="43" t="str">
        <f t="shared" si="88"/>
        <v/>
      </c>
      <c r="C185" s="96" t="str">
        <f t="shared" si="87"/>
        <v/>
      </c>
      <c r="D185" s="44" t="str">
        <f t="shared" si="89"/>
        <v/>
      </c>
      <c r="E185" s="52"/>
      <c r="F185" s="63" t="str">
        <f t="shared" si="90"/>
        <v/>
      </c>
      <c r="G185" s="56" t="str">
        <f t="shared" si="91"/>
        <v/>
      </c>
      <c r="H185" s="42"/>
      <c r="I185" s="2" t="str">
        <f t="shared" si="92"/>
        <v/>
      </c>
      <c r="J185" s="54" t="str">
        <f t="shared" si="79"/>
        <v/>
      </c>
      <c r="K185" s="55" t="str">
        <f t="shared" si="93"/>
        <v/>
      </c>
      <c r="L185" s="63" t="str">
        <f t="shared" si="94"/>
        <v/>
      </c>
      <c r="M185" s="96" t="str">
        <f t="shared" si="80"/>
        <v/>
      </c>
      <c r="N185" s="96" t="str">
        <f>IF(A185="","",IF(A185=Expiry,0,EXP(-q*Q185)*_xlfn.NORM.S.DIST(Y185,0)/(sigma*SQRT(Q185))*I185*Mult/100))</f>
        <v/>
      </c>
      <c r="O185" s="96" t="str">
        <f>IF(A185="","",IF(A185=Expiry,0,D185*E185*E185*EXP(-q*Q185)*_xlfn.NORM.S.DIST(Y185,0)*SQRT(Q185)/100))</f>
        <v/>
      </c>
      <c r="P185" s="69" t="str">
        <f>IF(A185="","",IF(A185=Expiry,0,AK185*I185*Mult*((-EXP(-q*Q185)*E185*_xlfn.NORM.S.DIST(Y185,0)*sigma/(2*SQRT(Q185))-r_dom*K*EXP(-r_dom*Q185)*_xlfn.NORM.S.DIST(Z185,1)+q*E185*EXP(-q*Q185)*_xlfn.NORM.S.DIST(Y185,1))/365)))</f>
        <v/>
      </c>
      <c r="Q185" s="83" t="str">
        <f t="shared" si="95"/>
        <v/>
      </c>
      <c r="R185" s="38"/>
      <c r="S185" s="68" t="str">
        <f t="shared" si="96"/>
        <v/>
      </c>
      <c r="T185" s="69" t="str">
        <f t="shared" si="97"/>
        <v/>
      </c>
      <c r="U185" s="70" t="str">
        <f t="shared" si="98"/>
        <v/>
      </c>
      <c r="V185" s="72" t="str">
        <f t="shared" si="99"/>
        <v/>
      </c>
      <c r="W185" s="2" t="str">
        <f t="shared" si="86"/>
        <v/>
      </c>
      <c r="X185" s="2" t="str">
        <f t="shared" si="81"/>
        <v/>
      </c>
      <c r="Y185" s="35" t="str">
        <f t="shared" ca="1" si="100"/>
        <v/>
      </c>
      <c r="Z185" s="36" t="str">
        <f t="shared" ca="1" si="101"/>
        <v/>
      </c>
      <c r="AA185" s="70" t="str">
        <f t="shared" si="102"/>
        <v/>
      </c>
      <c r="AB185" s="2"/>
      <c r="AC185" s="94" t="str">
        <f t="shared" si="82"/>
        <v/>
      </c>
      <c r="AD185" s="95" t="str">
        <f t="shared" si="83"/>
        <v/>
      </c>
      <c r="AE185" s="96" t="str">
        <f t="shared" si="84"/>
        <v/>
      </c>
      <c r="AF185" s="124" t="str">
        <f t="shared" si="85"/>
        <v/>
      </c>
      <c r="AG185" s="2"/>
      <c r="AH185" s="2"/>
      <c r="AI185" s="2"/>
      <c r="AJ185" s="2"/>
      <c r="AK185" s="2"/>
      <c r="AL185" s="2"/>
    </row>
    <row r="186" spans="1:38" x14ac:dyDescent="0.2">
      <c r="A186" s="45"/>
      <c r="B186" s="43" t="str">
        <f t="shared" si="88"/>
        <v/>
      </c>
      <c r="C186" s="96" t="str">
        <f t="shared" si="87"/>
        <v/>
      </c>
      <c r="D186" s="44" t="str">
        <f t="shared" si="89"/>
        <v/>
      </c>
      <c r="E186" s="52"/>
      <c r="F186" s="63" t="str">
        <f t="shared" si="90"/>
        <v/>
      </c>
      <c r="G186" s="56" t="str">
        <f t="shared" si="91"/>
        <v/>
      </c>
      <c r="H186" s="42"/>
      <c r="I186" s="2" t="str">
        <f t="shared" si="92"/>
        <v/>
      </c>
      <c r="J186" s="54" t="str">
        <f t="shared" si="79"/>
        <v/>
      </c>
      <c r="K186" s="55" t="str">
        <f t="shared" si="93"/>
        <v/>
      </c>
      <c r="L186" s="63" t="str">
        <f t="shared" si="94"/>
        <v/>
      </c>
      <c r="M186" s="96" t="str">
        <f t="shared" si="80"/>
        <v/>
      </c>
      <c r="N186" s="96" t="str">
        <f>IF(A186="","",IF(A186=Expiry,0,EXP(-q*Q186)*_xlfn.NORM.S.DIST(Y186,0)/(sigma*SQRT(Q186))*I186*Mult/100))</f>
        <v/>
      </c>
      <c r="O186" s="96" t="str">
        <f>IF(A186="","",IF(A186=Expiry,0,D186*E186*E186*EXP(-q*Q186)*_xlfn.NORM.S.DIST(Y186,0)*SQRT(Q186)/100))</f>
        <v/>
      </c>
      <c r="P186" s="69" t="str">
        <f>IF(A186="","",IF(A186=Expiry,0,AK186*I186*Mult*((-EXP(-q*Q186)*E186*_xlfn.NORM.S.DIST(Y186,0)*sigma/(2*SQRT(Q186))-r_dom*K*EXP(-r_dom*Q186)*_xlfn.NORM.S.DIST(Z186,1)+q*E186*EXP(-q*Q186)*_xlfn.NORM.S.DIST(Y186,1))/365)))</f>
        <v/>
      </c>
      <c r="Q186" s="83" t="str">
        <f t="shared" si="95"/>
        <v/>
      </c>
      <c r="R186" s="38"/>
      <c r="S186" s="68" t="str">
        <f t="shared" si="96"/>
        <v/>
      </c>
      <c r="T186" s="69" t="str">
        <f t="shared" si="97"/>
        <v/>
      </c>
      <c r="U186" s="70" t="str">
        <f t="shared" si="98"/>
        <v/>
      </c>
      <c r="V186" s="72" t="str">
        <f t="shared" si="99"/>
        <v/>
      </c>
      <c r="W186" s="2" t="str">
        <f t="shared" si="86"/>
        <v/>
      </c>
      <c r="X186" s="2" t="str">
        <f t="shared" si="81"/>
        <v/>
      </c>
      <c r="Y186" s="35" t="str">
        <f t="shared" ca="1" si="100"/>
        <v/>
      </c>
      <c r="Z186" s="36" t="str">
        <f t="shared" ca="1" si="101"/>
        <v/>
      </c>
      <c r="AA186" s="70" t="str">
        <f t="shared" si="102"/>
        <v/>
      </c>
      <c r="AB186" s="2"/>
      <c r="AC186" s="94" t="str">
        <f t="shared" si="82"/>
        <v/>
      </c>
      <c r="AD186" s="95" t="str">
        <f t="shared" si="83"/>
        <v/>
      </c>
      <c r="AE186" s="96" t="str">
        <f t="shared" si="84"/>
        <v/>
      </c>
      <c r="AF186" s="124" t="str">
        <f t="shared" si="85"/>
        <v/>
      </c>
      <c r="AG186" s="2"/>
      <c r="AH186" s="2"/>
      <c r="AI186" s="2"/>
      <c r="AJ186" s="2"/>
      <c r="AK186" s="2"/>
      <c r="AL186" s="2"/>
    </row>
    <row r="187" spans="1:38" x14ac:dyDescent="0.2">
      <c r="A187" s="45"/>
      <c r="B187" s="43" t="str">
        <f t="shared" si="88"/>
        <v/>
      </c>
      <c r="C187" s="96" t="str">
        <f t="shared" si="87"/>
        <v/>
      </c>
      <c r="D187" s="44" t="str">
        <f t="shared" si="89"/>
        <v/>
      </c>
      <c r="E187" s="52"/>
      <c r="F187" s="63" t="str">
        <f t="shared" si="90"/>
        <v/>
      </c>
      <c r="G187" s="56" t="str">
        <f t="shared" si="91"/>
        <v/>
      </c>
      <c r="H187" s="42"/>
      <c r="I187" s="2" t="str">
        <f t="shared" si="92"/>
        <v/>
      </c>
      <c r="J187" s="54" t="str">
        <f t="shared" si="79"/>
        <v/>
      </c>
      <c r="K187" s="55" t="str">
        <f t="shared" si="93"/>
        <v/>
      </c>
      <c r="L187" s="63" t="str">
        <f t="shared" si="94"/>
        <v/>
      </c>
      <c r="M187" s="96" t="str">
        <f t="shared" si="80"/>
        <v/>
      </c>
      <c r="N187" s="96" t="str">
        <f>IF(A187="","",IF(A187=Expiry,0,EXP(-q*Q187)*_xlfn.NORM.S.DIST(Y187,0)/(sigma*SQRT(Q187))*I187*Mult/100))</f>
        <v/>
      </c>
      <c r="O187" s="96" t="str">
        <f>IF(A187="","",IF(A187=Expiry,0,D187*E187*E187*EXP(-q*Q187)*_xlfn.NORM.S.DIST(Y187,0)*SQRT(Q187)/100))</f>
        <v/>
      </c>
      <c r="P187" s="69" t="str">
        <f>IF(A187="","",IF(A187=Expiry,0,AK187*I187*Mult*((-EXP(-q*Q187)*E187*_xlfn.NORM.S.DIST(Y187,0)*sigma/(2*SQRT(Q187))-r_dom*K*EXP(-r_dom*Q187)*_xlfn.NORM.S.DIST(Z187,1)+q*E187*EXP(-q*Q187)*_xlfn.NORM.S.DIST(Y187,1))/365)))</f>
        <v/>
      </c>
      <c r="Q187" s="83" t="str">
        <f t="shared" si="95"/>
        <v/>
      </c>
      <c r="R187" s="38"/>
      <c r="S187" s="68" t="str">
        <f t="shared" si="96"/>
        <v/>
      </c>
      <c r="T187" s="69" t="str">
        <f t="shared" si="97"/>
        <v/>
      </c>
      <c r="U187" s="70" t="str">
        <f t="shared" si="98"/>
        <v/>
      </c>
      <c r="V187" s="72" t="str">
        <f t="shared" si="99"/>
        <v/>
      </c>
      <c r="W187" s="2" t="str">
        <f t="shared" si="86"/>
        <v/>
      </c>
      <c r="X187" s="2" t="str">
        <f t="shared" si="81"/>
        <v/>
      </c>
      <c r="Y187" s="35" t="str">
        <f t="shared" ca="1" si="100"/>
        <v/>
      </c>
      <c r="Z187" s="36" t="str">
        <f t="shared" ca="1" si="101"/>
        <v/>
      </c>
      <c r="AA187" s="70" t="str">
        <f t="shared" si="102"/>
        <v/>
      </c>
      <c r="AB187" s="2"/>
      <c r="AC187" s="94" t="str">
        <f t="shared" si="82"/>
        <v/>
      </c>
      <c r="AD187" s="95" t="str">
        <f t="shared" si="83"/>
        <v/>
      </c>
      <c r="AE187" s="96" t="str">
        <f t="shared" si="84"/>
        <v/>
      </c>
      <c r="AF187" s="124" t="str">
        <f t="shared" si="85"/>
        <v/>
      </c>
      <c r="AG187" s="2"/>
      <c r="AH187" s="2"/>
      <c r="AI187" s="2"/>
      <c r="AJ187" s="2"/>
      <c r="AK187" s="2"/>
      <c r="AL187" s="2"/>
    </row>
    <row r="188" spans="1:38" x14ac:dyDescent="0.2">
      <c r="A188" s="45"/>
      <c r="B188" s="43" t="str">
        <f t="shared" si="88"/>
        <v/>
      </c>
      <c r="C188" s="96" t="str">
        <f t="shared" si="87"/>
        <v/>
      </c>
      <c r="D188" s="44" t="str">
        <f t="shared" si="89"/>
        <v/>
      </c>
      <c r="E188" s="52"/>
      <c r="F188" s="63" t="str">
        <f t="shared" si="90"/>
        <v/>
      </c>
      <c r="G188" s="56" t="str">
        <f t="shared" si="91"/>
        <v/>
      </c>
      <c r="H188" s="42"/>
      <c r="I188" s="2" t="str">
        <f t="shared" si="92"/>
        <v/>
      </c>
      <c r="J188" s="54" t="str">
        <f t="shared" si="79"/>
        <v/>
      </c>
      <c r="K188" s="55" t="str">
        <f t="shared" si="93"/>
        <v/>
      </c>
      <c r="L188" s="63" t="str">
        <f t="shared" si="94"/>
        <v/>
      </c>
      <c r="M188" s="96" t="str">
        <f t="shared" si="80"/>
        <v/>
      </c>
      <c r="N188" s="96" t="str">
        <f>IF(A188="","",IF(A188=Expiry,0,EXP(-q*Q188)*_xlfn.NORM.S.DIST(Y188,0)/(sigma*SQRT(Q188))*I188*Mult/100))</f>
        <v/>
      </c>
      <c r="O188" s="96" t="str">
        <f>IF(A188="","",IF(A188=Expiry,0,D188*E188*E188*EXP(-q*Q188)*_xlfn.NORM.S.DIST(Y188,0)*SQRT(Q188)/100))</f>
        <v/>
      </c>
      <c r="P188" s="69" t="str">
        <f>IF(A188="","",IF(A188=Expiry,0,AK188*I188*Mult*((-EXP(-q*Q188)*E188*_xlfn.NORM.S.DIST(Y188,0)*sigma/(2*SQRT(Q188))-r_dom*K*EXP(-r_dom*Q188)*_xlfn.NORM.S.DIST(Z188,1)+q*E188*EXP(-q*Q188)*_xlfn.NORM.S.DIST(Y188,1))/365)))</f>
        <v/>
      </c>
      <c r="Q188" s="83" t="str">
        <f t="shared" si="95"/>
        <v/>
      </c>
      <c r="R188" s="38"/>
      <c r="S188" s="68" t="str">
        <f t="shared" si="96"/>
        <v/>
      </c>
      <c r="T188" s="69" t="str">
        <f t="shared" si="97"/>
        <v/>
      </c>
      <c r="U188" s="70" t="str">
        <f t="shared" si="98"/>
        <v/>
      </c>
      <c r="V188" s="72" t="str">
        <f t="shared" si="99"/>
        <v/>
      </c>
      <c r="W188" s="2" t="str">
        <f t="shared" si="86"/>
        <v/>
      </c>
      <c r="X188" s="2" t="str">
        <f t="shared" si="81"/>
        <v/>
      </c>
      <c r="Y188" s="35" t="str">
        <f t="shared" ca="1" si="100"/>
        <v/>
      </c>
      <c r="Z188" s="36" t="str">
        <f t="shared" ca="1" si="101"/>
        <v/>
      </c>
      <c r="AA188" s="70" t="str">
        <f t="shared" si="102"/>
        <v/>
      </c>
      <c r="AB188" s="2"/>
      <c r="AC188" s="94" t="str">
        <f t="shared" si="82"/>
        <v/>
      </c>
      <c r="AD188" s="95" t="str">
        <f t="shared" si="83"/>
        <v/>
      </c>
      <c r="AE188" s="96" t="str">
        <f t="shared" si="84"/>
        <v/>
      </c>
      <c r="AF188" s="124" t="str">
        <f t="shared" si="85"/>
        <v/>
      </c>
      <c r="AG188" s="2"/>
      <c r="AH188" s="2"/>
      <c r="AI188" s="2"/>
      <c r="AJ188" s="2"/>
      <c r="AK188" s="2"/>
      <c r="AL188" s="2"/>
    </row>
    <row r="189" spans="1:38" x14ac:dyDescent="0.2">
      <c r="A189" s="45"/>
      <c r="B189" s="43" t="str">
        <f t="shared" si="88"/>
        <v/>
      </c>
      <c r="C189" s="96" t="str">
        <f t="shared" si="87"/>
        <v/>
      </c>
      <c r="D189" s="44" t="str">
        <f t="shared" si="89"/>
        <v/>
      </c>
      <c r="E189" s="52"/>
      <c r="F189" s="63" t="str">
        <f t="shared" si="90"/>
        <v/>
      </c>
      <c r="G189" s="56" t="str">
        <f t="shared" si="91"/>
        <v/>
      </c>
      <c r="H189" s="42"/>
      <c r="I189" s="2" t="str">
        <f t="shared" si="92"/>
        <v/>
      </c>
      <c r="J189" s="54" t="str">
        <f t="shared" si="79"/>
        <v/>
      </c>
      <c r="K189" s="55" t="str">
        <f t="shared" si="93"/>
        <v/>
      </c>
      <c r="L189" s="63" t="str">
        <f t="shared" si="94"/>
        <v/>
      </c>
      <c r="M189" s="96" t="str">
        <f t="shared" si="80"/>
        <v/>
      </c>
      <c r="N189" s="96" t="str">
        <f>IF(A189="","",IF(A189=Expiry,0,EXP(-q*Q189)*_xlfn.NORM.S.DIST(Y189,0)/(sigma*SQRT(Q189))*I189*Mult/100))</f>
        <v/>
      </c>
      <c r="O189" s="96" t="str">
        <f>IF(A189="","",IF(A189=Expiry,0,D189*E189*E189*EXP(-q*Q189)*_xlfn.NORM.S.DIST(Y189,0)*SQRT(Q189)/100))</f>
        <v/>
      </c>
      <c r="P189" s="69" t="str">
        <f>IF(A189="","",IF(A189=Expiry,0,AK189*I189*Mult*((-EXP(-q*Q189)*E189*_xlfn.NORM.S.DIST(Y189,0)*sigma/(2*SQRT(Q189))-r_dom*K*EXP(-r_dom*Q189)*_xlfn.NORM.S.DIST(Z189,1)+q*E189*EXP(-q*Q189)*_xlfn.NORM.S.DIST(Y189,1))/365)))</f>
        <v/>
      </c>
      <c r="Q189" s="83" t="str">
        <f t="shared" si="95"/>
        <v/>
      </c>
      <c r="R189" s="38"/>
      <c r="S189" s="68" t="str">
        <f t="shared" si="96"/>
        <v/>
      </c>
      <c r="T189" s="69" t="str">
        <f t="shared" si="97"/>
        <v/>
      </c>
      <c r="U189" s="70" t="str">
        <f t="shared" si="98"/>
        <v/>
      </c>
      <c r="V189" s="72" t="str">
        <f t="shared" si="99"/>
        <v/>
      </c>
      <c r="W189" s="2" t="str">
        <f t="shared" si="86"/>
        <v/>
      </c>
      <c r="X189" s="2" t="str">
        <f t="shared" si="81"/>
        <v/>
      </c>
      <c r="Y189" s="35" t="str">
        <f t="shared" ca="1" si="100"/>
        <v/>
      </c>
      <c r="Z189" s="36" t="str">
        <f t="shared" ca="1" si="101"/>
        <v/>
      </c>
      <c r="AA189" s="70" t="str">
        <f t="shared" si="102"/>
        <v/>
      </c>
      <c r="AB189" s="2"/>
      <c r="AC189" s="94" t="str">
        <f t="shared" si="82"/>
        <v/>
      </c>
      <c r="AD189" s="95" t="str">
        <f t="shared" si="83"/>
        <v/>
      </c>
      <c r="AE189" s="96" t="str">
        <f t="shared" si="84"/>
        <v/>
      </c>
      <c r="AF189" s="124" t="str">
        <f t="shared" si="85"/>
        <v/>
      </c>
      <c r="AG189" s="2"/>
      <c r="AH189" s="2"/>
      <c r="AI189" s="2"/>
      <c r="AJ189" s="2"/>
      <c r="AK189" s="2"/>
      <c r="AL189" s="2"/>
    </row>
    <row r="190" spans="1:38" x14ac:dyDescent="0.2">
      <c r="A190" s="45"/>
      <c r="B190" s="43" t="str">
        <f t="shared" si="88"/>
        <v/>
      </c>
      <c r="C190" s="96" t="str">
        <f t="shared" si="87"/>
        <v/>
      </c>
      <c r="D190" s="44" t="str">
        <f t="shared" si="89"/>
        <v/>
      </c>
      <c r="E190" s="52"/>
      <c r="F190" s="63" t="str">
        <f t="shared" si="90"/>
        <v/>
      </c>
      <c r="G190" s="56" t="str">
        <f t="shared" si="91"/>
        <v/>
      </c>
      <c r="H190" s="42"/>
      <c r="I190" s="2" t="str">
        <f t="shared" si="92"/>
        <v/>
      </c>
      <c r="J190" s="54" t="str">
        <f t="shared" si="79"/>
        <v/>
      </c>
      <c r="K190" s="55" t="str">
        <f t="shared" si="93"/>
        <v/>
      </c>
      <c r="L190" s="63" t="str">
        <f t="shared" si="94"/>
        <v/>
      </c>
      <c r="M190" s="96" t="str">
        <f t="shared" si="80"/>
        <v/>
      </c>
      <c r="N190" s="96" t="str">
        <f>IF(A190="","",IF(A190=Expiry,0,EXP(-q*Q190)*_xlfn.NORM.S.DIST(Y190,0)/(sigma*SQRT(Q190))*I190*Mult/100))</f>
        <v/>
      </c>
      <c r="O190" s="96" t="str">
        <f>IF(A190="","",IF(A190=Expiry,0,D190*E190*E190*EXP(-q*Q190)*_xlfn.NORM.S.DIST(Y190,0)*SQRT(Q190)/100))</f>
        <v/>
      </c>
      <c r="P190" s="69" t="str">
        <f>IF(A190="","",IF(A190=Expiry,0,AK190*I190*Mult*((-EXP(-q*Q190)*E190*_xlfn.NORM.S.DIST(Y190,0)*sigma/(2*SQRT(Q190))-r_dom*K*EXP(-r_dom*Q190)*_xlfn.NORM.S.DIST(Z190,1)+q*E190*EXP(-q*Q190)*_xlfn.NORM.S.DIST(Y190,1))/365)))</f>
        <v/>
      </c>
      <c r="Q190" s="83" t="str">
        <f t="shared" si="95"/>
        <v/>
      </c>
      <c r="R190" s="38"/>
      <c r="S190" s="68" t="str">
        <f t="shared" si="96"/>
        <v/>
      </c>
      <c r="T190" s="69" t="str">
        <f t="shared" si="97"/>
        <v/>
      </c>
      <c r="U190" s="70" t="str">
        <f t="shared" si="98"/>
        <v/>
      </c>
      <c r="V190" s="72" t="str">
        <f t="shared" si="99"/>
        <v/>
      </c>
      <c r="W190" s="2" t="str">
        <f t="shared" si="86"/>
        <v/>
      </c>
      <c r="X190" s="2" t="str">
        <f t="shared" si="81"/>
        <v/>
      </c>
      <c r="Y190" s="35" t="str">
        <f t="shared" ca="1" si="100"/>
        <v/>
      </c>
      <c r="Z190" s="36" t="str">
        <f t="shared" ca="1" si="101"/>
        <v/>
      </c>
      <c r="AA190" s="70" t="str">
        <f t="shared" si="102"/>
        <v/>
      </c>
      <c r="AB190" s="2"/>
      <c r="AC190" s="94" t="str">
        <f t="shared" si="82"/>
        <v/>
      </c>
      <c r="AD190" s="95" t="str">
        <f t="shared" si="83"/>
        <v/>
      </c>
      <c r="AE190" s="96" t="str">
        <f t="shared" si="84"/>
        <v/>
      </c>
      <c r="AF190" s="124" t="str">
        <f t="shared" si="85"/>
        <v/>
      </c>
      <c r="AG190" s="2"/>
      <c r="AH190" s="2"/>
      <c r="AI190" s="2"/>
      <c r="AJ190" s="2"/>
      <c r="AK190" s="2"/>
      <c r="AL190" s="2"/>
    </row>
    <row r="191" spans="1:38" x14ac:dyDescent="0.2">
      <c r="A191" s="45"/>
      <c r="B191" s="43" t="str">
        <f t="shared" si="88"/>
        <v/>
      </c>
      <c r="C191" s="96" t="str">
        <f t="shared" si="87"/>
        <v/>
      </c>
      <c r="D191" s="44" t="str">
        <f t="shared" si="89"/>
        <v/>
      </c>
      <c r="E191" s="52"/>
      <c r="F191" s="63" t="str">
        <f t="shared" si="90"/>
        <v/>
      </c>
      <c r="G191" s="56" t="str">
        <f t="shared" si="91"/>
        <v/>
      </c>
      <c r="H191" s="42"/>
      <c r="I191" s="2" t="str">
        <f t="shared" si="92"/>
        <v/>
      </c>
      <c r="J191" s="54" t="str">
        <f t="shared" si="79"/>
        <v/>
      </c>
      <c r="K191" s="55" t="str">
        <f t="shared" si="93"/>
        <v/>
      </c>
      <c r="L191" s="63" t="str">
        <f t="shared" si="94"/>
        <v/>
      </c>
      <c r="M191" s="96" t="str">
        <f t="shared" si="80"/>
        <v/>
      </c>
      <c r="N191" s="96" t="str">
        <f>IF(A191="","",IF(A191=Expiry,0,EXP(-q*Q191)*_xlfn.NORM.S.DIST(Y191,0)/(sigma*SQRT(Q191))*I191*Mult/100))</f>
        <v/>
      </c>
      <c r="O191" s="96" t="str">
        <f>IF(A191="","",IF(A191=Expiry,0,D191*E191*E191*EXP(-q*Q191)*_xlfn.NORM.S.DIST(Y191,0)*SQRT(Q191)/100))</f>
        <v/>
      </c>
      <c r="P191" s="69" t="str">
        <f>IF(A191="","",IF(A191=Expiry,0,AK191*I191*Mult*((-EXP(-q*Q191)*E191*_xlfn.NORM.S.DIST(Y191,0)*sigma/(2*SQRT(Q191))-r_dom*K*EXP(-r_dom*Q191)*_xlfn.NORM.S.DIST(Z191,1)+q*E191*EXP(-q*Q191)*_xlfn.NORM.S.DIST(Y191,1))/365)))</f>
        <v/>
      </c>
      <c r="Q191" s="83" t="str">
        <f t="shared" si="95"/>
        <v/>
      </c>
      <c r="R191" s="38"/>
      <c r="S191" s="68" t="str">
        <f t="shared" si="96"/>
        <v/>
      </c>
      <c r="T191" s="69" t="str">
        <f t="shared" si="97"/>
        <v/>
      </c>
      <c r="U191" s="70" t="str">
        <f t="shared" si="98"/>
        <v/>
      </c>
      <c r="V191" s="72" t="str">
        <f t="shared" si="99"/>
        <v/>
      </c>
      <c r="W191" s="2" t="str">
        <f t="shared" si="86"/>
        <v/>
      </c>
      <c r="X191" s="2" t="str">
        <f t="shared" si="81"/>
        <v/>
      </c>
      <c r="Y191" s="35" t="str">
        <f t="shared" ca="1" si="100"/>
        <v/>
      </c>
      <c r="Z191" s="36" t="str">
        <f t="shared" ca="1" si="101"/>
        <v/>
      </c>
      <c r="AA191" s="70" t="str">
        <f t="shared" si="102"/>
        <v/>
      </c>
      <c r="AB191" s="2"/>
      <c r="AC191" s="94" t="str">
        <f t="shared" si="82"/>
        <v/>
      </c>
      <c r="AD191" s="95" t="str">
        <f t="shared" si="83"/>
        <v/>
      </c>
      <c r="AE191" s="96" t="str">
        <f t="shared" si="84"/>
        <v/>
      </c>
      <c r="AF191" s="124" t="str">
        <f t="shared" si="85"/>
        <v/>
      </c>
      <c r="AG191" s="2"/>
      <c r="AH191" s="2"/>
      <c r="AI191" s="2"/>
      <c r="AJ191" s="2"/>
      <c r="AK191" s="2"/>
      <c r="AL191" s="2"/>
    </row>
    <row r="192" spans="1:38" x14ac:dyDescent="0.2">
      <c r="A192" s="45"/>
      <c r="B192" s="43" t="str">
        <f t="shared" si="88"/>
        <v/>
      </c>
      <c r="C192" s="96" t="str">
        <f t="shared" si="87"/>
        <v/>
      </c>
      <c r="D192" s="44" t="str">
        <f t="shared" si="89"/>
        <v/>
      </c>
      <c r="E192" s="52"/>
      <c r="F192" s="63" t="str">
        <f t="shared" si="90"/>
        <v/>
      </c>
      <c r="G192" s="56" t="str">
        <f t="shared" si="91"/>
        <v/>
      </c>
      <c r="H192" s="42"/>
      <c r="I192" s="2" t="str">
        <f t="shared" si="92"/>
        <v/>
      </c>
      <c r="J192" s="54" t="str">
        <f t="shared" si="79"/>
        <v/>
      </c>
      <c r="K192" s="55" t="str">
        <f t="shared" si="93"/>
        <v/>
      </c>
      <c r="L192" s="63" t="str">
        <f t="shared" si="94"/>
        <v/>
      </c>
      <c r="M192" s="96" t="str">
        <f t="shared" si="80"/>
        <v/>
      </c>
      <c r="N192" s="96" t="str">
        <f>IF(A192="","",IF(A192=Expiry,0,EXP(-q*Q192)*_xlfn.NORM.S.DIST(Y192,0)/(sigma*SQRT(Q192))*I192*Mult/100))</f>
        <v/>
      </c>
      <c r="O192" s="96" t="str">
        <f>IF(A192="","",IF(A192=Expiry,0,D192*E192*E192*EXP(-q*Q192)*_xlfn.NORM.S.DIST(Y192,0)*SQRT(Q192)/100))</f>
        <v/>
      </c>
      <c r="P192" s="69" t="str">
        <f>IF(A192="","",IF(A192=Expiry,0,AK192*I192*Mult*((-EXP(-q*Q192)*E192*_xlfn.NORM.S.DIST(Y192,0)*sigma/(2*SQRT(Q192))-r_dom*K*EXP(-r_dom*Q192)*_xlfn.NORM.S.DIST(Z192,1)+q*E192*EXP(-q*Q192)*_xlfn.NORM.S.DIST(Y192,1))/365)))</f>
        <v/>
      </c>
      <c r="Q192" s="83" t="str">
        <f t="shared" si="95"/>
        <v/>
      </c>
      <c r="R192" s="38"/>
      <c r="S192" s="68" t="str">
        <f t="shared" si="96"/>
        <v/>
      </c>
      <c r="T192" s="69" t="str">
        <f t="shared" si="97"/>
        <v/>
      </c>
      <c r="U192" s="70" t="str">
        <f t="shared" si="98"/>
        <v/>
      </c>
      <c r="V192" s="72" t="str">
        <f t="shared" si="99"/>
        <v/>
      </c>
      <c r="W192" s="2" t="str">
        <f t="shared" si="86"/>
        <v/>
      </c>
      <c r="X192" s="2" t="str">
        <f t="shared" si="81"/>
        <v/>
      </c>
      <c r="Y192" s="35" t="str">
        <f t="shared" ca="1" si="100"/>
        <v/>
      </c>
      <c r="Z192" s="36" t="str">
        <f t="shared" ca="1" si="101"/>
        <v/>
      </c>
      <c r="AA192" s="70" t="str">
        <f t="shared" si="102"/>
        <v/>
      </c>
      <c r="AB192" s="2"/>
      <c r="AC192" s="94" t="str">
        <f t="shared" si="82"/>
        <v/>
      </c>
      <c r="AD192" s="95" t="str">
        <f t="shared" si="83"/>
        <v/>
      </c>
      <c r="AE192" s="96" t="str">
        <f t="shared" si="84"/>
        <v/>
      </c>
      <c r="AF192" s="124" t="str">
        <f t="shared" si="85"/>
        <v/>
      </c>
      <c r="AG192" s="2"/>
      <c r="AH192" s="2"/>
      <c r="AI192" s="2"/>
      <c r="AJ192" s="2"/>
      <c r="AK192" s="2"/>
      <c r="AL192" s="2"/>
    </row>
    <row r="193" spans="1:38" x14ac:dyDescent="0.2">
      <c r="A193" s="45"/>
      <c r="B193" s="43" t="str">
        <f t="shared" si="88"/>
        <v/>
      </c>
      <c r="C193" s="96" t="str">
        <f t="shared" si="87"/>
        <v/>
      </c>
      <c r="D193" s="44" t="str">
        <f t="shared" si="89"/>
        <v/>
      </c>
      <c r="E193" s="52"/>
      <c r="F193" s="63" t="str">
        <f t="shared" si="90"/>
        <v/>
      </c>
      <c r="G193" s="56" t="str">
        <f t="shared" si="91"/>
        <v/>
      </c>
      <c r="H193" s="42"/>
      <c r="I193" s="2" t="str">
        <f t="shared" si="92"/>
        <v/>
      </c>
      <c r="J193" s="54" t="str">
        <f t="shared" si="79"/>
        <v/>
      </c>
      <c r="K193" s="55" t="str">
        <f t="shared" si="93"/>
        <v/>
      </c>
      <c r="L193" s="63" t="str">
        <f t="shared" si="94"/>
        <v/>
      </c>
      <c r="M193" s="96" t="str">
        <f t="shared" si="80"/>
        <v/>
      </c>
      <c r="N193" s="96" t="str">
        <f>IF(A193="","",IF(A193=Expiry,0,EXP(-q*Q193)*_xlfn.NORM.S.DIST(Y193,0)/(sigma*SQRT(Q193))*I193*Mult/100))</f>
        <v/>
      </c>
      <c r="O193" s="96" t="str">
        <f>IF(A193="","",IF(A193=Expiry,0,D193*E193*E193*EXP(-q*Q193)*_xlfn.NORM.S.DIST(Y193,0)*SQRT(Q193)/100))</f>
        <v/>
      </c>
      <c r="P193" s="69" t="str">
        <f>IF(A193="","",IF(A193=Expiry,0,AK193*I193*Mult*((-EXP(-q*Q193)*E193*_xlfn.NORM.S.DIST(Y193,0)*sigma/(2*SQRT(Q193))-r_dom*K*EXP(-r_dom*Q193)*_xlfn.NORM.S.DIST(Z193,1)+q*E193*EXP(-q*Q193)*_xlfn.NORM.S.DIST(Y193,1))/365)))</f>
        <v/>
      </c>
      <c r="Q193" s="83" t="str">
        <f t="shared" si="95"/>
        <v/>
      </c>
      <c r="R193" s="38"/>
      <c r="S193" s="68" t="str">
        <f t="shared" si="96"/>
        <v/>
      </c>
      <c r="T193" s="69" t="str">
        <f t="shared" si="97"/>
        <v/>
      </c>
      <c r="U193" s="70" t="str">
        <f t="shared" si="98"/>
        <v/>
      </c>
      <c r="V193" s="72" t="str">
        <f t="shared" si="99"/>
        <v/>
      </c>
      <c r="W193" s="2" t="str">
        <f t="shared" si="86"/>
        <v/>
      </c>
      <c r="X193" s="2" t="str">
        <f t="shared" si="81"/>
        <v/>
      </c>
      <c r="Y193" s="35" t="str">
        <f t="shared" ca="1" si="100"/>
        <v/>
      </c>
      <c r="Z193" s="36" t="str">
        <f t="shared" ca="1" si="101"/>
        <v/>
      </c>
      <c r="AA193" s="70" t="str">
        <f t="shared" si="102"/>
        <v/>
      </c>
      <c r="AB193" s="2"/>
      <c r="AC193" s="94" t="str">
        <f t="shared" si="82"/>
        <v/>
      </c>
      <c r="AD193" s="95" t="str">
        <f t="shared" si="83"/>
        <v/>
      </c>
      <c r="AE193" s="96" t="str">
        <f t="shared" si="84"/>
        <v/>
      </c>
      <c r="AF193" s="124" t="str">
        <f t="shared" si="85"/>
        <v/>
      </c>
      <c r="AG193" s="2"/>
      <c r="AH193" s="2"/>
      <c r="AI193" s="2"/>
      <c r="AJ193" s="2"/>
      <c r="AK193" s="2"/>
      <c r="AL193" s="2"/>
    </row>
    <row r="194" spans="1:38" x14ac:dyDescent="0.2">
      <c r="A194" s="45"/>
      <c r="B194" s="43" t="str">
        <f t="shared" si="88"/>
        <v/>
      </c>
      <c r="C194" s="96" t="str">
        <f t="shared" si="87"/>
        <v/>
      </c>
      <c r="D194" s="44" t="str">
        <f t="shared" si="89"/>
        <v/>
      </c>
      <c r="E194" s="52"/>
      <c r="F194" s="63" t="str">
        <f t="shared" si="90"/>
        <v/>
      </c>
      <c r="G194" s="56" t="str">
        <f t="shared" si="91"/>
        <v/>
      </c>
      <c r="H194" s="42"/>
      <c r="I194" s="2" t="str">
        <f t="shared" si="92"/>
        <v/>
      </c>
      <c r="J194" s="54" t="str">
        <f t="shared" si="79"/>
        <v/>
      </c>
      <c r="K194" s="55" t="str">
        <f t="shared" si="93"/>
        <v/>
      </c>
      <c r="L194" s="63" t="str">
        <f t="shared" si="94"/>
        <v/>
      </c>
      <c r="M194" s="96" t="str">
        <f t="shared" si="80"/>
        <v/>
      </c>
      <c r="N194" s="96" t="str">
        <f>IF(A194="","",IF(A194=Expiry,0,EXP(-q*Q194)*_xlfn.NORM.S.DIST(Y194,0)/(sigma*SQRT(Q194))*I194*Mult/100))</f>
        <v/>
      </c>
      <c r="O194" s="96" t="str">
        <f>IF(A194="","",IF(A194=Expiry,0,D194*E194*E194*EXP(-q*Q194)*_xlfn.NORM.S.DIST(Y194,0)*SQRT(Q194)/100))</f>
        <v/>
      </c>
      <c r="P194" s="69" t="str">
        <f>IF(A194="","",IF(A194=Expiry,0,AK194*I194*Mult*((-EXP(-q*Q194)*E194*_xlfn.NORM.S.DIST(Y194,0)*sigma/(2*SQRT(Q194))-r_dom*K*EXP(-r_dom*Q194)*_xlfn.NORM.S.DIST(Z194,1)+q*E194*EXP(-q*Q194)*_xlfn.NORM.S.DIST(Y194,1))/365)))</f>
        <v/>
      </c>
      <c r="Q194" s="83" t="str">
        <f t="shared" si="95"/>
        <v/>
      </c>
      <c r="R194" s="38"/>
      <c r="S194" s="68" t="str">
        <f t="shared" si="96"/>
        <v/>
      </c>
      <c r="T194" s="69" t="str">
        <f t="shared" si="97"/>
        <v/>
      </c>
      <c r="U194" s="70" t="str">
        <f t="shared" si="98"/>
        <v/>
      </c>
      <c r="V194" s="72" t="str">
        <f t="shared" si="99"/>
        <v/>
      </c>
      <c r="W194" s="2" t="str">
        <f t="shared" si="86"/>
        <v/>
      </c>
      <c r="X194" s="2" t="str">
        <f t="shared" si="81"/>
        <v/>
      </c>
      <c r="Y194" s="35" t="str">
        <f t="shared" ca="1" si="100"/>
        <v/>
      </c>
      <c r="Z194" s="36" t="str">
        <f t="shared" ca="1" si="101"/>
        <v/>
      </c>
      <c r="AA194" s="70" t="str">
        <f t="shared" si="102"/>
        <v/>
      </c>
      <c r="AB194" s="2"/>
      <c r="AC194" s="94" t="str">
        <f t="shared" si="82"/>
        <v/>
      </c>
      <c r="AD194" s="95" t="str">
        <f t="shared" si="83"/>
        <v/>
      </c>
      <c r="AE194" s="96" t="str">
        <f t="shared" si="84"/>
        <v/>
      </c>
      <c r="AF194" s="124" t="str">
        <f t="shared" si="85"/>
        <v/>
      </c>
      <c r="AG194" s="2"/>
      <c r="AH194" s="2"/>
      <c r="AI194" s="2"/>
      <c r="AJ194" s="2"/>
      <c r="AK194" s="2"/>
      <c r="AL194" s="2"/>
    </row>
    <row r="195" spans="1:38" x14ac:dyDescent="0.2">
      <c r="A195" s="45"/>
      <c r="B195" s="43" t="str">
        <f t="shared" si="88"/>
        <v/>
      </c>
      <c r="C195" s="96" t="str">
        <f t="shared" si="87"/>
        <v/>
      </c>
      <c r="D195" s="44" t="str">
        <f t="shared" si="89"/>
        <v/>
      </c>
      <c r="E195" s="52"/>
      <c r="F195" s="63" t="str">
        <f t="shared" si="90"/>
        <v/>
      </c>
      <c r="G195" s="56" t="str">
        <f t="shared" si="91"/>
        <v/>
      </c>
      <c r="H195" s="42"/>
      <c r="I195" s="2" t="str">
        <f t="shared" si="92"/>
        <v/>
      </c>
      <c r="J195" s="54" t="str">
        <f t="shared" si="79"/>
        <v/>
      </c>
      <c r="K195" s="55" t="str">
        <f t="shared" si="93"/>
        <v/>
      </c>
      <c r="L195" s="63" t="str">
        <f t="shared" si="94"/>
        <v/>
      </c>
      <c r="M195" s="96" t="str">
        <f t="shared" si="80"/>
        <v/>
      </c>
      <c r="N195" s="96" t="str">
        <f>IF(A195="","",IF(A195=Expiry,0,EXP(-q*Q195)*_xlfn.NORM.S.DIST(Y195,0)/(sigma*SQRT(Q195))*I195*Mult/100))</f>
        <v/>
      </c>
      <c r="O195" s="96" t="str">
        <f>IF(A195="","",IF(A195=Expiry,0,D195*E195*E195*EXP(-q*Q195)*_xlfn.NORM.S.DIST(Y195,0)*SQRT(Q195)/100))</f>
        <v/>
      </c>
      <c r="P195" s="69" t="str">
        <f>IF(A195="","",IF(A195=Expiry,0,AK195*I195*Mult*((-EXP(-q*Q195)*E195*_xlfn.NORM.S.DIST(Y195,0)*sigma/(2*SQRT(Q195))-r_dom*K*EXP(-r_dom*Q195)*_xlfn.NORM.S.DIST(Z195,1)+q*E195*EXP(-q*Q195)*_xlfn.NORM.S.DIST(Y195,1))/365)))</f>
        <v/>
      </c>
      <c r="Q195" s="83" t="str">
        <f t="shared" si="95"/>
        <v/>
      </c>
      <c r="R195" s="38"/>
      <c r="S195" s="68" t="str">
        <f t="shared" si="96"/>
        <v/>
      </c>
      <c r="T195" s="69" t="str">
        <f t="shared" si="97"/>
        <v/>
      </c>
      <c r="U195" s="70" t="str">
        <f t="shared" si="98"/>
        <v/>
      </c>
      <c r="V195" s="72" t="str">
        <f t="shared" si="99"/>
        <v/>
      </c>
      <c r="W195" s="2" t="str">
        <f t="shared" si="86"/>
        <v/>
      </c>
      <c r="X195" s="2" t="str">
        <f t="shared" si="81"/>
        <v/>
      </c>
      <c r="Y195" s="35" t="str">
        <f t="shared" ca="1" si="100"/>
        <v/>
      </c>
      <c r="Z195" s="36" t="str">
        <f t="shared" ca="1" si="101"/>
        <v/>
      </c>
      <c r="AA195" s="70" t="str">
        <f t="shared" si="102"/>
        <v/>
      </c>
      <c r="AB195" s="2"/>
      <c r="AC195" s="94" t="str">
        <f t="shared" si="82"/>
        <v/>
      </c>
      <c r="AD195" s="95" t="str">
        <f t="shared" si="83"/>
        <v/>
      </c>
      <c r="AE195" s="96" t="str">
        <f t="shared" si="84"/>
        <v/>
      </c>
      <c r="AF195" s="124" t="str">
        <f t="shared" si="85"/>
        <v/>
      </c>
      <c r="AG195" s="2"/>
      <c r="AH195" s="2"/>
      <c r="AI195" s="2"/>
      <c r="AJ195" s="2"/>
      <c r="AK195" s="2"/>
      <c r="AL195" s="2"/>
    </row>
    <row r="196" spans="1:38" x14ac:dyDescent="0.2">
      <c r="A196" s="45"/>
      <c r="B196" s="43" t="str">
        <f t="shared" si="88"/>
        <v/>
      </c>
      <c r="C196" s="96" t="str">
        <f t="shared" si="87"/>
        <v/>
      </c>
      <c r="D196" s="44" t="str">
        <f t="shared" si="89"/>
        <v/>
      </c>
      <c r="E196" s="52"/>
      <c r="F196" s="63" t="str">
        <f t="shared" si="90"/>
        <v/>
      </c>
      <c r="G196" s="56" t="str">
        <f t="shared" si="91"/>
        <v/>
      </c>
      <c r="H196" s="42"/>
      <c r="I196" s="2" t="str">
        <f t="shared" si="92"/>
        <v/>
      </c>
      <c r="J196" s="54" t="str">
        <f t="shared" si="79"/>
        <v/>
      </c>
      <c r="K196" s="55" t="str">
        <f t="shared" si="93"/>
        <v/>
      </c>
      <c r="L196" s="63" t="str">
        <f t="shared" si="94"/>
        <v/>
      </c>
      <c r="M196" s="96" t="str">
        <f t="shared" si="80"/>
        <v/>
      </c>
      <c r="N196" s="96" t="str">
        <f>IF(A196="","",IF(A196=Expiry,0,EXP(-q*Q196)*_xlfn.NORM.S.DIST(Y196,0)/(sigma*SQRT(Q196))*I196*Mult/100))</f>
        <v/>
      </c>
      <c r="O196" s="96" t="str">
        <f>IF(A196="","",IF(A196=Expiry,0,D196*E196*E196*EXP(-q*Q196)*_xlfn.NORM.S.DIST(Y196,0)*SQRT(Q196)/100))</f>
        <v/>
      </c>
      <c r="P196" s="69" t="str">
        <f>IF(A196="","",IF(A196=Expiry,0,AK196*I196*Mult*((-EXP(-q*Q196)*E196*_xlfn.NORM.S.DIST(Y196,0)*sigma/(2*SQRT(Q196))-r_dom*K*EXP(-r_dom*Q196)*_xlfn.NORM.S.DIST(Z196,1)+q*E196*EXP(-q*Q196)*_xlfn.NORM.S.DIST(Y196,1))/365)))</f>
        <v/>
      </c>
      <c r="Q196" s="83" t="str">
        <f t="shared" si="95"/>
        <v/>
      </c>
      <c r="R196" s="38"/>
      <c r="S196" s="68" t="str">
        <f t="shared" si="96"/>
        <v/>
      </c>
      <c r="T196" s="69" t="str">
        <f t="shared" si="97"/>
        <v/>
      </c>
      <c r="U196" s="70" t="str">
        <f t="shared" si="98"/>
        <v/>
      </c>
      <c r="V196" s="72" t="str">
        <f t="shared" si="99"/>
        <v/>
      </c>
      <c r="W196" s="2" t="str">
        <f t="shared" si="86"/>
        <v/>
      </c>
      <c r="X196" s="2" t="str">
        <f t="shared" si="81"/>
        <v/>
      </c>
      <c r="Y196" s="35" t="str">
        <f t="shared" ca="1" si="100"/>
        <v/>
      </c>
      <c r="Z196" s="36" t="str">
        <f t="shared" ca="1" si="101"/>
        <v/>
      </c>
      <c r="AA196" s="70" t="str">
        <f t="shared" si="102"/>
        <v/>
      </c>
      <c r="AB196" s="2"/>
      <c r="AC196" s="94" t="str">
        <f t="shared" si="82"/>
        <v/>
      </c>
      <c r="AD196" s="95" t="str">
        <f t="shared" si="83"/>
        <v/>
      </c>
      <c r="AE196" s="96" t="str">
        <f t="shared" si="84"/>
        <v/>
      </c>
      <c r="AF196" s="124" t="str">
        <f t="shared" si="85"/>
        <v/>
      </c>
      <c r="AG196" s="2"/>
      <c r="AH196" s="2"/>
      <c r="AI196" s="2"/>
      <c r="AJ196" s="2"/>
      <c r="AK196" s="2"/>
      <c r="AL196" s="2"/>
    </row>
    <row r="197" spans="1:38" x14ac:dyDescent="0.2">
      <c r="A197" s="45"/>
      <c r="B197" s="43" t="str">
        <f t="shared" si="88"/>
        <v/>
      </c>
      <c r="C197" s="96" t="str">
        <f t="shared" si="87"/>
        <v/>
      </c>
      <c r="D197" s="44" t="str">
        <f t="shared" si="89"/>
        <v/>
      </c>
      <c r="E197" s="52"/>
      <c r="F197" s="63" t="str">
        <f t="shared" si="90"/>
        <v/>
      </c>
      <c r="G197" s="56" t="str">
        <f t="shared" si="91"/>
        <v/>
      </c>
      <c r="H197" s="42"/>
      <c r="I197" s="2" t="str">
        <f t="shared" si="92"/>
        <v/>
      </c>
      <c r="J197" s="54" t="str">
        <f t="shared" si="79"/>
        <v/>
      </c>
      <c r="K197" s="55" t="str">
        <f t="shared" si="93"/>
        <v/>
      </c>
      <c r="L197" s="63" t="str">
        <f t="shared" si="94"/>
        <v/>
      </c>
      <c r="M197" s="96" t="str">
        <f t="shared" si="80"/>
        <v/>
      </c>
      <c r="N197" s="96" t="str">
        <f>IF(A197="","",IF(A197=Expiry,0,EXP(-q*Q197)*_xlfn.NORM.S.DIST(Y197,0)/(sigma*SQRT(Q197))*I197*Mult/100))</f>
        <v/>
      </c>
      <c r="O197" s="96" t="str">
        <f>IF(A197="","",IF(A197=Expiry,0,D197*E197*E197*EXP(-q*Q197)*_xlfn.NORM.S.DIST(Y197,0)*SQRT(Q197)/100))</f>
        <v/>
      </c>
      <c r="P197" s="69" t="str">
        <f>IF(A197="","",IF(A197=Expiry,0,AK197*I197*Mult*((-EXP(-q*Q197)*E197*_xlfn.NORM.S.DIST(Y197,0)*sigma/(2*SQRT(Q197))-r_dom*K*EXP(-r_dom*Q197)*_xlfn.NORM.S.DIST(Z197,1)+q*E197*EXP(-q*Q197)*_xlfn.NORM.S.DIST(Y197,1))/365)))</f>
        <v/>
      </c>
      <c r="Q197" s="83" t="str">
        <f t="shared" si="95"/>
        <v/>
      </c>
      <c r="R197" s="38"/>
      <c r="S197" s="68" t="str">
        <f t="shared" si="96"/>
        <v/>
      </c>
      <c r="T197" s="69" t="str">
        <f t="shared" si="97"/>
        <v/>
      </c>
      <c r="U197" s="70" t="str">
        <f t="shared" si="98"/>
        <v/>
      </c>
      <c r="V197" s="72" t="str">
        <f t="shared" si="99"/>
        <v/>
      </c>
      <c r="W197" s="2" t="str">
        <f t="shared" si="86"/>
        <v/>
      </c>
      <c r="X197" s="2" t="str">
        <f t="shared" si="81"/>
        <v/>
      </c>
      <c r="Y197" s="35" t="str">
        <f t="shared" ca="1" si="100"/>
        <v/>
      </c>
      <c r="Z197" s="36" t="str">
        <f t="shared" ca="1" si="101"/>
        <v/>
      </c>
      <c r="AA197" s="70" t="str">
        <f t="shared" si="102"/>
        <v/>
      </c>
      <c r="AB197" s="2"/>
      <c r="AC197" s="94" t="str">
        <f t="shared" si="82"/>
        <v/>
      </c>
      <c r="AD197" s="95" t="str">
        <f t="shared" si="83"/>
        <v/>
      </c>
      <c r="AE197" s="96" t="str">
        <f t="shared" si="84"/>
        <v/>
      </c>
      <c r="AF197" s="124" t="str">
        <f t="shared" si="85"/>
        <v/>
      </c>
      <c r="AG197" s="2"/>
      <c r="AH197" s="2"/>
      <c r="AI197" s="2"/>
      <c r="AJ197" s="2"/>
      <c r="AK197" s="2"/>
      <c r="AL197" s="2"/>
    </row>
    <row r="198" spans="1:38" x14ac:dyDescent="0.2">
      <c r="A198" s="45"/>
      <c r="B198" s="43" t="str">
        <f t="shared" si="88"/>
        <v/>
      </c>
      <c r="C198" s="96" t="str">
        <f t="shared" si="87"/>
        <v/>
      </c>
      <c r="D198" s="44" t="str">
        <f t="shared" si="89"/>
        <v/>
      </c>
      <c r="E198" s="52"/>
      <c r="F198" s="63" t="str">
        <f t="shared" si="90"/>
        <v/>
      </c>
      <c r="G198" s="56" t="str">
        <f t="shared" si="91"/>
        <v/>
      </c>
      <c r="H198" s="42"/>
      <c r="I198" s="2" t="str">
        <f t="shared" si="92"/>
        <v/>
      </c>
      <c r="J198" s="54" t="str">
        <f t="shared" si="79"/>
        <v/>
      </c>
      <c r="K198" s="55" t="str">
        <f t="shared" si="93"/>
        <v/>
      </c>
      <c r="L198" s="63" t="str">
        <f t="shared" si="94"/>
        <v/>
      </c>
      <c r="M198" s="96" t="str">
        <f t="shared" si="80"/>
        <v/>
      </c>
      <c r="N198" s="96" t="str">
        <f>IF(A198="","",IF(A198=Expiry,0,EXP(-q*Q198)*_xlfn.NORM.S.DIST(Y198,0)/(sigma*SQRT(Q198))*I198*Mult/100))</f>
        <v/>
      </c>
      <c r="O198" s="96" t="str">
        <f>IF(A198="","",IF(A198=Expiry,0,D198*E198*E198*EXP(-q*Q198)*_xlfn.NORM.S.DIST(Y198,0)*SQRT(Q198)/100))</f>
        <v/>
      </c>
      <c r="P198" s="69" t="str">
        <f>IF(A198="","",IF(A198=Expiry,0,AK198*I198*Mult*((-EXP(-q*Q198)*E198*_xlfn.NORM.S.DIST(Y198,0)*sigma/(2*SQRT(Q198))-r_dom*K*EXP(-r_dom*Q198)*_xlfn.NORM.S.DIST(Z198,1)+q*E198*EXP(-q*Q198)*_xlfn.NORM.S.DIST(Y198,1))/365)))</f>
        <v/>
      </c>
      <c r="Q198" s="83" t="str">
        <f t="shared" si="95"/>
        <v/>
      </c>
      <c r="R198" s="38"/>
      <c r="S198" s="68" t="str">
        <f t="shared" si="96"/>
        <v/>
      </c>
      <c r="T198" s="69" t="str">
        <f t="shared" si="97"/>
        <v/>
      </c>
      <c r="U198" s="70" t="str">
        <f t="shared" si="98"/>
        <v/>
      </c>
      <c r="V198" s="72" t="str">
        <f t="shared" si="99"/>
        <v/>
      </c>
      <c r="W198" s="2" t="str">
        <f t="shared" si="86"/>
        <v/>
      </c>
      <c r="X198" s="2" t="str">
        <f t="shared" si="81"/>
        <v/>
      </c>
      <c r="Y198" s="35" t="str">
        <f t="shared" ca="1" si="100"/>
        <v/>
      </c>
      <c r="Z198" s="36" t="str">
        <f t="shared" ca="1" si="101"/>
        <v/>
      </c>
      <c r="AA198" s="70" t="str">
        <f t="shared" si="102"/>
        <v/>
      </c>
      <c r="AB198" s="2"/>
      <c r="AC198" s="94" t="str">
        <f t="shared" si="82"/>
        <v/>
      </c>
      <c r="AD198" s="95" t="str">
        <f t="shared" si="83"/>
        <v/>
      </c>
      <c r="AE198" s="96" t="str">
        <f t="shared" si="84"/>
        <v/>
      </c>
      <c r="AF198" s="124" t="str">
        <f t="shared" si="85"/>
        <v/>
      </c>
      <c r="AG198" s="2"/>
      <c r="AH198" s="2"/>
      <c r="AI198" s="2"/>
      <c r="AJ198" s="2"/>
      <c r="AK198" s="2"/>
      <c r="AL198" s="2"/>
    </row>
    <row r="199" spans="1:38" x14ac:dyDescent="0.2">
      <c r="A199" s="45"/>
      <c r="B199" s="43" t="str">
        <f t="shared" si="88"/>
        <v/>
      </c>
      <c r="C199" s="96" t="str">
        <f t="shared" si="87"/>
        <v/>
      </c>
      <c r="D199" s="44" t="str">
        <f t="shared" si="89"/>
        <v/>
      </c>
      <c r="E199" s="52"/>
      <c r="F199" s="63" t="str">
        <f t="shared" si="90"/>
        <v/>
      </c>
      <c r="G199" s="56" t="str">
        <f t="shared" si="91"/>
        <v/>
      </c>
      <c r="H199" s="42"/>
      <c r="I199" s="2" t="str">
        <f t="shared" si="92"/>
        <v/>
      </c>
      <c r="J199" s="54" t="str">
        <f t="shared" si="79"/>
        <v/>
      </c>
      <c r="K199" s="55" t="str">
        <f t="shared" si="93"/>
        <v/>
      </c>
      <c r="L199" s="63" t="str">
        <f t="shared" si="94"/>
        <v/>
      </c>
      <c r="M199" s="96" t="str">
        <f t="shared" si="80"/>
        <v/>
      </c>
      <c r="N199" s="96" t="str">
        <f>IF(A199="","",IF(A199=Expiry,0,EXP(-q*Q199)*_xlfn.NORM.S.DIST(Y199,0)/(sigma*SQRT(Q199))*I199*Mult/100))</f>
        <v/>
      </c>
      <c r="O199" s="96" t="str">
        <f>IF(A199="","",IF(A199=Expiry,0,D199*E199*E199*EXP(-q*Q199)*_xlfn.NORM.S.DIST(Y199,0)*SQRT(Q199)/100))</f>
        <v/>
      </c>
      <c r="P199" s="69" t="str">
        <f>IF(A199="","",IF(A199=Expiry,0,AK199*I199*Mult*((-EXP(-q*Q199)*E199*_xlfn.NORM.S.DIST(Y199,0)*sigma/(2*SQRT(Q199))-r_dom*K*EXP(-r_dom*Q199)*_xlfn.NORM.S.DIST(Z199,1)+q*E199*EXP(-q*Q199)*_xlfn.NORM.S.DIST(Y199,1))/365)))</f>
        <v/>
      </c>
      <c r="Q199" s="83" t="str">
        <f t="shared" si="95"/>
        <v/>
      </c>
      <c r="R199" s="38"/>
      <c r="S199" s="68" t="str">
        <f t="shared" si="96"/>
        <v/>
      </c>
      <c r="T199" s="69" t="str">
        <f t="shared" si="97"/>
        <v/>
      </c>
      <c r="U199" s="70" t="str">
        <f t="shared" si="98"/>
        <v/>
      </c>
      <c r="V199" s="72" t="str">
        <f t="shared" si="99"/>
        <v/>
      </c>
      <c r="W199" s="2" t="str">
        <f t="shared" si="86"/>
        <v/>
      </c>
      <c r="X199" s="2" t="str">
        <f t="shared" si="81"/>
        <v/>
      </c>
      <c r="Y199" s="35" t="str">
        <f t="shared" ca="1" si="100"/>
        <v/>
      </c>
      <c r="Z199" s="36" t="str">
        <f t="shared" ca="1" si="101"/>
        <v/>
      </c>
      <c r="AA199" s="70" t="str">
        <f t="shared" si="102"/>
        <v/>
      </c>
      <c r="AB199" s="2"/>
      <c r="AC199" s="94" t="str">
        <f t="shared" si="82"/>
        <v/>
      </c>
      <c r="AD199" s="95" t="str">
        <f t="shared" si="83"/>
        <v/>
      </c>
      <c r="AE199" s="96" t="str">
        <f t="shared" si="84"/>
        <v/>
      </c>
      <c r="AF199" s="124" t="str">
        <f t="shared" si="85"/>
        <v/>
      </c>
      <c r="AG199" s="2"/>
      <c r="AH199" s="2"/>
      <c r="AI199" s="2"/>
      <c r="AJ199" s="2"/>
      <c r="AK199" s="2"/>
      <c r="AL199" s="2"/>
    </row>
    <row r="200" spans="1:38" x14ac:dyDescent="0.2">
      <c r="A200" s="45"/>
      <c r="B200" s="43" t="str">
        <f t="shared" si="88"/>
        <v/>
      </c>
      <c r="C200" s="96" t="str">
        <f t="shared" si="87"/>
        <v/>
      </c>
      <c r="D200" s="44" t="str">
        <f t="shared" si="89"/>
        <v/>
      </c>
      <c r="E200" s="52"/>
      <c r="F200" s="63" t="str">
        <f t="shared" si="90"/>
        <v/>
      </c>
      <c r="G200" s="56" t="str">
        <f t="shared" si="91"/>
        <v/>
      </c>
      <c r="H200" s="42"/>
      <c r="I200" s="2" t="str">
        <f t="shared" si="92"/>
        <v/>
      </c>
      <c r="J200" s="54" t="str">
        <f t="shared" si="79"/>
        <v/>
      </c>
      <c r="K200" s="55" t="str">
        <f t="shared" si="93"/>
        <v/>
      </c>
      <c r="L200" s="63" t="str">
        <f t="shared" si="94"/>
        <v/>
      </c>
      <c r="M200" s="96" t="str">
        <f t="shared" si="80"/>
        <v/>
      </c>
      <c r="N200" s="96" t="str">
        <f>IF(A200="","",IF(A200=Expiry,0,EXP(-q*Q200)*_xlfn.NORM.S.DIST(Y200,0)/(sigma*SQRT(Q200))*I200*Mult/100))</f>
        <v/>
      </c>
      <c r="O200" s="96" t="str">
        <f>IF(A200="","",IF(A200=Expiry,0,D200*E200*E200*EXP(-q*Q200)*_xlfn.NORM.S.DIST(Y200,0)*SQRT(Q200)/100))</f>
        <v/>
      </c>
      <c r="P200" s="69" t="str">
        <f>IF(A200="","",IF(A200=Expiry,0,AK200*I200*Mult*((-EXP(-q*Q200)*E200*_xlfn.NORM.S.DIST(Y200,0)*sigma/(2*SQRT(Q200))-r_dom*K*EXP(-r_dom*Q200)*_xlfn.NORM.S.DIST(Z200,1)+q*E200*EXP(-q*Q200)*_xlfn.NORM.S.DIST(Y200,1))/365)))</f>
        <v/>
      </c>
      <c r="Q200" s="83" t="str">
        <f t="shared" si="95"/>
        <v/>
      </c>
      <c r="R200" s="38"/>
      <c r="S200" s="68" t="str">
        <f t="shared" si="96"/>
        <v/>
      </c>
      <c r="T200" s="69" t="str">
        <f t="shared" si="97"/>
        <v/>
      </c>
      <c r="U200" s="70" t="str">
        <f t="shared" si="98"/>
        <v/>
      </c>
      <c r="V200" s="72" t="str">
        <f t="shared" si="99"/>
        <v/>
      </c>
      <c r="W200" s="2" t="str">
        <f t="shared" si="86"/>
        <v/>
      </c>
      <c r="X200" s="2" t="str">
        <f t="shared" si="81"/>
        <v/>
      </c>
      <c r="Y200" s="35" t="str">
        <f t="shared" ca="1" si="100"/>
        <v/>
      </c>
      <c r="Z200" s="36" t="str">
        <f t="shared" ca="1" si="101"/>
        <v/>
      </c>
      <c r="AA200" s="70" t="str">
        <f t="shared" si="102"/>
        <v/>
      </c>
      <c r="AB200" s="2"/>
      <c r="AC200" s="94" t="str">
        <f t="shared" si="82"/>
        <v/>
      </c>
      <c r="AD200" s="95" t="str">
        <f t="shared" si="83"/>
        <v/>
      </c>
      <c r="AE200" s="96" t="str">
        <f t="shared" si="84"/>
        <v/>
      </c>
      <c r="AF200" s="124" t="str">
        <f t="shared" si="85"/>
        <v/>
      </c>
      <c r="AG200" s="2"/>
      <c r="AH200" s="2"/>
      <c r="AI200" s="2"/>
      <c r="AJ200" s="2"/>
      <c r="AK200" s="2"/>
      <c r="AL200" s="2"/>
    </row>
    <row r="201" spans="1:38" x14ac:dyDescent="0.2">
      <c r="A201" s="45"/>
      <c r="B201" s="43" t="str">
        <f t="shared" si="88"/>
        <v/>
      </c>
      <c r="C201" s="96" t="str">
        <f t="shared" si="87"/>
        <v/>
      </c>
      <c r="D201" s="44" t="str">
        <f t="shared" si="89"/>
        <v/>
      </c>
      <c r="E201" s="52"/>
      <c r="F201" s="63" t="str">
        <f t="shared" si="90"/>
        <v/>
      </c>
      <c r="G201" s="56" t="str">
        <f t="shared" si="91"/>
        <v/>
      </c>
      <c r="H201" s="42"/>
      <c r="I201" s="2" t="str">
        <f t="shared" si="92"/>
        <v/>
      </c>
      <c r="J201" s="54" t="str">
        <f t="shared" si="79"/>
        <v/>
      </c>
      <c r="K201" s="55" t="str">
        <f t="shared" si="93"/>
        <v/>
      </c>
      <c r="L201" s="63" t="str">
        <f t="shared" si="94"/>
        <v/>
      </c>
      <c r="M201" s="96" t="str">
        <f t="shared" si="80"/>
        <v/>
      </c>
      <c r="N201" s="96" t="str">
        <f>IF(A201="","",IF(A201=Expiry,0,EXP(-q*Q201)*_xlfn.NORM.S.DIST(Y201,0)/(sigma*SQRT(Q201))*I201*Mult/100))</f>
        <v/>
      </c>
      <c r="O201" s="96" t="str">
        <f>IF(A201="","",IF(A201=Expiry,0,D201*E201*E201*EXP(-q*Q201)*_xlfn.NORM.S.DIST(Y201,0)*SQRT(Q201)/100))</f>
        <v/>
      </c>
      <c r="P201" s="69" t="str">
        <f>IF(A201="","",IF(A201=Expiry,0,AK201*I201*Mult*((-EXP(-q*Q201)*E201*_xlfn.NORM.S.DIST(Y201,0)*sigma/(2*SQRT(Q201))-r_dom*K*EXP(-r_dom*Q201)*_xlfn.NORM.S.DIST(Z201,1)+q*E201*EXP(-q*Q201)*_xlfn.NORM.S.DIST(Y201,1))/365)))</f>
        <v/>
      </c>
      <c r="Q201" s="83" t="str">
        <f t="shared" si="95"/>
        <v/>
      </c>
      <c r="R201" s="38"/>
      <c r="S201" s="68" t="str">
        <f t="shared" si="96"/>
        <v/>
      </c>
      <c r="T201" s="69" t="str">
        <f t="shared" si="97"/>
        <v/>
      </c>
      <c r="U201" s="70" t="str">
        <f t="shared" si="98"/>
        <v/>
      </c>
      <c r="V201" s="72" t="str">
        <f t="shared" si="99"/>
        <v/>
      </c>
      <c r="W201" s="2" t="str">
        <f t="shared" si="86"/>
        <v/>
      </c>
      <c r="X201" s="2" t="str">
        <f t="shared" si="81"/>
        <v/>
      </c>
      <c r="Y201" s="35" t="str">
        <f t="shared" ca="1" si="100"/>
        <v/>
      </c>
      <c r="Z201" s="36" t="str">
        <f t="shared" ca="1" si="101"/>
        <v/>
      </c>
      <c r="AA201" s="70" t="str">
        <f t="shared" si="102"/>
        <v/>
      </c>
      <c r="AB201" s="2"/>
      <c r="AC201" s="94" t="str">
        <f t="shared" si="82"/>
        <v/>
      </c>
      <c r="AD201" s="95" t="str">
        <f t="shared" si="83"/>
        <v/>
      </c>
      <c r="AE201" s="96" t="str">
        <f t="shared" si="84"/>
        <v/>
      </c>
      <c r="AF201" s="124" t="str">
        <f t="shared" si="85"/>
        <v/>
      </c>
      <c r="AG201" s="2"/>
      <c r="AH201" s="2"/>
      <c r="AI201" s="2"/>
      <c r="AJ201" s="2"/>
      <c r="AK201" s="2"/>
      <c r="AL201" s="2"/>
    </row>
    <row r="202" spans="1:38" x14ac:dyDescent="0.2">
      <c r="A202" s="45"/>
      <c r="B202" s="43" t="str">
        <f t="shared" si="88"/>
        <v/>
      </c>
      <c r="C202" s="96" t="str">
        <f t="shared" si="87"/>
        <v/>
      </c>
      <c r="D202" s="44" t="str">
        <f t="shared" si="89"/>
        <v/>
      </c>
      <c r="E202" s="52"/>
      <c r="F202" s="63" t="str">
        <f t="shared" si="90"/>
        <v/>
      </c>
      <c r="G202" s="56" t="str">
        <f t="shared" si="91"/>
        <v/>
      </c>
      <c r="H202" s="42"/>
      <c r="I202" s="2" t="str">
        <f t="shared" si="92"/>
        <v/>
      </c>
      <c r="J202" s="54" t="str">
        <f t="shared" si="79"/>
        <v/>
      </c>
      <c r="K202" s="55" t="str">
        <f t="shared" si="93"/>
        <v/>
      </c>
      <c r="L202" s="63" t="str">
        <f t="shared" si="94"/>
        <v/>
      </c>
      <c r="M202" s="96" t="str">
        <f t="shared" si="80"/>
        <v/>
      </c>
      <c r="N202" s="96" t="str">
        <f>IF(A202="","",IF(A202=Expiry,0,EXP(-q*Q202)*_xlfn.NORM.S.DIST(Y202,0)/(sigma*SQRT(Q202))*I202*Mult/100))</f>
        <v/>
      </c>
      <c r="O202" s="96" t="str">
        <f>IF(A202="","",IF(A202=Expiry,0,D202*E202*E202*EXP(-q*Q202)*_xlfn.NORM.S.DIST(Y202,0)*SQRT(Q202)/100))</f>
        <v/>
      </c>
      <c r="P202" s="69" t="str">
        <f>IF(A202="","",IF(A202=Expiry,0,AK202*I202*Mult*((-EXP(-q*Q202)*E202*_xlfn.NORM.S.DIST(Y202,0)*sigma/(2*SQRT(Q202))-r_dom*K*EXP(-r_dom*Q202)*_xlfn.NORM.S.DIST(Z202,1)+q*E202*EXP(-q*Q202)*_xlfn.NORM.S.DIST(Y202,1))/365)))</f>
        <v/>
      </c>
      <c r="Q202" s="83" t="str">
        <f t="shared" si="95"/>
        <v/>
      </c>
      <c r="R202" s="38"/>
      <c r="S202" s="68" t="str">
        <f t="shared" si="96"/>
        <v/>
      </c>
      <c r="T202" s="69" t="str">
        <f t="shared" si="97"/>
        <v/>
      </c>
      <c r="U202" s="70" t="str">
        <f t="shared" si="98"/>
        <v/>
      </c>
      <c r="V202" s="72" t="str">
        <f t="shared" si="99"/>
        <v/>
      </c>
      <c r="W202" s="2" t="str">
        <f t="shared" si="86"/>
        <v/>
      </c>
      <c r="X202" s="2" t="str">
        <f t="shared" si="81"/>
        <v/>
      </c>
      <c r="Y202" s="35" t="str">
        <f t="shared" ca="1" si="100"/>
        <v/>
      </c>
      <c r="Z202" s="36" t="str">
        <f t="shared" ca="1" si="101"/>
        <v/>
      </c>
      <c r="AA202" s="70" t="str">
        <f t="shared" si="102"/>
        <v/>
      </c>
      <c r="AB202" s="2"/>
      <c r="AC202" s="94" t="str">
        <f t="shared" si="82"/>
        <v/>
      </c>
      <c r="AD202" s="95" t="str">
        <f t="shared" si="83"/>
        <v/>
      </c>
      <c r="AE202" s="96" t="str">
        <f t="shared" si="84"/>
        <v/>
      </c>
      <c r="AF202" s="124" t="str">
        <f t="shared" si="85"/>
        <v/>
      </c>
      <c r="AG202" s="2"/>
      <c r="AH202" s="2"/>
      <c r="AI202" s="2"/>
      <c r="AJ202" s="2"/>
      <c r="AK202" s="2"/>
      <c r="AL202" s="2"/>
    </row>
    <row r="203" spans="1:38" x14ac:dyDescent="0.2">
      <c r="A203" s="45"/>
      <c r="B203" s="43" t="str">
        <f t="shared" si="88"/>
        <v/>
      </c>
      <c r="C203" s="96" t="str">
        <f t="shared" si="87"/>
        <v/>
      </c>
      <c r="D203" s="44" t="str">
        <f t="shared" si="89"/>
        <v/>
      </c>
      <c r="E203" s="52"/>
      <c r="F203" s="63" t="str">
        <f t="shared" si="90"/>
        <v/>
      </c>
      <c r="G203" s="56" t="str">
        <f t="shared" si="91"/>
        <v/>
      </c>
      <c r="H203" s="42"/>
      <c r="I203" s="2" t="str">
        <f t="shared" si="92"/>
        <v/>
      </c>
      <c r="J203" s="54" t="str">
        <f t="shared" si="79"/>
        <v/>
      </c>
      <c r="K203" s="55" t="str">
        <f t="shared" si="93"/>
        <v/>
      </c>
      <c r="L203" s="63" t="str">
        <f t="shared" si="94"/>
        <v/>
      </c>
      <c r="M203" s="96" t="str">
        <f t="shared" si="80"/>
        <v/>
      </c>
      <c r="N203" s="96" t="str">
        <f>IF(A203="","",IF(A203=Expiry,0,EXP(-q*Q203)*_xlfn.NORM.S.DIST(Y203,0)/(sigma*SQRT(Q203))*I203*Mult/100))</f>
        <v/>
      </c>
      <c r="O203" s="96" t="str">
        <f>IF(A203="","",IF(A203=Expiry,0,D203*E203*E203*EXP(-q*Q203)*_xlfn.NORM.S.DIST(Y203,0)*SQRT(Q203)/100))</f>
        <v/>
      </c>
      <c r="P203" s="69" t="str">
        <f>IF(A203="","",IF(A203=Expiry,0,AK203*I203*Mult*((-EXP(-q*Q203)*E203*_xlfn.NORM.S.DIST(Y203,0)*sigma/(2*SQRT(Q203))-r_dom*K*EXP(-r_dom*Q203)*_xlfn.NORM.S.DIST(Z203,1)+q*E203*EXP(-q*Q203)*_xlfn.NORM.S.DIST(Y203,1))/365)))</f>
        <v/>
      </c>
      <c r="Q203" s="83" t="str">
        <f t="shared" si="95"/>
        <v/>
      </c>
      <c r="R203" s="38"/>
      <c r="S203" s="68" t="str">
        <f t="shared" si="96"/>
        <v/>
      </c>
      <c r="T203" s="69" t="str">
        <f t="shared" si="97"/>
        <v/>
      </c>
      <c r="U203" s="70" t="str">
        <f t="shared" si="98"/>
        <v/>
      </c>
      <c r="V203" s="72" t="str">
        <f t="shared" si="99"/>
        <v/>
      </c>
      <c r="W203" s="2" t="str">
        <f t="shared" si="86"/>
        <v/>
      </c>
      <c r="X203" s="2" t="str">
        <f t="shared" si="81"/>
        <v/>
      </c>
      <c r="Y203" s="35" t="str">
        <f t="shared" ca="1" si="100"/>
        <v/>
      </c>
      <c r="Z203" s="36" t="str">
        <f t="shared" ca="1" si="101"/>
        <v/>
      </c>
      <c r="AA203" s="70" t="str">
        <f t="shared" si="102"/>
        <v/>
      </c>
      <c r="AB203" s="2"/>
      <c r="AC203" s="94" t="str">
        <f t="shared" si="82"/>
        <v/>
      </c>
      <c r="AD203" s="95" t="str">
        <f t="shared" si="83"/>
        <v/>
      </c>
      <c r="AE203" s="96" t="str">
        <f t="shared" si="84"/>
        <v/>
      </c>
      <c r="AF203" s="124" t="str">
        <f t="shared" si="85"/>
        <v/>
      </c>
      <c r="AG203" s="2"/>
      <c r="AH203" s="2"/>
      <c r="AI203" s="2"/>
      <c r="AJ203" s="2"/>
      <c r="AK203" s="2"/>
      <c r="AL203" s="2"/>
    </row>
    <row r="204" spans="1:38" x14ac:dyDescent="0.2">
      <c r="A204" s="45"/>
      <c r="B204" s="43" t="str">
        <f t="shared" si="88"/>
        <v/>
      </c>
      <c r="C204" s="96" t="str">
        <f t="shared" si="87"/>
        <v/>
      </c>
      <c r="D204" s="44" t="str">
        <f t="shared" si="89"/>
        <v/>
      </c>
      <c r="E204" s="52"/>
      <c r="F204" s="63" t="str">
        <f t="shared" si="90"/>
        <v/>
      </c>
      <c r="G204" s="56" t="str">
        <f t="shared" si="91"/>
        <v/>
      </c>
      <c r="H204" s="42"/>
      <c r="I204" s="2" t="str">
        <f t="shared" si="92"/>
        <v/>
      </c>
      <c r="J204" s="54" t="str">
        <f t="shared" si="79"/>
        <v/>
      </c>
      <c r="K204" s="55" t="str">
        <f t="shared" si="93"/>
        <v/>
      </c>
      <c r="L204" s="63" t="str">
        <f t="shared" si="94"/>
        <v/>
      </c>
      <c r="M204" s="96" t="str">
        <f t="shared" si="80"/>
        <v/>
      </c>
      <c r="N204" s="96" t="str">
        <f>IF(A204="","",IF(A204=Expiry,0,EXP(-q*Q204)*_xlfn.NORM.S.DIST(Y204,0)/(sigma*SQRT(Q204))*I204*Mult/100))</f>
        <v/>
      </c>
      <c r="O204" s="96" t="str">
        <f>IF(A204="","",IF(A204=Expiry,0,D204*E204*E204*EXP(-q*Q204)*_xlfn.NORM.S.DIST(Y204,0)*SQRT(Q204)/100))</f>
        <v/>
      </c>
      <c r="P204" s="69" t="str">
        <f>IF(A204="","",IF(A204=Expiry,0,AK204*I204*Mult*((-EXP(-q*Q204)*E204*_xlfn.NORM.S.DIST(Y204,0)*sigma/(2*SQRT(Q204))-r_dom*K*EXP(-r_dom*Q204)*_xlfn.NORM.S.DIST(Z204,1)+q*E204*EXP(-q*Q204)*_xlfn.NORM.S.DIST(Y204,1))/365)))</f>
        <v/>
      </c>
      <c r="Q204" s="83" t="str">
        <f t="shared" si="95"/>
        <v/>
      </c>
      <c r="R204" s="38"/>
      <c r="S204" s="68" t="str">
        <f t="shared" si="96"/>
        <v/>
      </c>
      <c r="T204" s="69" t="str">
        <f t="shared" si="97"/>
        <v/>
      </c>
      <c r="U204" s="70" t="str">
        <f t="shared" si="98"/>
        <v/>
      </c>
      <c r="V204" s="72" t="str">
        <f t="shared" si="99"/>
        <v/>
      </c>
      <c r="W204" s="2" t="str">
        <f t="shared" si="86"/>
        <v/>
      </c>
      <c r="X204" s="2" t="str">
        <f t="shared" si="81"/>
        <v/>
      </c>
      <c r="Y204" s="35" t="str">
        <f t="shared" ca="1" si="100"/>
        <v/>
      </c>
      <c r="Z204" s="36" t="str">
        <f t="shared" ca="1" si="101"/>
        <v/>
      </c>
      <c r="AA204" s="70" t="str">
        <f t="shared" si="102"/>
        <v/>
      </c>
      <c r="AB204" s="2"/>
      <c r="AC204" s="94" t="str">
        <f t="shared" si="82"/>
        <v/>
      </c>
      <c r="AD204" s="95" t="str">
        <f t="shared" si="83"/>
        <v/>
      </c>
      <c r="AE204" s="96" t="str">
        <f t="shared" si="84"/>
        <v/>
      </c>
      <c r="AF204" s="124" t="str">
        <f t="shared" si="85"/>
        <v/>
      </c>
      <c r="AG204" s="2"/>
      <c r="AH204" s="2"/>
      <c r="AI204" s="2"/>
      <c r="AJ204" s="2"/>
      <c r="AK204" s="2"/>
      <c r="AL204" s="2"/>
    </row>
    <row r="205" spans="1:38" x14ac:dyDescent="0.2">
      <c r="A205" s="45"/>
      <c r="B205" s="43" t="str">
        <f t="shared" si="88"/>
        <v/>
      </c>
      <c r="C205" s="96" t="str">
        <f t="shared" si="87"/>
        <v/>
      </c>
      <c r="D205" s="44" t="str">
        <f t="shared" si="89"/>
        <v/>
      </c>
      <c r="E205" s="52"/>
      <c r="F205" s="63" t="str">
        <f t="shared" si="90"/>
        <v/>
      </c>
      <c r="G205" s="56" t="str">
        <f t="shared" si="91"/>
        <v/>
      </c>
      <c r="H205" s="42"/>
      <c r="I205" s="2" t="str">
        <f t="shared" si="92"/>
        <v/>
      </c>
      <c r="J205" s="54" t="str">
        <f t="shared" si="79"/>
        <v/>
      </c>
      <c r="K205" s="55" t="str">
        <f t="shared" si="93"/>
        <v/>
      </c>
      <c r="L205" s="63" t="str">
        <f t="shared" si="94"/>
        <v/>
      </c>
      <c r="M205" s="96" t="str">
        <f t="shared" si="80"/>
        <v/>
      </c>
      <c r="N205" s="96" t="str">
        <f>IF(A205="","",IF(A205=Expiry,0,EXP(-q*Q205)*_xlfn.NORM.S.DIST(Y205,0)/(sigma*SQRT(Q205))*I205*Mult/100))</f>
        <v/>
      </c>
      <c r="O205" s="96" t="str">
        <f>IF(A205="","",IF(A205=Expiry,0,D205*E205*E205*EXP(-q*Q205)*_xlfn.NORM.S.DIST(Y205,0)*SQRT(Q205)/100))</f>
        <v/>
      </c>
      <c r="P205" s="69" t="str">
        <f>IF(A205="","",IF(A205=Expiry,0,AK205*I205*Mult*((-EXP(-q*Q205)*E205*_xlfn.NORM.S.DIST(Y205,0)*sigma/(2*SQRT(Q205))-r_dom*K*EXP(-r_dom*Q205)*_xlfn.NORM.S.DIST(Z205,1)+q*E205*EXP(-q*Q205)*_xlfn.NORM.S.DIST(Y205,1))/365)))</f>
        <v/>
      </c>
      <c r="Q205" s="83" t="str">
        <f t="shared" si="95"/>
        <v/>
      </c>
      <c r="R205" s="38"/>
      <c r="S205" s="68" t="str">
        <f t="shared" si="96"/>
        <v/>
      </c>
      <c r="T205" s="69" t="str">
        <f t="shared" si="97"/>
        <v/>
      </c>
      <c r="U205" s="70" t="str">
        <f t="shared" si="98"/>
        <v/>
      </c>
      <c r="V205" s="72" t="str">
        <f t="shared" si="99"/>
        <v/>
      </c>
      <c r="W205" s="2" t="str">
        <f t="shared" si="86"/>
        <v/>
      </c>
      <c r="X205" s="2" t="str">
        <f t="shared" si="81"/>
        <v/>
      </c>
      <c r="Y205" s="35" t="str">
        <f t="shared" ca="1" si="100"/>
        <v/>
      </c>
      <c r="Z205" s="36" t="str">
        <f t="shared" ca="1" si="101"/>
        <v/>
      </c>
      <c r="AA205" s="70" t="str">
        <f t="shared" si="102"/>
        <v/>
      </c>
      <c r="AB205" s="2"/>
      <c r="AC205" s="94" t="str">
        <f t="shared" si="82"/>
        <v/>
      </c>
      <c r="AD205" s="95" t="str">
        <f t="shared" si="83"/>
        <v/>
      </c>
      <c r="AE205" s="96" t="str">
        <f t="shared" si="84"/>
        <v/>
      </c>
      <c r="AF205" s="124" t="str">
        <f t="shared" si="85"/>
        <v/>
      </c>
      <c r="AG205" s="2"/>
      <c r="AH205" s="2"/>
      <c r="AI205" s="2"/>
      <c r="AJ205" s="2"/>
      <c r="AK205" s="2"/>
      <c r="AL205" s="2"/>
    </row>
    <row r="206" spans="1:38" x14ac:dyDescent="0.2">
      <c r="A206" s="45"/>
      <c r="B206" s="43" t="str">
        <f t="shared" si="88"/>
        <v/>
      </c>
      <c r="C206" s="96" t="str">
        <f t="shared" si="87"/>
        <v/>
      </c>
      <c r="D206" s="44" t="str">
        <f t="shared" si="89"/>
        <v/>
      </c>
      <c r="E206" s="52"/>
      <c r="F206" s="63" t="str">
        <f t="shared" si="90"/>
        <v/>
      </c>
      <c r="G206" s="56" t="str">
        <f t="shared" si="91"/>
        <v/>
      </c>
      <c r="H206" s="42"/>
      <c r="I206" s="2" t="str">
        <f t="shared" si="92"/>
        <v/>
      </c>
      <c r="J206" s="54" t="str">
        <f t="shared" si="79"/>
        <v/>
      </c>
      <c r="K206" s="55" t="str">
        <f t="shared" si="93"/>
        <v/>
      </c>
      <c r="L206" s="63" t="str">
        <f t="shared" si="94"/>
        <v/>
      </c>
      <c r="M206" s="96" t="str">
        <f t="shared" si="80"/>
        <v/>
      </c>
      <c r="N206" s="96" t="str">
        <f>IF(A206="","",IF(A206=Expiry,0,EXP(-q*Q206)*_xlfn.NORM.S.DIST(Y206,0)/(sigma*SQRT(Q206))*I206*Mult/100))</f>
        <v/>
      </c>
      <c r="O206" s="96" t="str">
        <f>IF(A206="","",IF(A206=Expiry,0,D206*E206*E206*EXP(-q*Q206)*_xlfn.NORM.S.DIST(Y206,0)*SQRT(Q206)/100))</f>
        <v/>
      </c>
      <c r="P206" s="69" t="str">
        <f>IF(A206="","",IF(A206=Expiry,0,AK206*I206*Mult*((-EXP(-q*Q206)*E206*_xlfn.NORM.S.DIST(Y206,0)*sigma/(2*SQRT(Q206))-r_dom*K*EXP(-r_dom*Q206)*_xlfn.NORM.S.DIST(Z206,1)+q*E206*EXP(-q*Q206)*_xlfn.NORM.S.DIST(Y206,1))/365)))</f>
        <v/>
      </c>
      <c r="Q206" s="83" t="str">
        <f t="shared" si="95"/>
        <v/>
      </c>
      <c r="R206" s="38"/>
      <c r="S206" s="68" t="str">
        <f t="shared" si="96"/>
        <v/>
      </c>
      <c r="T206" s="69" t="str">
        <f t="shared" si="97"/>
        <v/>
      </c>
      <c r="U206" s="70" t="str">
        <f t="shared" si="98"/>
        <v/>
      </c>
      <c r="V206" s="72" t="str">
        <f t="shared" si="99"/>
        <v/>
      </c>
      <c r="W206" s="2" t="str">
        <f t="shared" si="86"/>
        <v/>
      </c>
      <c r="X206" s="2" t="str">
        <f t="shared" si="81"/>
        <v/>
      </c>
      <c r="Y206" s="35" t="str">
        <f t="shared" ca="1" si="100"/>
        <v/>
      </c>
      <c r="Z206" s="36" t="str">
        <f t="shared" ca="1" si="101"/>
        <v/>
      </c>
      <c r="AA206" s="70" t="str">
        <f t="shared" si="102"/>
        <v/>
      </c>
      <c r="AB206" s="2"/>
      <c r="AC206" s="94" t="str">
        <f t="shared" si="82"/>
        <v/>
      </c>
      <c r="AD206" s="95" t="str">
        <f t="shared" si="83"/>
        <v/>
      </c>
      <c r="AE206" s="96" t="str">
        <f t="shared" si="84"/>
        <v/>
      </c>
      <c r="AF206" s="124" t="str">
        <f t="shared" si="85"/>
        <v/>
      </c>
      <c r="AG206" s="2"/>
      <c r="AH206" s="2"/>
      <c r="AI206" s="2"/>
      <c r="AJ206" s="2"/>
      <c r="AK206" s="2"/>
      <c r="AL206" s="2"/>
    </row>
    <row r="207" spans="1:38" x14ac:dyDescent="0.2">
      <c r="A207" s="45"/>
      <c r="B207" s="43" t="str">
        <f t="shared" si="88"/>
        <v/>
      </c>
      <c r="C207" s="96" t="str">
        <f t="shared" si="87"/>
        <v/>
      </c>
      <c r="D207" s="44" t="str">
        <f t="shared" si="89"/>
        <v/>
      </c>
      <c r="E207" s="52"/>
      <c r="F207" s="63" t="str">
        <f t="shared" si="90"/>
        <v/>
      </c>
      <c r="G207" s="56" t="str">
        <f t="shared" si="91"/>
        <v/>
      </c>
      <c r="H207" s="42"/>
      <c r="I207" s="2" t="str">
        <f t="shared" si="92"/>
        <v/>
      </c>
      <c r="J207" s="54" t="str">
        <f t="shared" si="79"/>
        <v/>
      </c>
      <c r="K207" s="55" t="str">
        <f t="shared" si="93"/>
        <v/>
      </c>
      <c r="L207" s="63" t="str">
        <f t="shared" si="94"/>
        <v/>
      </c>
      <c r="M207" s="96" t="str">
        <f t="shared" si="80"/>
        <v/>
      </c>
      <c r="N207" s="96" t="str">
        <f>IF(A207="","",IF(A207=Expiry,0,EXP(-q*Q207)*_xlfn.NORM.S.DIST(Y207,0)/(sigma*SQRT(Q207))*I207*Mult/100))</f>
        <v/>
      </c>
      <c r="O207" s="96" t="str">
        <f>IF(A207="","",IF(A207=Expiry,0,D207*E207*E207*EXP(-q*Q207)*_xlfn.NORM.S.DIST(Y207,0)*SQRT(Q207)/100))</f>
        <v/>
      </c>
      <c r="P207" s="69" t="str">
        <f>IF(A207="","",IF(A207=Expiry,0,AK207*I207*Mult*((-EXP(-q*Q207)*E207*_xlfn.NORM.S.DIST(Y207,0)*sigma/(2*SQRT(Q207))-r_dom*K*EXP(-r_dom*Q207)*_xlfn.NORM.S.DIST(Z207,1)+q*E207*EXP(-q*Q207)*_xlfn.NORM.S.DIST(Y207,1))/365)))</f>
        <v/>
      </c>
      <c r="Q207" s="83" t="str">
        <f t="shared" si="95"/>
        <v/>
      </c>
      <c r="R207" s="38"/>
      <c r="S207" s="68" t="str">
        <f t="shared" si="96"/>
        <v/>
      </c>
      <c r="T207" s="69" t="str">
        <f t="shared" si="97"/>
        <v/>
      </c>
      <c r="U207" s="70" t="str">
        <f t="shared" si="98"/>
        <v/>
      </c>
      <c r="V207" s="72" t="str">
        <f t="shared" si="99"/>
        <v/>
      </c>
      <c r="W207" s="2" t="str">
        <f t="shared" si="86"/>
        <v/>
      </c>
      <c r="X207" s="2" t="str">
        <f t="shared" si="81"/>
        <v/>
      </c>
      <c r="Y207" s="35" t="str">
        <f t="shared" ca="1" si="100"/>
        <v/>
      </c>
      <c r="Z207" s="36" t="str">
        <f t="shared" ca="1" si="101"/>
        <v/>
      </c>
      <c r="AA207" s="70" t="str">
        <f t="shared" si="102"/>
        <v/>
      </c>
      <c r="AB207" s="2"/>
      <c r="AC207" s="94" t="str">
        <f t="shared" si="82"/>
        <v/>
      </c>
      <c r="AD207" s="95" t="str">
        <f t="shared" si="83"/>
        <v/>
      </c>
      <c r="AE207" s="96" t="str">
        <f t="shared" si="84"/>
        <v/>
      </c>
      <c r="AF207" s="124" t="str">
        <f t="shared" si="85"/>
        <v/>
      </c>
      <c r="AG207" s="2"/>
      <c r="AH207" s="2"/>
      <c r="AI207" s="2"/>
      <c r="AJ207" s="2"/>
      <c r="AK207" s="2"/>
      <c r="AL207" s="2"/>
    </row>
    <row r="208" spans="1:38" x14ac:dyDescent="0.2">
      <c r="A208" s="45"/>
      <c r="B208" s="43" t="str">
        <f t="shared" si="88"/>
        <v/>
      </c>
      <c r="C208" s="96" t="str">
        <f t="shared" si="87"/>
        <v/>
      </c>
      <c r="D208" s="44" t="str">
        <f t="shared" si="89"/>
        <v/>
      </c>
      <c r="E208" s="52"/>
      <c r="F208" s="63" t="str">
        <f t="shared" si="90"/>
        <v/>
      </c>
      <c r="G208" s="56" t="str">
        <f t="shared" si="91"/>
        <v/>
      </c>
      <c r="H208" s="42"/>
      <c r="I208" s="2" t="str">
        <f t="shared" si="92"/>
        <v/>
      </c>
      <c r="J208" s="54" t="str">
        <f t="shared" si="79"/>
        <v/>
      </c>
      <c r="K208" s="55" t="str">
        <f t="shared" si="93"/>
        <v/>
      </c>
      <c r="L208" s="63" t="str">
        <f t="shared" si="94"/>
        <v/>
      </c>
      <c r="M208" s="96" t="str">
        <f t="shared" si="80"/>
        <v/>
      </c>
      <c r="N208" s="96" t="str">
        <f>IF(A208="","",IF(A208=Expiry,0,EXP(-q*Q208)*_xlfn.NORM.S.DIST(Y208,0)/(sigma*SQRT(Q208))*I208*Mult/100))</f>
        <v/>
      </c>
      <c r="O208" s="96" t="str">
        <f>IF(A208="","",IF(A208=Expiry,0,D208*E208*E208*EXP(-q*Q208)*_xlfn.NORM.S.DIST(Y208,0)*SQRT(Q208)/100))</f>
        <v/>
      </c>
      <c r="P208" s="69" t="str">
        <f>IF(A208="","",IF(A208=Expiry,0,AK208*I208*Mult*((-EXP(-q*Q208)*E208*_xlfn.NORM.S.DIST(Y208,0)*sigma/(2*SQRT(Q208))-r_dom*K*EXP(-r_dom*Q208)*_xlfn.NORM.S.DIST(Z208,1)+q*E208*EXP(-q*Q208)*_xlfn.NORM.S.DIST(Y208,1))/365)))</f>
        <v/>
      </c>
      <c r="Q208" s="83" t="str">
        <f t="shared" si="95"/>
        <v/>
      </c>
      <c r="R208" s="38"/>
      <c r="S208" s="68" t="str">
        <f t="shared" si="96"/>
        <v/>
      </c>
      <c r="T208" s="69" t="str">
        <f t="shared" si="97"/>
        <v/>
      </c>
      <c r="U208" s="70" t="str">
        <f t="shared" si="98"/>
        <v/>
      </c>
      <c r="V208" s="72" t="str">
        <f t="shared" si="99"/>
        <v/>
      </c>
      <c r="W208" s="2" t="str">
        <f t="shared" si="86"/>
        <v/>
      </c>
      <c r="X208" s="2" t="str">
        <f t="shared" si="81"/>
        <v/>
      </c>
      <c r="Y208" s="35" t="str">
        <f t="shared" ca="1" si="100"/>
        <v/>
      </c>
      <c r="Z208" s="36" t="str">
        <f t="shared" ca="1" si="101"/>
        <v/>
      </c>
      <c r="AA208" s="70" t="str">
        <f t="shared" si="102"/>
        <v/>
      </c>
      <c r="AB208" s="2"/>
      <c r="AC208" s="94" t="str">
        <f t="shared" si="82"/>
        <v/>
      </c>
      <c r="AD208" s="95" t="str">
        <f t="shared" si="83"/>
        <v/>
      </c>
      <c r="AE208" s="96" t="str">
        <f t="shared" si="84"/>
        <v/>
      </c>
      <c r="AF208" s="124" t="str">
        <f t="shared" si="85"/>
        <v/>
      </c>
      <c r="AG208" s="2"/>
      <c r="AH208" s="2"/>
      <c r="AI208" s="2"/>
      <c r="AJ208" s="2"/>
      <c r="AK208" s="2"/>
      <c r="AL208" s="2"/>
    </row>
    <row r="209" spans="1:38" x14ac:dyDescent="0.2">
      <c r="A209" s="45"/>
      <c r="B209" s="43" t="str">
        <f t="shared" si="88"/>
        <v/>
      </c>
      <c r="C209" s="96" t="str">
        <f t="shared" si="87"/>
        <v/>
      </c>
      <c r="D209" s="44" t="str">
        <f t="shared" si="89"/>
        <v/>
      </c>
      <c r="E209" s="52"/>
      <c r="F209" s="63" t="str">
        <f t="shared" si="90"/>
        <v/>
      </c>
      <c r="G209" s="56" t="str">
        <f t="shared" si="91"/>
        <v/>
      </c>
      <c r="H209" s="42"/>
      <c r="I209" s="2" t="str">
        <f t="shared" si="92"/>
        <v/>
      </c>
      <c r="J209" s="54" t="str">
        <f t="shared" si="79"/>
        <v/>
      </c>
      <c r="K209" s="55" t="str">
        <f t="shared" si="93"/>
        <v/>
      </c>
      <c r="L209" s="63" t="str">
        <f t="shared" si="94"/>
        <v/>
      </c>
      <c r="M209" s="96" t="str">
        <f t="shared" si="80"/>
        <v/>
      </c>
      <c r="N209" s="96" t="str">
        <f>IF(A209="","",IF(A209=Expiry,0,EXP(-q*Q209)*_xlfn.NORM.S.DIST(Y209,0)/(sigma*SQRT(Q209))*I209*Mult/100))</f>
        <v/>
      </c>
      <c r="O209" s="96" t="str">
        <f>IF(A209="","",IF(A209=Expiry,0,D209*E209*E209*EXP(-q*Q209)*_xlfn.NORM.S.DIST(Y209,0)*SQRT(Q209)/100))</f>
        <v/>
      </c>
      <c r="P209" s="69" t="str">
        <f>IF(A209="","",IF(A209=Expiry,0,AK209*I209*Mult*((-EXP(-q*Q209)*E209*_xlfn.NORM.S.DIST(Y209,0)*sigma/(2*SQRT(Q209))-r_dom*K*EXP(-r_dom*Q209)*_xlfn.NORM.S.DIST(Z209,1)+q*E209*EXP(-q*Q209)*_xlfn.NORM.S.DIST(Y209,1))/365)))</f>
        <v/>
      </c>
      <c r="Q209" s="83" t="str">
        <f t="shared" si="95"/>
        <v/>
      </c>
      <c r="R209" s="38"/>
      <c r="S209" s="68" t="str">
        <f t="shared" si="96"/>
        <v/>
      </c>
      <c r="T209" s="69" t="str">
        <f t="shared" si="97"/>
        <v/>
      </c>
      <c r="U209" s="70" t="str">
        <f t="shared" si="98"/>
        <v/>
      </c>
      <c r="V209" s="72" t="str">
        <f t="shared" si="99"/>
        <v/>
      </c>
      <c r="W209" s="2" t="str">
        <f t="shared" si="86"/>
        <v/>
      </c>
      <c r="X209" s="2" t="str">
        <f t="shared" si="81"/>
        <v/>
      </c>
      <c r="Y209" s="35" t="str">
        <f t="shared" ca="1" si="100"/>
        <v/>
      </c>
      <c r="Z209" s="36" t="str">
        <f t="shared" ca="1" si="101"/>
        <v/>
      </c>
      <c r="AA209" s="70" t="str">
        <f t="shared" si="102"/>
        <v/>
      </c>
      <c r="AB209" s="2"/>
      <c r="AC209" s="94" t="str">
        <f t="shared" si="82"/>
        <v/>
      </c>
      <c r="AD209" s="95" t="str">
        <f t="shared" si="83"/>
        <v/>
      </c>
      <c r="AE209" s="96" t="str">
        <f t="shared" si="84"/>
        <v/>
      </c>
      <c r="AF209" s="124" t="str">
        <f t="shared" si="85"/>
        <v/>
      </c>
      <c r="AG209" s="2"/>
      <c r="AH209" s="2"/>
      <c r="AI209" s="2"/>
      <c r="AJ209" s="2"/>
      <c r="AK209" s="2"/>
      <c r="AL209" s="2"/>
    </row>
    <row r="210" spans="1:38" x14ac:dyDescent="0.2">
      <c r="A210" s="45"/>
      <c r="B210" s="43" t="str">
        <f t="shared" si="88"/>
        <v/>
      </c>
      <c r="C210" s="96" t="str">
        <f t="shared" si="87"/>
        <v/>
      </c>
      <c r="D210" s="44" t="str">
        <f t="shared" si="89"/>
        <v/>
      </c>
      <c r="E210" s="52"/>
      <c r="F210" s="63" t="str">
        <f t="shared" si="90"/>
        <v/>
      </c>
      <c r="G210" s="56" t="str">
        <f t="shared" si="91"/>
        <v/>
      </c>
      <c r="H210" s="42"/>
      <c r="I210" s="2" t="str">
        <f t="shared" si="92"/>
        <v/>
      </c>
      <c r="J210" s="54" t="str">
        <f t="shared" si="79"/>
        <v/>
      </c>
      <c r="K210" s="55" t="str">
        <f t="shared" si="93"/>
        <v/>
      </c>
      <c r="L210" s="63" t="str">
        <f t="shared" si="94"/>
        <v/>
      </c>
      <c r="M210" s="96" t="str">
        <f t="shared" si="80"/>
        <v/>
      </c>
      <c r="N210" s="96" t="str">
        <f>IF(A210="","",IF(A210=Expiry,0,EXP(-q*Q210)*_xlfn.NORM.S.DIST(Y210,0)/(sigma*SQRT(Q210))*I210*Mult/100))</f>
        <v/>
      </c>
      <c r="O210" s="96" t="str">
        <f>IF(A210="","",IF(A210=Expiry,0,D210*E210*E210*EXP(-q*Q210)*_xlfn.NORM.S.DIST(Y210,0)*SQRT(Q210)/100))</f>
        <v/>
      </c>
      <c r="P210" s="69" t="str">
        <f>IF(A210="","",IF(A210=Expiry,0,AK210*I210*Mult*((-EXP(-q*Q210)*E210*_xlfn.NORM.S.DIST(Y210,0)*sigma/(2*SQRT(Q210))-r_dom*K*EXP(-r_dom*Q210)*_xlfn.NORM.S.DIST(Z210,1)+q*E210*EXP(-q*Q210)*_xlfn.NORM.S.DIST(Y210,1))/365)))</f>
        <v/>
      </c>
      <c r="Q210" s="83" t="str">
        <f t="shared" si="95"/>
        <v/>
      </c>
      <c r="R210" s="38"/>
      <c r="S210" s="68" t="str">
        <f t="shared" si="96"/>
        <v/>
      </c>
      <c r="T210" s="69" t="str">
        <f t="shared" si="97"/>
        <v/>
      </c>
      <c r="U210" s="70" t="str">
        <f t="shared" si="98"/>
        <v/>
      </c>
      <c r="V210" s="72" t="str">
        <f t="shared" si="99"/>
        <v/>
      </c>
      <c r="W210" s="2" t="str">
        <f t="shared" si="86"/>
        <v/>
      </c>
      <c r="X210" s="2" t="str">
        <f t="shared" si="81"/>
        <v/>
      </c>
      <c r="Y210" s="35" t="str">
        <f t="shared" ca="1" si="100"/>
        <v/>
      </c>
      <c r="Z210" s="36" t="str">
        <f t="shared" ca="1" si="101"/>
        <v/>
      </c>
      <c r="AA210" s="70" t="str">
        <f t="shared" si="102"/>
        <v/>
      </c>
      <c r="AB210" s="2"/>
      <c r="AC210" s="94" t="str">
        <f t="shared" si="82"/>
        <v/>
      </c>
      <c r="AD210" s="95" t="str">
        <f t="shared" si="83"/>
        <v/>
      </c>
      <c r="AE210" s="96" t="str">
        <f t="shared" si="84"/>
        <v/>
      </c>
      <c r="AF210" s="124" t="str">
        <f t="shared" si="85"/>
        <v/>
      </c>
      <c r="AG210" s="2"/>
      <c r="AH210" s="2"/>
      <c r="AI210" s="2"/>
      <c r="AJ210" s="2"/>
      <c r="AK210" s="2"/>
      <c r="AL210" s="2"/>
    </row>
    <row r="211" spans="1:38" x14ac:dyDescent="0.2">
      <c r="A211" s="45"/>
      <c r="B211" s="43" t="str">
        <f t="shared" si="88"/>
        <v/>
      </c>
      <c r="C211" s="96" t="str">
        <f t="shared" si="87"/>
        <v/>
      </c>
      <c r="D211" s="44" t="str">
        <f t="shared" si="89"/>
        <v/>
      </c>
      <c r="E211" s="52"/>
      <c r="F211" s="63" t="str">
        <f t="shared" si="90"/>
        <v/>
      </c>
      <c r="G211" s="56" t="str">
        <f t="shared" si="91"/>
        <v/>
      </c>
      <c r="H211" s="42"/>
      <c r="I211" s="2" t="str">
        <f t="shared" si="92"/>
        <v/>
      </c>
      <c r="J211" s="54" t="str">
        <f t="shared" si="79"/>
        <v/>
      </c>
      <c r="K211" s="55" t="str">
        <f t="shared" si="93"/>
        <v/>
      </c>
      <c r="L211" s="63" t="str">
        <f t="shared" si="94"/>
        <v/>
      </c>
      <c r="M211" s="96" t="str">
        <f t="shared" si="80"/>
        <v/>
      </c>
      <c r="N211" s="96" t="str">
        <f>IF(A211="","",IF(A211=Expiry,0,EXP(-q*Q211)*_xlfn.NORM.S.DIST(Y211,0)/(sigma*SQRT(Q211))*I211*Mult/100))</f>
        <v/>
      </c>
      <c r="O211" s="96" t="str">
        <f>IF(A211="","",IF(A211=Expiry,0,D211*E211*E211*EXP(-q*Q211)*_xlfn.NORM.S.DIST(Y211,0)*SQRT(Q211)/100))</f>
        <v/>
      </c>
      <c r="P211" s="69" t="str">
        <f>IF(A211="","",IF(A211=Expiry,0,AK211*I211*Mult*((-EXP(-q*Q211)*E211*_xlfn.NORM.S.DIST(Y211,0)*sigma/(2*SQRT(Q211))-r_dom*K*EXP(-r_dom*Q211)*_xlfn.NORM.S.DIST(Z211,1)+q*E211*EXP(-q*Q211)*_xlfn.NORM.S.DIST(Y211,1))/365)))</f>
        <v/>
      </c>
      <c r="Q211" s="83" t="str">
        <f t="shared" si="95"/>
        <v/>
      </c>
      <c r="R211" s="38"/>
      <c r="S211" s="68" t="str">
        <f t="shared" si="96"/>
        <v/>
      </c>
      <c r="T211" s="69" t="str">
        <f t="shared" si="97"/>
        <v/>
      </c>
      <c r="U211" s="70" t="str">
        <f t="shared" si="98"/>
        <v/>
      </c>
      <c r="V211" s="72" t="str">
        <f t="shared" si="99"/>
        <v/>
      </c>
      <c r="W211" s="2" t="str">
        <f t="shared" si="86"/>
        <v/>
      </c>
      <c r="X211" s="2" t="str">
        <f t="shared" si="81"/>
        <v/>
      </c>
      <c r="Y211" s="35" t="str">
        <f t="shared" ca="1" si="100"/>
        <v/>
      </c>
      <c r="Z211" s="36" t="str">
        <f t="shared" ca="1" si="101"/>
        <v/>
      </c>
      <c r="AA211" s="70" t="str">
        <f t="shared" si="102"/>
        <v/>
      </c>
      <c r="AB211" s="2"/>
      <c r="AC211" s="94" t="str">
        <f t="shared" si="82"/>
        <v/>
      </c>
      <c r="AD211" s="95" t="str">
        <f t="shared" si="83"/>
        <v/>
      </c>
      <c r="AE211" s="96" t="str">
        <f t="shared" si="84"/>
        <v/>
      </c>
      <c r="AF211" s="124" t="str">
        <f t="shared" si="85"/>
        <v/>
      </c>
      <c r="AG211" s="2"/>
      <c r="AH211" s="2"/>
      <c r="AI211" s="2"/>
      <c r="AJ211" s="2"/>
      <c r="AK211" s="2"/>
      <c r="AL211" s="2"/>
    </row>
    <row r="212" spans="1:38" x14ac:dyDescent="0.2">
      <c r="A212" s="45"/>
      <c r="B212" s="43" t="str">
        <f t="shared" si="88"/>
        <v/>
      </c>
      <c r="C212" s="96" t="str">
        <f t="shared" si="87"/>
        <v/>
      </c>
      <c r="D212" s="44" t="str">
        <f t="shared" si="89"/>
        <v/>
      </c>
      <c r="E212" s="52"/>
      <c r="F212" s="63" t="str">
        <f t="shared" si="90"/>
        <v/>
      </c>
      <c r="G212" s="56" t="str">
        <f t="shared" si="91"/>
        <v/>
      </c>
      <c r="H212" s="42"/>
      <c r="I212" s="2" t="str">
        <f t="shared" si="92"/>
        <v/>
      </c>
      <c r="J212" s="54" t="str">
        <f t="shared" si="79"/>
        <v/>
      </c>
      <c r="K212" s="55" t="str">
        <f t="shared" si="93"/>
        <v/>
      </c>
      <c r="L212" s="63" t="str">
        <f t="shared" si="94"/>
        <v/>
      </c>
      <c r="M212" s="96" t="str">
        <f t="shared" si="80"/>
        <v/>
      </c>
      <c r="N212" s="96" t="str">
        <f>IF(A212="","",IF(A212=Expiry,0,EXP(-q*Q212)*_xlfn.NORM.S.DIST(Y212,0)/(sigma*SQRT(Q212))*I212*Mult/100))</f>
        <v/>
      </c>
      <c r="O212" s="96" t="str">
        <f>IF(A212="","",IF(A212=Expiry,0,D212*E212*E212*EXP(-q*Q212)*_xlfn.NORM.S.DIST(Y212,0)*SQRT(Q212)/100))</f>
        <v/>
      </c>
      <c r="P212" s="69" t="str">
        <f>IF(A212="","",IF(A212=Expiry,0,AK212*I212*Mult*((-EXP(-q*Q212)*E212*_xlfn.NORM.S.DIST(Y212,0)*sigma/(2*SQRT(Q212))-r_dom*K*EXP(-r_dom*Q212)*_xlfn.NORM.S.DIST(Z212,1)+q*E212*EXP(-q*Q212)*_xlfn.NORM.S.DIST(Y212,1))/365)))</f>
        <v/>
      </c>
      <c r="Q212" s="83" t="str">
        <f t="shared" si="95"/>
        <v/>
      </c>
      <c r="R212" s="38"/>
      <c r="S212" s="68" t="str">
        <f t="shared" si="96"/>
        <v/>
      </c>
      <c r="T212" s="69" t="str">
        <f t="shared" si="97"/>
        <v/>
      </c>
      <c r="U212" s="70" t="str">
        <f t="shared" si="98"/>
        <v/>
      </c>
      <c r="V212" s="72" t="str">
        <f t="shared" si="99"/>
        <v/>
      </c>
      <c r="W212" s="2" t="str">
        <f t="shared" si="86"/>
        <v/>
      </c>
      <c r="X212" s="2" t="str">
        <f t="shared" si="81"/>
        <v/>
      </c>
      <c r="Y212" s="35" t="str">
        <f t="shared" ca="1" si="100"/>
        <v/>
      </c>
      <c r="Z212" s="36" t="str">
        <f t="shared" ca="1" si="101"/>
        <v/>
      </c>
      <c r="AA212" s="70" t="str">
        <f t="shared" si="102"/>
        <v/>
      </c>
      <c r="AB212" s="2"/>
      <c r="AC212" s="94" t="str">
        <f t="shared" si="82"/>
        <v/>
      </c>
      <c r="AD212" s="95" t="str">
        <f t="shared" si="83"/>
        <v/>
      </c>
      <c r="AE212" s="96" t="str">
        <f t="shared" si="84"/>
        <v/>
      </c>
      <c r="AF212" s="124" t="str">
        <f t="shared" si="85"/>
        <v/>
      </c>
      <c r="AG212" s="2"/>
      <c r="AH212" s="2"/>
      <c r="AI212" s="2"/>
      <c r="AJ212" s="2"/>
      <c r="AK212" s="2"/>
      <c r="AL212" s="2"/>
    </row>
    <row r="213" spans="1:38" x14ac:dyDescent="0.2">
      <c r="A213" s="45"/>
      <c r="B213" s="43" t="str">
        <f t="shared" si="88"/>
        <v/>
      </c>
      <c r="C213" s="96" t="str">
        <f t="shared" si="87"/>
        <v/>
      </c>
      <c r="D213" s="44" t="str">
        <f t="shared" si="89"/>
        <v/>
      </c>
      <c r="E213" s="52"/>
      <c r="F213" s="63" t="str">
        <f t="shared" si="90"/>
        <v/>
      </c>
      <c r="G213" s="56" t="str">
        <f t="shared" si="91"/>
        <v/>
      </c>
      <c r="H213" s="42"/>
      <c r="I213" s="2" t="str">
        <f t="shared" si="92"/>
        <v/>
      </c>
      <c r="J213" s="54" t="str">
        <f t="shared" si="79"/>
        <v/>
      </c>
      <c r="K213" s="55" t="str">
        <f t="shared" si="93"/>
        <v/>
      </c>
      <c r="L213" s="63" t="str">
        <f t="shared" si="94"/>
        <v/>
      </c>
      <c r="M213" s="96" t="str">
        <f t="shared" si="80"/>
        <v/>
      </c>
      <c r="N213" s="96" t="str">
        <f>IF(A213="","",IF(A213=Expiry,0,EXP(-q*Q213)*_xlfn.NORM.S.DIST(Y213,0)/(sigma*SQRT(Q213))*I213*Mult/100))</f>
        <v/>
      </c>
      <c r="O213" s="96" t="str">
        <f>IF(A213="","",IF(A213=Expiry,0,D213*E213*E213*EXP(-q*Q213)*_xlfn.NORM.S.DIST(Y213,0)*SQRT(Q213)/100))</f>
        <v/>
      </c>
      <c r="P213" s="69" t="str">
        <f>IF(A213="","",IF(A213=Expiry,0,AK213*I213*Mult*((-EXP(-q*Q213)*E213*_xlfn.NORM.S.DIST(Y213,0)*sigma/(2*SQRT(Q213))-r_dom*K*EXP(-r_dom*Q213)*_xlfn.NORM.S.DIST(Z213,1)+q*E213*EXP(-q*Q213)*_xlfn.NORM.S.DIST(Y213,1))/365)))</f>
        <v/>
      </c>
      <c r="Q213" s="83" t="str">
        <f t="shared" si="95"/>
        <v/>
      </c>
      <c r="R213" s="38"/>
      <c r="S213" s="68" t="str">
        <f t="shared" si="96"/>
        <v/>
      </c>
      <c r="T213" s="69" t="str">
        <f t="shared" si="97"/>
        <v/>
      </c>
      <c r="U213" s="70" t="str">
        <f t="shared" si="98"/>
        <v/>
      </c>
      <c r="V213" s="72" t="str">
        <f t="shared" si="99"/>
        <v/>
      </c>
      <c r="W213" s="2" t="str">
        <f t="shared" si="86"/>
        <v/>
      </c>
      <c r="X213" s="2" t="str">
        <f t="shared" si="81"/>
        <v/>
      </c>
      <c r="Y213" s="35" t="str">
        <f t="shared" ca="1" si="100"/>
        <v/>
      </c>
      <c r="Z213" s="36" t="str">
        <f t="shared" ca="1" si="101"/>
        <v/>
      </c>
      <c r="AA213" s="70" t="str">
        <f t="shared" si="102"/>
        <v/>
      </c>
      <c r="AB213" s="2"/>
      <c r="AC213" s="94" t="str">
        <f t="shared" si="82"/>
        <v/>
      </c>
      <c r="AD213" s="95" t="str">
        <f t="shared" si="83"/>
        <v/>
      </c>
      <c r="AE213" s="96" t="str">
        <f t="shared" si="84"/>
        <v/>
      </c>
      <c r="AF213" s="124" t="str">
        <f t="shared" si="85"/>
        <v/>
      </c>
      <c r="AG213" s="2"/>
      <c r="AH213" s="2"/>
      <c r="AI213" s="2"/>
      <c r="AJ213" s="2"/>
      <c r="AK213" s="2"/>
      <c r="AL213" s="2"/>
    </row>
    <row r="214" spans="1:38" x14ac:dyDescent="0.2">
      <c r="A214" s="45"/>
      <c r="B214" s="43" t="str">
        <f t="shared" si="88"/>
        <v/>
      </c>
      <c r="C214" s="96" t="str">
        <f t="shared" si="87"/>
        <v/>
      </c>
      <c r="D214" s="44" t="str">
        <f t="shared" si="89"/>
        <v/>
      </c>
      <c r="E214" s="52"/>
      <c r="F214" s="63" t="str">
        <f t="shared" si="90"/>
        <v/>
      </c>
      <c r="G214" s="56" t="str">
        <f t="shared" si="91"/>
        <v/>
      </c>
      <c r="H214" s="42"/>
      <c r="I214" s="2" t="str">
        <f t="shared" si="92"/>
        <v/>
      </c>
      <c r="J214" s="54" t="str">
        <f t="shared" si="79"/>
        <v/>
      </c>
      <c r="K214" s="55" t="str">
        <f t="shared" si="93"/>
        <v/>
      </c>
      <c r="L214" s="63" t="str">
        <f t="shared" si="94"/>
        <v/>
      </c>
      <c r="M214" s="96" t="str">
        <f t="shared" si="80"/>
        <v/>
      </c>
      <c r="N214" s="96" t="str">
        <f>IF(A214="","",IF(A214=Expiry,0,EXP(-q*Q214)*_xlfn.NORM.S.DIST(Y214,0)/(sigma*SQRT(Q214))*I214*Mult/100))</f>
        <v/>
      </c>
      <c r="O214" s="96" t="str">
        <f>IF(A214="","",IF(A214=Expiry,0,D214*E214*E214*EXP(-q*Q214)*_xlfn.NORM.S.DIST(Y214,0)*SQRT(Q214)/100))</f>
        <v/>
      </c>
      <c r="P214" s="69" t="str">
        <f>IF(A214="","",IF(A214=Expiry,0,AK214*I214*Mult*((-EXP(-q*Q214)*E214*_xlfn.NORM.S.DIST(Y214,0)*sigma/(2*SQRT(Q214))-r_dom*K*EXP(-r_dom*Q214)*_xlfn.NORM.S.DIST(Z214,1)+q*E214*EXP(-q*Q214)*_xlfn.NORM.S.DIST(Y214,1))/365)))</f>
        <v/>
      </c>
      <c r="Q214" s="83" t="str">
        <f t="shared" si="95"/>
        <v/>
      </c>
      <c r="R214" s="38"/>
      <c r="S214" s="68" t="str">
        <f t="shared" si="96"/>
        <v/>
      </c>
      <c r="T214" s="69" t="str">
        <f t="shared" si="97"/>
        <v/>
      </c>
      <c r="U214" s="70" t="str">
        <f t="shared" si="98"/>
        <v/>
      </c>
      <c r="V214" s="72" t="str">
        <f t="shared" si="99"/>
        <v/>
      </c>
      <c r="W214" s="2" t="str">
        <f t="shared" si="86"/>
        <v/>
      </c>
      <c r="X214" s="2" t="str">
        <f t="shared" si="81"/>
        <v/>
      </c>
      <c r="Y214" s="35" t="str">
        <f t="shared" ca="1" si="100"/>
        <v/>
      </c>
      <c r="Z214" s="36" t="str">
        <f t="shared" ca="1" si="101"/>
        <v/>
      </c>
      <c r="AA214" s="70" t="str">
        <f t="shared" si="102"/>
        <v/>
      </c>
      <c r="AB214" s="2"/>
      <c r="AC214" s="94" t="str">
        <f t="shared" si="82"/>
        <v/>
      </c>
      <c r="AD214" s="95" t="str">
        <f t="shared" si="83"/>
        <v/>
      </c>
      <c r="AE214" s="96" t="str">
        <f t="shared" si="84"/>
        <v/>
      </c>
      <c r="AF214" s="124" t="str">
        <f t="shared" si="85"/>
        <v/>
      </c>
      <c r="AG214" s="2"/>
      <c r="AH214" s="2"/>
      <c r="AI214" s="2"/>
      <c r="AJ214" s="2"/>
      <c r="AK214" s="2"/>
      <c r="AL214" s="2"/>
    </row>
    <row r="215" spans="1:38" x14ac:dyDescent="0.2">
      <c r="A215" s="45"/>
      <c r="B215" s="43" t="str">
        <f t="shared" si="88"/>
        <v/>
      </c>
      <c r="C215" s="96" t="str">
        <f t="shared" si="87"/>
        <v/>
      </c>
      <c r="D215" s="44" t="str">
        <f t="shared" si="89"/>
        <v/>
      </c>
      <c r="E215" s="52"/>
      <c r="F215" s="63" t="str">
        <f t="shared" si="90"/>
        <v/>
      </c>
      <c r="G215" s="56" t="str">
        <f t="shared" si="91"/>
        <v/>
      </c>
      <c r="H215" s="42"/>
      <c r="I215" s="2" t="str">
        <f t="shared" si="92"/>
        <v/>
      </c>
      <c r="J215" s="54" t="str">
        <f t="shared" si="79"/>
        <v/>
      </c>
      <c r="K215" s="55" t="str">
        <f t="shared" si="93"/>
        <v/>
      </c>
      <c r="L215" s="63" t="str">
        <f t="shared" si="94"/>
        <v/>
      </c>
      <c r="M215" s="96" t="str">
        <f t="shared" si="80"/>
        <v/>
      </c>
      <c r="N215" s="96" t="str">
        <f>IF(A215="","",IF(A215=Expiry,0,EXP(-q*Q215)*_xlfn.NORM.S.DIST(Y215,0)/(sigma*SQRT(Q215))*I215*Mult/100))</f>
        <v/>
      </c>
      <c r="O215" s="96" t="str">
        <f>IF(A215="","",IF(A215=Expiry,0,D215*E215*E215*EXP(-q*Q215)*_xlfn.NORM.S.DIST(Y215,0)*SQRT(Q215)/100))</f>
        <v/>
      </c>
      <c r="P215" s="69" t="str">
        <f>IF(A215="","",IF(A215=Expiry,0,AK215*I215*Mult*((-EXP(-q*Q215)*E215*_xlfn.NORM.S.DIST(Y215,0)*sigma/(2*SQRT(Q215))-r_dom*K*EXP(-r_dom*Q215)*_xlfn.NORM.S.DIST(Z215,1)+q*E215*EXP(-q*Q215)*_xlfn.NORM.S.DIST(Y215,1))/365)))</f>
        <v/>
      </c>
      <c r="Q215" s="83" t="str">
        <f t="shared" si="95"/>
        <v/>
      </c>
      <c r="R215" s="38"/>
      <c r="S215" s="68" t="str">
        <f t="shared" si="96"/>
        <v/>
      </c>
      <c r="T215" s="69" t="str">
        <f t="shared" si="97"/>
        <v/>
      </c>
      <c r="U215" s="70" t="str">
        <f t="shared" si="98"/>
        <v/>
      </c>
      <c r="V215" s="72" t="str">
        <f t="shared" si="99"/>
        <v/>
      </c>
      <c r="W215" s="2" t="str">
        <f t="shared" si="86"/>
        <v/>
      </c>
      <c r="X215" s="2" t="str">
        <f t="shared" si="81"/>
        <v/>
      </c>
      <c r="Y215" s="35" t="str">
        <f t="shared" ca="1" si="100"/>
        <v/>
      </c>
      <c r="Z215" s="36" t="str">
        <f t="shared" ca="1" si="101"/>
        <v/>
      </c>
      <c r="AA215" s="70" t="str">
        <f t="shared" si="102"/>
        <v/>
      </c>
      <c r="AB215" s="2"/>
      <c r="AC215" s="94" t="str">
        <f t="shared" si="82"/>
        <v/>
      </c>
      <c r="AD215" s="95" t="str">
        <f t="shared" si="83"/>
        <v/>
      </c>
      <c r="AE215" s="96" t="str">
        <f t="shared" si="84"/>
        <v/>
      </c>
      <c r="AF215" s="124" t="str">
        <f t="shared" si="85"/>
        <v/>
      </c>
      <c r="AG215" s="2"/>
      <c r="AH215" s="2"/>
      <c r="AI215" s="2"/>
      <c r="AJ215" s="2"/>
      <c r="AK215" s="2"/>
      <c r="AL215" s="2"/>
    </row>
    <row r="216" spans="1:38" x14ac:dyDescent="0.2">
      <c r="A216" s="45"/>
      <c r="B216" s="43" t="str">
        <f t="shared" si="88"/>
        <v/>
      </c>
      <c r="C216" s="96" t="str">
        <f t="shared" si="87"/>
        <v/>
      </c>
      <c r="D216" s="44" t="str">
        <f t="shared" si="89"/>
        <v/>
      </c>
      <c r="E216" s="52"/>
      <c r="F216" s="63" t="str">
        <f t="shared" si="90"/>
        <v/>
      </c>
      <c r="G216" s="56" t="str">
        <f t="shared" si="91"/>
        <v/>
      </c>
      <c r="H216" s="42"/>
      <c r="I216" s="2" t="str">
        <f t="shared" si="92"/>
        <v/>
      </c>
      <c r="J216" s="54" t="str">
        <f t="shared" si="79"/>
        <v/>
      </c>
      <c r="K216" s="55" t="str">
        <f t="shared" si="93"/>
        <v/>
      </c>
      <c r="L216" s="63" t="str">
        <f t="shared" si="94"/>
        <v/>
      </c>
      <c r="M216" s="96" t="str">
        <f t="shared" si="80"/>
        <v/>
      </c>
      <c r="N216" s="96" t="str">
        <f>IF(A216="","",IF(A216=Expiry,0,EXP(-q*Q216)*_xlfn.NORM.S.DIST(Y216,0)/(sigma*SQRT(Q216))*I216*Mult/100))</f>
        <v/>
      </c>
      <c r="O216" s="96" t="str">
        <f>IF(A216="","",IF(A216=Expiry,0,D216*E216*E216*EXP(-q*Q216)*_xlfn.NORM.S.DIST(Y216,0)*SQRT(Q216)/100))</f>
        <v/>
      </c>
      <c r="P216" s="69" t="str">
        <f>IF(A216="","",IF(A216=Expiry,0,AK216*I216*Mult*((-EXP(-q*Q216)*E216*_xlfn.NORM.S.DIST(Y216,0)*sigma/(2*SQRT(Q216))-r_dom*K*EXP(-r_dom*Q216)*_xlfn.NORM.S.DIST(Z216,1)+q*E216*EXP(-q*Q216)*_xlfn.NORM.S.DIST(Y216,1))/365)))</f>
        <v/>
      </c>
      <c r="Q216" s="83" t="str">
        <f t="shared" si="95"/>
        <v/>
      </c>
      <c r="R216" s="38"/>
      <c r="S216" s="68" t="str">
        <f t="shared" si="96"/>
        <v/>
      </c>
      <c r="T216" s="69" t="str">
        <f t="shared" si="97"/>
        <v/>
      </c>
      <c r="U216" s="70" t="str">
        <f t="shared" si="98"/>
        <v/>
      </c>
      <c r="V216" s="72" t="str">
        <f t="shared" si="99"/>
        <v/>
      </c>
      <c r="W216" s="2" t="str">
        <f t="shared" si="86"/>
        <v/>
      </c>
      <c r="X216" s="2" t="str">
        <f t="shared" si="81"/>
        <v/>
      </c>
      <c r="Y216" s="35" t="str">
        <f t="shared" ca="1" si="100"/>
        <v/>
      </c>
      <c r="Z216" s="36" t="str">
        <f t="shared" ca="1" si="101"/>
        <v/>
      </c>
      <c r="AA216" s="70" t="str">
        <f t="shared" si="102"/>
        <v/>
      </c>
      <c r="AB216" s="2"/>
      <c r="AC216" s="94" t="str">
        <f t="shared" si="82"/>
        <v/>
      </c>
      <c r="AD216" s="95" t="str">
        <f t="shared" si="83"/>
        <v/>
      </c>
      <c r="AE216" s="96" t="str">
        <f t="shared" si="84"/>
        <v/>
      </c>
      <c r="AF216" s="124" t="str">
        <f t="shared" si="85"/>
        <v/>
      </c>
      <c r="AG216" s="2"/>
      <c r="AH216" s="2"/>
      <c r="AI216" s="2"/>
      <c r="AJ216" s="2"/>
      <c r="AK216" s="2"/>
      <c r="AL216" s="2"/>
    </row>
    <row r="217" spans="1:38" x14ac:dyDescent="0.2">
      <c r="A217" s="45"/>
      <c r="B217" s="43" t="str">
        <f t="shared" si="88"/>
        <v/>
      </c>
      <c r="C217" s="96" t="str">
        <f t="shared" si="87"/>
        <v/>
      </c>
      <c r="D217" s="44" t="str">
        <f t="shared" si="89"/>
        <v/>
      </c>
      <c r="E217" s="52"/>
      <c r="F217" s="63" t="str">
        <f t="shared" si="90"/>
        <v/>
      </c>
      <c r="G217" s="56" t="str">
        <f t="shared" si="91"/>
        <v/>
      </c>
      <c r="H217" s="42"/>
      <c r="I217" s="2" t="str">
        <f t="shared" si="92"/>
        <v/>
      </c>
      <c r="J217" s="54" t="str">
        <f t="shared" si="79"/>
        <v/>
      </c>
      <c r="K217" s="55" t="str">
        <f t="shared" si="93"/>
        <v/>
      </c>
      <c r="L217" s="63" t="str">
        <f t="shared" si="94"/>
        <v/>
      </c>
      <c r="M217" s="96" t="str">
        <f t="shared" si="80"/>
        <v/>
      </c>
      <c r="N217" s="96" t="str">
        <f>IF(A217="","",IF(A217=Expiry,0,EXP(-q*Q217)*_xlfn.NORM.S.DIST(Y217,0)/(sigma*SQRT(Q217))*I217*Mult/100))</f>
        <v/>
      </c>
      <c r="O217" s="96" t="str">
        <f>IF(A217="","",IF(A217=Expiry,0,D217*E217*E217*EXP(-q*Q217)*_xlfn.NORM.S.DIST(Y217,0)*SQRT(Q217)/100))</f>
        <v/>
      </c>
      <c r="P217" s="69" t="str">
        <f>IF(A217="","",IF(A217=Expiry,0,AK217*I217*Mult*((-EXP(-q*Q217)*E217*_xlfn.NORM.S.DIST(Y217,0)*sigma/(2*SQRT(Q217))-r_dom*K*EXP(-r_dom*Q217)*_xlfn.NORM.S.DIST(Z217,1)+q*E217*EXP(-q*Q217)*_xlfn.NORM.S.DIST(Y217,1))/365)))</f>
        <v/>
      </c>
      <c r="Q217" s="83" t="str">
        <f t="shared" si="95"/>
        <v/>
      </c>
      <c r="R217" s="38"/>
      <c r="S217" s="68" t="str">
        <f t="shared" si="96"/>
        <v/>
      </c>
      <c r="T217" s="69" t="str">
        <f t="shared" si="97"/>
        <v/>
      </c>
      <c r="U217" s="70" t="str">
        <f t="shared" si="98"/>
        <v/>
      </c>
      <c r="V217" s="72" t="str">
        <f t="shared" si="99"/>
        <v/>
      </c>
      <c r="W217" s="2" t="str">
        <f t="shared" si="86"/>
        <v/>
      </c>
      <c r="X217" s="2" t="str">
        <f t="shared" si="81"/>
        <v/>
      </c>
      <c r="Y217" s="35" t="str">
        <f t="shared" ca="1" si="100"/>
        <v/>
      </c>
      <c r="Z217" s="36" t="str">
        <f t="shared" ca="1" si="101"/>
        <v/>
      </c>
      <c r="AA217" s="70" t="str">
        <f t="shared" si="102"/>
        <v/>
      </c>
      <c r="AB217" s="2"/>
      <c r="AC217" s="94" t="str">
        <f t="shared" si="82"/>
        <v/>
      </c>
      <c r="AD217" s="95" t="str">
        <f t="shared" si="83"/>
        <v/>
      </c>
      <c r="AE217" s="96" t="str">
        <f t="shared" si="84"/>
        <v/>
      </c>
      <c r="AF217" s="124" t="str">
        <f t="shared" si="85"/>
        <v/>
      </c>
      <c r="AG217" s="2"/>
      <c r="AH217" s="2"/>
      <c r="AI217" s="2"/>
      <c r="AJ217" s="2"/>
      <c r="AK217" s="2"/>
      <c r="AL217" s="2"/>
    </row>
    <row r="218" spans="1:38" x14ac:dyDescent="0.2">
      <c r="A218" s="45"/>
      <c r="B218" s="43" t="str">
        <f t="shared" si="88"/>
        <v/>
      </c>
      <c r="C218" s="96" t="str">
        <f t="shared" si="87"/>
        <v/>
      </c>
      <c r="D218" s="44" t="str">
        <f t="shared" si="89"/>
        <v/>
      </c>
      <c r="E218" s="52"/>
      <c r="F218" s="63" t="str">
        <f t="shared" si="90"/>
        <v/>
      </c>
      <c r="G218" s="56" t="str">
        <f t="shared" si="91"/>
        <v/>
      </c>
      <c r="H218" s="42"/>
      <c r="I218" s="2" t="str">
        <f t="shared" si="92"/>
        <v/>
      </c>
      <c r="J218" s="54" t="str">
        <f t="shared" si="79"/>
        <v/>
      </c>
      <c r="K218" s="55" t="str">
        <f t="shared" si="93"/>
        <v/>
      </c>
      <c r="L218" s="63" t="str">
        <f t="shared" si="94"/>
        <v/>
      </c>
      <c r="M218" s="96" t="str">
        <f t="shared" si="80"/>
        <v/>
      </c>
      <c r="N218" s="96" t="str">
        <f>IF(A218="","",IF(A218=Expiry,0,EXP(-q*Q218)*_xlfn.NORM.S.DIST(Y218,0)/(sigma*SQRT(Q218))*I218*Mult/100))</f>
        <v/>
      </c>
      <c r="O218" s="96" t="str">
        <f>IF(A218="","",IF(A218=Expiry,0,D218*E218*E218*EXP(-q*Q218)*_xlfn.NORM.S.DIST(Y218,0)*SQRT(Q218)/100))</f>
        <v/>
      </c>
      <c r="P218" s="69" t="str">
        <f>IF(A218="","",IF(A218=Expiry,0,AK218*I218*Mult*((-EXP(-q*Q218)*E218*_xlfn.NORM.S.DIST(Y218,0)*sigma/(2*SQRT(Q218))-r_dom*K*EXP(-r_dom*Q218)*_xlfn.NORM.S.DIST(Z218,1)+q*E218*EXP(-q*Q218)*_xlfn.NORM.S.DIST(Y218,1))/365)))</f>
        <v/>
      </c>
      <c r="Q218" s="83" t="str">
        <f t="shared" si="95"/>
        <v/>
      </c>
      <c r="R218" s="38"/>
      <c r="S218" s="68" t="str">
        <f t="shared" si="96"/>
        <v/>
      </c>
      <c r="T218" s="69" t="str">
        <f t="shared" si="97"/>
        <v/>
      </c>
      <c r="U218" s="70" t="str">
        <f t="shared" si="98"/>
        <v/>
      </c>
      <c r="V218" s="72" t="str">
        <f t="shared" si="99"/>
        <v/>
      </c>
      <c r="W218" s="2" t="str">
        <f t="shared" si="86"/>
        <v/>
      </c>
      <c r="X218" s="2" t="str">
        <f t="shared" si="81"/>
        <v/>
      </c>
      <c r="Y218" s="35" t="str">
        <f t="shared" ca="1" si="100"/>
        <v/>
      </c>
      <c r="Z218" s="36" t="str">
        <f t="shared" ca="1" si="101"/>
        <v/>
      </c>
      <c r="AA218" s="70" t="str">
        <f t="shared" si="102"/>
        <v/>
      </c>
      <c r="AB218" s="2"/>
      <c r="AC218" s="94" t="str">
        <f t="shared" si="82"/>
        <v/>
      </c>
      <c r="AD218" s="95" t="str">
        <f t="shared" si="83"/>
        <v/>
      </c>
      <c r="AE218" s="96" t="str">
        <f t="shared" si="84"/>
        <v/>
      </c>
      <c r="AF218" s="124" t="str">
        <f t="shared" si="85"/>
        <v/>
      </c>
      <c r="AG218" s="2"/>
      <c r="AH218" s="2"/>
      <c r="AI218" s="2"/>
      <c r="AJ218" s="2"/>
      <c r="AK218" s="2"/>
      <c r="AL218" s="2"/>
    </row>
    <row r="219" spans="1:38" x14ac:dyDescent="0.2">
      <c r="A219" s="45"/>
      <c r="B219" s="43" t="str">
        <f t="shared" si="88"/>
        <v/>
      </c>
      <c r="C219" s="96" t="str">
        <f t="shared" si="87"/>
        <v/>
      </c>
      <c r="D219" s="44" t="str">
        <f t="shared" si="89"/>
        <v/>
      </c>
      <c r="E219" s="52"/>
      <c r="F219" s="63" t="str">
        <f t="shared" si="90"/>
        <v/>
      </c>
      <c r="G219" s="56" t="str">
        <f t="shared" si="91"/>
        <v/>
      </c>
      <c r="H219" s="42"/>
      <c r="I219" s="2" t="str">
        <f t="shared" si="92"/>
        <v/>
      </c>
      <c r="J219" s="54" t="str">
        <f t="shared" si="79"/>
        <v/>
      </c>
      <c r="K219" s="55" t="str">
        <f t="shared" si="93"/>
        <v/>
      </c>
      <c r="L219" s="63" t="str">
        <f t="shared" si="94"/>
        <v/>
      </c>
      <c r="M219" s="96" t="str">
        <f t="shared" si="80"/>
        <v/>
      </c>
      <c r="N219" s="96" t="str">
        <f>IF(A219="","",IF(A219=Expiry,0,EXP(-q*Q219)*_xlfn.NORM.S.DIST(Y219,0)/(sigma*SQRT(Q219))*I219*Mult/100))</f>
        <v/>
      </c>
      <c r="O219" s="96" t="str">
        <f>IF(A219="","",IF(A219=Expiry,0,D219*E219*E219*EXP(-q*Q219)*_xlfn.NORM.S.DIST(Y219,0)*SQRT(Q219)/100))</f>
        <v/>
      </c>
      <c r="P219" s="69" t="str">
        <f>IF(A219="","",IF(A219=Expiry,0,AK219*I219*Mult*((-EXP(-q*Q219)*E219*_xlfn.NORM.S.DIST(Y219,0)*sigma/(2*SQRT(Q219))-r_dom*K*EXP(-r_dom*Q219)*_xlfn.NORM.S.DIST(Z219,1)+q*E219*EXP(-q*Q219)*_xlfn.NORM.S.DIST(Y219,1))/365)))</f>
        <v/>
      </c>
      <c r="Q219" s="83" t="str">
        <f t="shared" si="95"/>
        <v/>
      </c>
      <c r="R219" s="38"/>
      <c r="S219" s="68" t="str">
        <f t="shared" si="96"/>
        <v/>
      </c>
      <c r="T219" s="69" t="str">
        <f t="shared" si="97"/>
        <v/>
      </c>
      <c r="U219" s="70" t="str">
        <f t="shared" si="98"/>
        <v/>
      </c>
      <c r="V219" s="72" t="str">
        <f t="shared" si="99"/>
        <v/>
      </c>
      <c r="W219" s="2" t="str">
        <f t="shared" si="86"/>
        <v/>
      </c>
      <c r="X219" s="2" t="str">
        <f t="shared" si="81"/>
        <v/>
      </c>
      <c r="Y219" s="35" t="str">
        <f t="shared" ca="1" si="100"/>
        <v/>
      </c>
      <c r="Z219" s="36" t="str">
        <f t="shared" ca="1" si="101"/>
        <v/>
      </c>
      <c r="AA219" s="70" t="str">
        <f t="shared" si="102"/>
        <v/>
      </c>
      <c r="AB219" s="2"/>
      <c r="AC219" s="94" t="str">
        <f t="shared" si="82"/>
        <v/>
      </c>
      <c r="AD219" s="95" t="str">
        <f t="shared" si="83"/>
        <v/>
      </c>
      <c r="AE219" s="96" t="str">
        <f t="shared" si="84"/>
        <v/>
      </c>
      <c r="AF219" s="124" t="str">
        <f t="shared" si="85"/>
        <v/>
      </c>
      <c r="AG219" s="2"/>
      <c r="AH219" s="2"/>
      <c r="AI219" s="2"/>
      <c r="AJ219" s="2"/>
      <c r="AK219" s="2"/>
      <c r="AL219" s="2"/>
    </row>
    <row r="220" spans="1:38" x14ac:dyDescent="0.2">
      <c r="A220" s="45"/>
      <c r="B220" s="43" t="str">
        <f t="shared" si="88"/>
        <v/>
      </c>
      <c r="C220" s="96" t="str">
        <f t="shared" si="87"/>
        <v/>
      </c>
      <c r="D220" s="44" t="str">
        <f t="shared" si="89"/>
        <v/>
      </c>
      <c r="E220" s="52"/>
      <c r="F220" s="63" t="str">
        <f t="shared" si="90"/>
        <v/>
      </c>
      <c r="G220" s="56" t="str">
        <f t="shared" si="91"/>
        <v/>
      </c>
      <c r="H220" s="42"/>
      <c r="I220" s="2" t="str">
        <f t="shared" si="92"/>
        <v/>
      </c>
      <c r="J220" s="54" t="str">
        <f t="shared" si="79"/>
        <v/>
      </c>
      <c r="K220" s="55" t="str">
        <f t="shared" si="93"/>
        <v/>
      </c>
      <c r="L220" s="63" t="str">
        <f t="shared" si="94"/>
        <v/>
      </c>
      <c r="M220" s="96" t="str">
        <f t="shared" si="80"/>
        <v/>
      </c>
      <c r="N220" s="96" t="str">
        <f>IF(A220="","",IF(A220=Expiry,0,EXP(-q*Q220)*_xlfn.NORM.S.DIST(Y220,0)/(sigma*SQRT(Q220))*I220*Mult/100))</f>
        <v/>
      </c>
      <c r="O220" s="96" t="str">
        <f>IF(A220="","",IF(A220=Expiry,0,D220*E220*E220*EXP(-q*Q220)*_xlfn.NORM.S.DIST(Y220,0)*SQRT(Q220)/100))</f>
        <v/>
      </c>
      <c r="P220" s="69" t="str">
        <f>IF(A220="","",IF(A220=Expiry,0,AK220*I220*Mult*((-EXP(-q*Q220)*E220*_xlfn.NORM.S.DIST(Y220,0)*sigma/(2*SQRT(Q220))-r_dom*K*EXP(-r_dom*Q220)*_xlfn.NORM.S.DIST(Z220,1)+q*E220*EXP(-q*Q220)*_xlfn.NORM.S.DIST(Y220,1))/365)))</f>
        <v/>
      </c>
      <c r="Q220" s="83" t="str">
        <f t="shared" si="95"/>
        <v/>
      </c>
      <c r="R220" s="38"/>
      <c r="S220" s="68" t="str">
        <f t="shared" si="96"/>
        <v/>
      </c>
      <c r="T220" s="69" t="str">
        <f t="shared" si="97"/>
        <v/>
      </c>
      <c r="U220" s="70" t="str">
        <f t="shared" si="98"/>
        <v/>
      </c>
      <c r="V220" s="72" t="str">
        <f t="shared" si="99"/>
        <v/>
      </c>
      <c r="W220" s="2" t="str">
        <f t="shared" si="86"/>
        <v/>
      </c>
      <c r="X220" s="2" t="str">
        <f t="shared" si="81"/>
        <v/>
      </c>
      <c r="Y220" s="35" t="str">
        <f t="shared" ca="1" si="100"/>
        <v/>
      </c>
      <c r="Z220" s="36" t="str">
        <f t="shared" ca="1" si="101"/>
        <v/>
      </c>
      <c r="AA220" s="70" t="str">
        <f t="shared" si="102"/>
        <v/>
      </c>
      <c r="AB220" s="2"/>
      <c r="AC220" s="94" t="str">
        <f t="shared" si="82"/>
        <v/>
      </c>
      <c r="AD220" s="95" t="str">
        <f t="shared" si="83"/>
        <v/>
      </c>
      <c r="AE220" s="96" t="str">
        <f t="shared" si="84"/>
        <v/>
      </c>
      <c r="AF220" s="124" t="str">
        <f t="shared" si="85"/>
        <v/>
      </c>
      <c r="AG220" s="2"/>
      <c r="AH220" s="2"/>
      <c r="AI220" s="2"/>
      <c r="AJ220" s="2"/>
      <c r="AK220" s="2"/>
      <c r="AL220" s="2"/>
    </row>
    <row r="221" spans="1:38" x14ac:dyDescent="0.2">
      <c r="A221" s="45"/>
      <c r="B221" s="43" t="str">
        <f t="shared" si="88"/>
        <v/>
      </c>
      <c r="C221" s="96" t="str">
        <f t="shared" si="87"/>
        <v/>
      </c>
      <c r="D221" s="44" t="str">
        <f t="shared" si="89"/>
        <v/>
      </c>
      <c r="E221" s="52"/>
      <c r="F221" s="63" t="str">
        <f t="shared" si="90"/>
        <v/>
      </c>
      <c r="G221" s="56" t="str">
        <f t="shared" si="91"/>
        <v/>
      </c>
      <c r="H221" s="42"/>
      <c r="I221" s="2" t="str">
        <f t="shared" si="92"/>
        <v/>
      </c>
      <c r="J221" s="54" t="str">
        <f t="shared" si="79"/>
        <v/>
      </c>
      <c r="K221" s="55" t="str">
        <f t="shared" si="93"/>
        <v/>
      </c>
      <c r="L221" s="63" t="str">
        <f t="shared" si="94"/>
        <v/>
      </c>
      <c r="M221" s="96" t="str">
        <f t="shared" si="80"/>
        <v/>
      </c>
      <c r="N221" s="96" t="str">
        <f>IF(A221="","",IF(A221=Expiry,0,EXP(-q*Q221)*_xlfn.NORM.S.DIST(Y221,0)/(sigma*SQRT(Q221))*I221*Mult/100))</f>
        <v/>
      </c>
      <c r="O221" s="96" t="str">
        <f>IF(A221="","",IF(A221=Expiry,0,D221*E221*E221*EXP(-q*Q221)*_xlfn.NORM.S.DIST(Y221,0)*SQRT(Q221)/100))</f>
        <v/>
      </c>
      <c r="P221" s="69" t="str">
        <f>IF(A221="","",IF(A221=Expiry,0,AK221*I221*Mult*((-EXP(-q*Q221)*E221*_xlfn.NORM.S.DIST(Y221,0)*sigma/(2*SQRT(Q221))-r_dom*K*EXP(-r_dom*Q221)*_xlfn.NORM.S.DIST(Z221,1)+q*E221*EXP(-q*Q221)*_xlfn.NORM.S.DIST(Y221,1))/365)))</f>
        <v/>
      </c>
      <c r="Q221" s="83" t="str">
        <f t="shared" si="95"/>
        <v/>
      </c>
      <c r="R221" s="38"/>
      <c r="S221" s="68" t="str">
        <f t="shared" si="96"/>
        <v/>
      </c>
      <c r="T221" s="69" t="str">
        <f t="shared" si="97"/>
        <v/>
      </c>
      <c r="U221" s="70" t="str">
        <f t="shared" si="98"/>
        <v/>
      </c>
      <c r="V221" s="72" t="str">
        <f t="shared" si="99"/>
        <v/>
      </c>
      <c r="W221" s="2" t="str">
        <f t="shared" si="86"/>
        <v/>
      </c>
      <c r="X221" s="2" t="str">
        <f t="shared" si="81"/>
        <v/>
      </c>
      <c r="Y221" s="35" t="str">
        <f t="shared" ca="1" si="100"/>
        <v/>
      </c>
      <c r="Z221" s="36" t="str">
        <f t="shared" ca="1" si="101"/>
        <v/>
      </c>
      <c r="AA221" s="70" t="str">
        <f t="shared" si="102"/>
        <v/>
      </c>
      <c r="AB221" s="2"/>
      <c r="AC221" s="94" t="str">
        <f t="shared" si="82"/>
        <v/>
      </c>
      <c r="AD221" s="95" t="str">
        <f t="shared" si="83"/>
        <v/>
      </c>
      <c r="AE221" s="96" t="str">
        <f t="shared" si="84"/>
        <v/>
      </c>
      <c r="AF221" s="124" t="str">
        <f t="shared" si="85"/>
        <v/>
      </c>
      <c r="AG221" s="2"/>
      <c r="AH221" s="2"/>
      <c r="AI221" s="2"/>
      <c r="AJ221" s="2"/>
      <c r="AK221" s="2"/>
      <c r="AL221" s="2"/>
    </row>
    <row r="222" spans="1:38" x14ac:dyDescent="0.2">
      <c r="A222" s="45"/>
      <c r="B222" s="43" t="str">
        <f t="shared" si="88"/>
        <v/>
      </c>
      <c r="C222" s="96" t="str">
        <f t="shared" si="87"/>
        <v/>
      </c>
      <c r="D222" s="44" t="str">
        <f t="shared" si="89"/>
        <v/>
      </c>
      <c r="E222" s="52"/>
      <c r="F222" s="63" t="str">
        <f t="shared" si="90"/>
        <v/>
      </c>
      <c r="G222" s="56" t="str">
        <f t="shared" si="91"/>
        <v/>
      </c>
      <c r="H222" s="42"/>
      <c r="I222" s="2" t="str">
        <f t="shared" si="92"/>
        <v/>
      </c>
      <c r="J222" s="54" t="str">
        <f t="shared" si="79"/>
        <v/>
      </c>
      <c r="K222" s="55" t="str">
        <f t="shared" si="93"/>
        <v/>
      </c>
      <c r="L222" s="63" t="str">
        <f t="shared" si="94"/>
        <v/>
      </c>
      <c r="M222" s="96" t="str">
        <f t="shared" si="80"/>
        <v/>
      </c>
      <c r="N222" s="96" t="str">
        <f>IF(A222="","",IF(A222=Expiry,0,EXP(-q*Q222)*_xlfn.NORM.S.DIST(Y222,0)/(sigma*SQRT(Q222))*I222*Mult/100))</f>
        <v/>
      </c>
      <c r="O222" s="96" t="str">
        <f>IF(A222="","",IF(A222=Expiry,0,D222*E222*E222*EXP(-q*Q222)*_xlfn.NORM.S.DIST(Y222,0)*SQRT(Q222)/100))</f>
        <v/>
      </c>
      <c r="P222" s="69" t="str">
        <f>IF(A222="","",IF(A222=Expiry,0,AK222*I222*Mult*((-EXP(-q*Q222)*E222*_xlfn.NORM.S.DIST(Y222,0)*sigma/(2*SQRT(Q222))-r_dom*K*EXP(-r_dom*Q222)*_xlfn.NORM.S.DIST(Z222,1)+q*E222*EXP(-q*Q222)*_xlfn.NORM.S.DIST(Y222,1))/365)))</f>
        <v/>
      </c>
      <c r="Q222" s="83" t="str">
        <f t="shared" si="95"/>
        <v/>
      </c>
      <c r="R222" s="38"/>
      <c r="S222" s="68" t="str">
        <f t="shared" si="96"/>
        <v/>
      </c>
      <c r="T222" s="69" t="str">
        <f t="shared" si="97"/>
        <v/>
      </c>
      <c r="U222" s="70" t="str">
        <f t="shared" si="98"/>
        <v/>
      </c>
      <c r="V222" s="72" t="str">
        <f t="shared" si="99"/>
        <v/>
      </c>
      <c r="W222" s="2" t="str">
        <f t="shared" si="86"/>
        <v/>
      </c>
      <c r="X222" s="2" t="str">
        <f t="shared" si="81"/>
        <v/>
      </c>
      <c r="Y222" s="35" t="str">
        <f t="shared" ca="1" si="100"/>
        <v/>
      </c>
      <c r="Z222" s="36" t="str">
        <f t="shared" ca="1" si="101"/>
        <v/>
      </c>
      <c r="AA222" s="70" t="str">
        <f t="shared" si="102"/>
        <v/>
      </c>
      <c r="AB222" s="2"/>
      <c r="AC222" s="94" t="str">
        <f t="shared" si="82"/>
        <v/>
      </c>
      <c r="AD222" s="95" t="str">
        <f t="shared" si="83"/>
        <v/>
      </c>
      <c r="AE222" s="96" t="str">
        <f t="shared" si="84"/>
        <v/>
      </c>
      <c r="AF222" s="124" t="str">
        <f t="shared" si="85"/>
        <v/>
      </c>
      <c r="AG222" s="2"/>
      <c r="AH222" s="2"/>
      <c r="AI222" s="2"/>
      <c r="AJ222" s="2"/>
      <c r="AK222" s="2"/>
      <c r="AL222" s="2"/>
    </row>
    <row r="223" spans="1:38" x14ac:dyDescent="0.2">
      <c r="A223" s="45"/>
      <c r="B223" s="43" t="str">
        <f t="shared" si="88"/>
        <v/>
      </c>
      <c r="C223" s="96" t="str">
        <f t="shared" si="87"/>
        <v/>
      </c>
      <c r="D223" s="44" t="str">
        <f t="shared" si="89"/>
        <v/>
      </c>
      <c r="E223" s="52"/>
      <c r="F223" s="63" t="str">
        <f t="shared" si="90"/>
        <v/>
      </c>
      <c r="G223" s="56" t="str">
        <f t="shared" si="91"/>
        <v/>
      </c>
      <c r="H223" s="42"/>
      <c r="I223" s="2" t="str">
        <f t="shared" si="92"/>
        <v/>
      </c>
      <c r="J223" s="54" t="str">
        <f t="shared" si="79"/>
        <v/>
      </c>
      <c r="K223" s="55" t="str">
        <f t="shared" si="93"/>
        <v/>
      </c>
      <c r="L223" s="63" t="str">
        <f t="shared" si="94"/>
        <v/>
      </c>
      <c r="M223" s="96" t="str">
        <f t="shared" si="80"/>
        <v/>
      </c>
      <c r="N223" s="96" t="str">
        <f>IF(A223="","",IF(A223=Expiry,0,EXP(-q*Q223)*_xlfn.NORM.S.DIST(Y223,0)/(sigma*SQRT(Q223))*I223*Mult/100))</f>
        <v/>
      </c>
      <c r="O223" s="96" t="str">
        <f>IF(A223="","",IF(A223=Expiry,0,D223*E223*E223*EXP(-q*Q223)*_xlfn.NORM.S.DIST(Y223,0)*SQRT(Q223)/100))</f>
        <v/>
      </c>
      <c r="P223" s="69" t="str">
        <f>IF(A223="","",IF(A223=Expiry,0,AK223*I223*Mult*((-EXP(-q*Q223)*E223*_xlfn.NORM.S.DIST(Y223,0)*sigma/(2*SQRT(Q223))-r_dom*K*EXP(-r_dom*Q223)*_xlfn.NORM.S.DIST(Z223,1)+q*E223*EXP(-q*Q223)*_xlfn.NORM.S.DIST(Y223,1))/365)))</f>
        <v/>
      </c>
      <c r="Q223" s="83" t="str">
        <f t="shared" si="95"/>
        <v/>
      </c>
      <c r="R223" s="38"/>
      <c r="S223" s="68" t="str">
        <f t="shared" si="96"/>
        <v/>
      </c>
      <c r="T223" s="69" t="str">
        <f t="shared" si="97"/>
        <v/>
      </c>
      <c r="U223" s="70" t="str">
        <f t="shared" si="98"/>
        <v/>
      </c>
      <c r="V223" s="72" t="str">
        <f t="shared" si="99"/>
        <v/>
      </c>
      <c r="W223" s="2" t="str">
        <f t="shared" si="86"/>
        <v/>
      </c>
      <c r="X223" s="2" t="str">
        <f t="shared" si="81"/>
        <v/>
      </c>
      <c r="Y223" s="35" t="str">
        <f t="shared" ca="1" si="100"/>
        <v/>
      </c>
      <c r="Z223" s="36" t="str">
        <f t="shared" ca="1" si="101"/>
        <v/>
      </c>
      <c r="AA223" s="70" t="str">
        <f t="shared" si="102"/>
        <v/>
      </c>
      <c r="AB223" s="2"/>
      <c r="AC223" s="94" t="str">
        <f t="shared" si="82"/>
        <v/>
      </c>
      <c r="AD223" s="95" t="str">
        <f t="shared" si="83"/>
        <v/>
      </c>
      <c r="AE223" s="96" t="str">
        <f t="shared" si="84"/>
        <v/>
      </c>
      <c r="AF223" s="124" t="str">
        <f t="shared" si="85"/>
        <v/>
      </c>
      <c r="AG223" s="2"/>
      <c r="AH223" s="2"/>
      <c r="AI223" s="2"/>
      <c r="AJ223" s="2"/>
      <c r="AK223" s="2"/>
      <c r="AL223" s="2"/>
    </row>
    <row r="224" spans="1:38" x14ac:dyDescent="0.2">
      <c r="A224" s="45"/>
      <c r="B224" s="43" t="str">
        <f t="shared" si="88"/>
        <v/>
      </c>
      <c r="C224" s="96" t="str">
        <f t="shared" si="87"/>
        <v/>
      </c>
      <c r="D224" s="44" t="str">
        <f t="shared" si="89"/>
        <v/>
      </c>
      <c r="E224" s="52"/>
      <c r="F224" s="63" t="str">
        <f t="shared" si="90"/>
        <v/>
      </c>
      <c r="G224" s="56" t="str">
        <f t="shared" si="91"/>
        <v/>
      </c>
      <c r="H224" s="42"/>
      <c r="I224" s="2" t="str">
        <f t="shared" si="92"/>
        <v/>
      </c>
      <c r="J224" s="54" t="str">
        <f t="shared" si="79"/>
        <v/>
      </c>
      <c r="K224" s="55" t="str">
        <f t="shared" si="93"/>
        <v/>
      </c>
      <c r="L224" s="63" t="str">
        <f t="shared" si="94"/>
        <v/>
      </c>
      <c r="M224" s="96" t="str">
        <f t="shared" si="80"/>
        <v/>
      </c>
      <c r="N224" s="96" t="str">
        <f>IF(A224="","",IF(A224=Expiry,0,EXP(-q*Q224)*_xlfn.NORM.S.DIST(Y224,0)/(sigma*SQRT(Q224))*I224*Mult/100))</f>
        <v/>
      </c>
      <c r="O224" s="96" t="str">
        <f>IF(A224="","",IF(A224=Expiry,0,D224*E224*E224*EXP(-q*Q224)*_xlfn.NORM.S.DIST(Y224,0)*SQRT(Q224)/100))</f>
        <v/>
      </c>
      <c r="P224" s="69" t="str">
        <f>IF(A224="","",IF(A224=Expiry,0,AK224*I224*Mult*((-EXP(-q*Q224)*E224*_xlfn.NORM.S.DIST(Y224,0)*sigma/(2*SQRT(Q224))-r_dom*K*EXP(-r_dom*Q224)*_xlfn.NORM.S.DIST(Z224,1)+q*E224*EXP(-q*Q224)*_xlfn.NORM.S.DIST(Y224,1))/365)))</f>
        <v/>
      </c>
      <c r="Q224" s="83" t="str">
        <f t="shared" si="95"/>
        <v/>
      </c>
      <c r="R224" s="38"/>
      <c r="S224" s="68" t="str">
        <f t="shared" si="96"/>
        <v/>
      </c>
      <c r="T224" s="69" t="str">
        <f t="shared" si="97"/>
        <v/>
      </c>
      <c r="U224" s="70" t="str">
        <f t="shared" si="98"/>
        <v/>
      </c>
      <c r="V224" s="72" t="str">
        <f t="shared" si="99"/>
        <v/>
      </c>
      <c r="W224" s="2" t="str">
        <f t="shared" si="86"/>
        <v/>
      </c>
      <c r="X224" s="2" t="str">
        <f t="shared" si="81"/>
        <v/>
      </c>
      <c r="Y224" s="35" t="str">
        <f t="shared" ca="1" si="100"/>
        <v/>
      </c>
      <c r="Z224" s="36" t="str">
        <f t="shared" ca="1" si="101"/>
        <v/>
      </c>
      <c r="AA224" s="70" t="str">
        <f t="shared" si="102"/>
        <v/>
      </c>
      <c r="AB224" s="2"/>
      <c r="AC224" s="94" t="str">
        <f t="shared" si="82"/>
        <v/>
      </c>
      <c r="AD224" s="95" t="str">
        <f t="shared" si="83"/>
        <v/>
      </c>
      <c r="AE224" s="96" t="str">
        <f t="shared" si="84"/>
        <v/>
      </c>
      <c r="AF224" s="124" t="str">
        <f t="shared" si="85"/>
        <v/>
      </c>
      <c r="AG224" s="2"/>
      <c r="AH224" s="2"/>
      <c r="AI224" s="2"/>
      <c r="AJ224" s="2"/>
      <c r="AK224" s="2"/>
      <c r="AL224" s="2"/>
    </row>
    <row r="225" spans="1:38" x14ac:dyDescent="0.2">
      <c r="A225" s="45"/>
      <c r="B225" s="43" t="str">
        <f t="shared" si="88"/>
        <v/>
      </c>
      <c r="C225" s="96" t="str">
        <f t="shared" si="87"/>
        <v/>
      </c>
      <c r="D225" s="44" t="str">
        <f t="shared" si="89"/>
        <v/>
      </c>
      <c r="E225" s="52"/>
      <c r="F225" s="63" t="str">
        <f t="shared" si="90"/>
        <v/>
      </c>
      <c r="G225" s="56" t="str">
        <f t="shared" si="91"/>
        <v/>
      </c>
      <c r="H225" s="42"/>
      <c r="I225" s="2" t="str">
        <f t="shared" si="92"/>
        <v/>
      </c>
      <c r="J225" s="54" t="str">
        <f t="shared" si="79"/>
        <v/>
      </c>
      <c r="K225" s="55" t="str">
        <f t="shared" si="93"/>
        <v/>
      </c>
      <c r="L225" s="63" t="str">
        <f t="shared" si="94"/>
        <v/>
      </c>
      <c r="M225" s="96" t="str">
        <f t="shared" si="80"/>
        <v/>
      </c>
      <c r="N225" s="96" t="str">
        <f>IF(A225="","",IF(A225=Expiry,0,EXP(-q*Q225)*_xlfn.NORM.S.DIST(Y225,0)/(sigma*SQRT(Q225))*I225*Mult/100))</f>
        <v/>
      </c>
      <c r="O225" s="96" t="str">
        <f>IF(A225="","",IF(A225=Expiry,0,D225*E225*E225*EXP(-q*Q225)*_xlfn.NORM.S.DIST(Y225,0)*SQRT(Q225)/100))</f>
        <v/>
      </c>
      <c r="P225" s="69" t="str">
        <f>IF(A225="","",IF(A225=Expiry,0,AK225*I225*Mult*((-EXP(-q*Q225)*E225*_xlfn.NORM.S.DIST(Y225,0)*sigma/(2*SQRT(Q225))-r_dom*K*EXP(-r_dom*Q225)*_xlfn.NORM.S.DIST(Z225,1)+q*E225*EXP(-q*Q225)*_xlfn.NORM.S.DIST(Y225,1))/365)))</f>
        <v/>
      </c>
      <c r="Q225" s="83" t="str">
        <f t="shared" si="95"/>
        <v/>
      </c>
      <c r="R225" s="38"/>
      <c r="S225" s="68" t="str">
        <f t="shared" si="96"/>
        <v/>
      </c>
      <c r="T225" s="69" t="str">
        <f t="shared" si="97"/>
        <v/>
      </c>
      <c r="U225" s="70" t="str">
        <f t="shared" si="98"/>
        <v/>
      </c>
      <c r="V225" s="72" t="str">
        <f t="shared" si="99"/>
        <v/>
      </c>
      <c r="W225" s="2" t="str">
        <f t="shared" si="86"/>
        <v/>
      </c>
      <c r="X225" s="2" t="str">
        <f t="shared" si="81"/>
        <v/>
      </c>
      <c r="Y225" s="35" t="str">
        <f t="shared" ca="1" si="100"/>
        <v/>
      </c>
      <c r="Z225" s="36" t="str">
        <f t="shared" ca="1" si="101"/>
        <v/>
      </c>
      <c r="AA225" s="70" t="str">
        <f t="shared" si="102"/>
        <v/>
      </c>
      <c r="AB225" s="2"/>
      <c r="AC225" s="94" t="str">
        <f t="shared" si="82"/>
        <v/>
      </c>
      <c r="AD225" s="95" t="str">
        <f t="shared" si="83"/>
        <v/>
      </c>
      <c r="AE225" s="96" t="str">
        <f t="shared" si="84"/>
        <v/>
      </c>
      <c r="AF225" s="124" t="str">
        <f t="shared" si="85"/>
        <v/>
      </c>
      <c r="AG225" s="2"/>
      <c r="AH225" s="2"/>
      <c r="AI225" s="2"/>
      <c r="AJ225" s="2"/>
      <c r="AK225" s="2"/>
      <c r="AL225" s="2"/>
    </row>
    <row r="226" spans="1:38" x14ac:dyDescent="0.2">
      <c r="A226" s="45"/>
      <c r="B226" s="43" t="str">
        <f t="shared" si="88"/>
        <v/>
      </c>
      <c r="C226" s="96" t="str">
        <f t="shared" si="87"/>
        <v/>
      </c>
      <c r="D226" s="44" t="str">
        <f t="shared" si="89"/>
        <v/>
      </c>
      <c r="E226" s="52"/>
      <c r="F226" s="63" t="str">
        <f t="shared" si="90"/>
        <v/>
      </c>
      <c r="G226" s="56" t="str">
        <f t="shared" si="91"/>
        <v/>
      </c>
      <c r="H226" s="42"/>
      <c r="I226" s="2" t="str">
        <f t="shared" si="92"/>
        <v/>
      </c>
      <c r="J226" s="54" t="str">
        <f t="shared" si="79"/>
        <v/>
      </c>
      <c r="K226" s="55" t="str">
        <f t="shared" si="93"/>
        <v/>
      </c>
      <c r="L226" s="63" t="str">
        <f t="shared" si="94"/>
        <v/>
      </c>
      <c r="M226" s="96" t="str">
        <f t="shared" si="80"/>
        <v/>
      </c>
      <c r="N226" s="96" t="str">
        <f>IF(A226="","",IF(A226=Expiry,0,EXP(-q*Q226)*_xlfn.NORM.S.DIST(Y226,0)/(sigma*SQRT(Q226))*I226*Mult/100))</f>
        <v/>
      </c>
      <c r="O226" s="96" t="str">
        <f>IF(A226="","",IF(A226=Expiry,0,D226*E226*E226*EXP(-q*Q226)*_xlfn.NORM.S.DIST(Y226,0)*SQRT(Q226)/100))</f>
        <v/>
      </c>
      <c r="P226" s="69" t="str">
        <f>IF(A226="","",IF(A226=Expiry,0,AK226*I226*Mult*((-EXP(-q*Q226)*E226*_xlfn.NORM.S.DIST(Y226,0)*sigma/(2*SQRT(Q226))-r_dom*K*EXP(-r_dom*Q226)*_xlfn.NORM.S.DIST(Z226,1)+q*E226*EXP(-q*Q226)*_xlfn.NORM.S.DIST(Y226,1))/365)))</f>
        <v/>
      </c>
      <c r="Q226" s="83" t="str">
        <f t="shared" si="95"/>
        <v/>
      </c>
      <c r="R226" s="38"/>
      <c r="S226" s="68" t="str">
        <f t="shared" si="96"/>
        <v/>
      </c>
      <c r="T226" s="69" t="str">
        <f t="shared" si="97"/>
        <v/>
      </c>
      <c r="U226" s="70" t="str">
        <f t="shared" si="98"/>
        <v/>
      </c>
      <c r="V226" s="72" t="str">
        <f t="shared" si="99"/>
        <v/>
      </c>
      <c r="W226" s="2" t="str">
        <f t="shared" si="86"/>
        <v/>
      </c>
      <c r="X226" s="2" t="str">
        <f t="shared" si="81"/>
        <v/>
      </c>
      <c r="Y226" s="35" t="str">
        <f t="shared" ca="1" si="100"/>
        <v/>
      </c>
      <c r="Z226" s="36" t="str">
        <f t="shared" ca="1" si="101"/>
        <v/>
      </c>
      <c r="AA226" s="70" t="str">
        <f t="shared" si="102"/>
        <v/>
      </c>
      <c r="AB226" s="2"/>
      <c r="AC226" s="94" t="str">
        <f t="shared" si="82"/>
        <v/>
      </c>
      <c r="AD226" s="95" t="str">
        <f t="shared" si="83"/>
        <v/>
      </c>
      <c r="AE226" s="96" t="str">
        <f t="shared" si="84"/>
        <v/>
      </c>
      <c r="AF226" s="124" t="str">
        <f t="shared" si="85"/>
        <v/>
      </c>
      <c r="AG226" s="2"/>
      <c r="AH226" s="2"/>
      <c r="AI226" s="2"/>
      <c r="AJ226" s="2"/>
      <c r="AK226" s="2"/>
      <c r="AL226" s="2"/>
    </row>
    <row r="227" spans="1:38" x14ac:dyDescent="0.2">
      <c r="A227" s="45"/>
      <c r="B227" s="43" t="str">
        <f t="shared" si="88"/>
        <v/>
      </c>
      <c r="C227" s="96" t="str">
        <f t="shared" si="87"/>
        <v/>
      </c>
      <c r="D227" s="44" t="str">
        <f t="shared" si="89"/>
        <v/>
      </c>
      <c r="E227" s="52"/>
      <c r="F227" s="63" t="str">
        <f t="shared" si="90"/>
        <v/>
      </c>
      <c r="G227" s="56" t="str">
        <f t="shared" si="91"/>
        <v/>
      </c>
      <c r="H227" s="42"/>
      <c r="I227" s="2" t="str">
        <f t="shared" si="92"/>
        <v/>
      </c>
      <c r="J227" s="54" t="str">
        <f t="shared" si="79"/>
        <v/>
      </c>
      <c r="K227" s="55" t="str">
        <f t="shared" si="93"/>
        <v/>
      </c>
      <c r="L227" s="63" t="str">
        <f t="shared" si="94"/>
        <v/>
      </c>
      <c r="M227" s="96" t="str">
        <f t="shared" si="80"/>
        <v/>
      </c>
      <c r="N227" s="96" t="str">
        <f>IF(A227="","",IF(A227=Expiry,0,EXP(-q*Q227)*_xlfn.NORM.S.DIST(Y227,0)/(sigma*SQRT(Q227))*I227*Mult/100))</f>
        <v/>
      </c>
      <c r="O227" s="96" t="str">
        <f>IF(A227="","",IF(A227=Expiry,0,D227*E227*E227*EXP(-q*Q227)*_xlfn.NORM.S.DIST(Y227,0)*SQRT(Q227)/100))</f>
        <v/>
      </c>
      <c r="P227" s="69" t="str">
        <f>IF(A227="","",IF(A227=Expiry,0,AK227*I227*Mult*((-EXP(-q*Q227)*E227*_xlfn.NORM.S.DIST(Y227,0)*sigma/(2*SQRT(Q227))-r_dom*K*EXP(-r_dom*Q227)*_xlfn.NORM.S.DIST(Z227,1)+q*E227*EXP(-q*Q227)*_xlfn.NORM.S.DIST(Y227,1))/365)))</f>
        <v/>
      </c>
      <c r="Q227" s="83" t="str">
        <f t="shared" si="95"/>
        <v/>
      </c>
      <c r="R227" s="38"/>
      <c r="S227" s="68" t="str">
        <f t="shared" si="96"/>
        <v/>
      </c>
      <c r="T227" s="69" t="str">
        <f t="shared" si="97"/>
        <v/>
      </c>
      <c r="U227" s="70" t="str">
        <f t="shared" si="98"/>
        <v/>
      </c>
      <c r="V227" s="72" t="str">
        <f t="shared" si="99"/>
        <v/>
      </c>
      <c r="W227" s="2" t="str">
        <f t="shared" si="86"/>
        <v/>
      </c>
      <c r="X227" s="2" t="str">
        <f t="shared" si="81"/>
        <v/>
      </c>
      <c r="Y227" s="35" t="str">
        <f t="shared" ca="1" si="100"/>
        <v/>
      </c>
      <c r="Z227" s="36" t="str">
        <f t="shared" ca="1" si="101"/>
        <v/>
      </c>
      <c r="AA227" s="70" t="str">
        <f t="shared" si="102"/>
        <v/>
      </c>
      <c r="AB227" s="2"/>
      <c r="AC227" s="94" t="str">
        <f t="shared" si="82"/>
        <v/>
      </c>
      <c r="AD227" s="95" t="str">
        <f t="shared" si="83"/>
        <v/>
      </c>
      <c r="AE227" s="96" t="str">
        <f t="shared" si="84"/>
        <v/>
      </c>
      <c r="AF227" s="124" t="str">
        <f t="shared" si="85"/>
        <v/>
      </c>
      <c r="AG227" s="2"/>
      <c r="AH227" s="2"/>
      <c r="AI227" s="2"/>
      <c r="AJ227" s="2"/>
      <c r="AK227" s="2"/>
      <c r="AL227" s="2"/>
    </row>
    <row r="228" spans="1:38" x14ac:dyDescent="0.2">
      <c r="A228" s="45"/>
      <c r="B228" s="43" t="str">
        <f t="shared" si="88"/>
        <v/>
      </c>
      <c r="C228" s="96" t="str">
        <f t="shared" si="87"/>
        <v/>
      </c>
      <c r="D228" s="44" t="str">
        <f t="shared" si="89"/>
        <v/>
      </c>
      <c r="E228" s="52"/>
      <c r="F228" s="63" t="str">
        <f t="shared" si="90"/>
        <v/>
      </c>
      <c r="G228" s="56" t="str">
        <f t="shared" si="91"/>
        <v/>
      </c>
      <c r="H228" s="42"/>
      <c r="I228" s="2" t="str">
        <f t="shared" si="92"/>
        <v/>
      </c>
      <c r="J228" s="54" t="str">
        <f t="shared" ref="J228:J291" si="103">IF(CorP="C",AC228,AD228)</f>
        <v/>
      </c>
      <c r="K228" s="55" t="str">
        <f t="shared" si="93"/>
        <v/>
      </c>
      <c r="L228" s="63" t="str">
        <f t="shared" si="94"/>
        <v/>
      </c>
      <c r="M228" s="96" t="str">
        <f t="shared" ref="M228:M291" si="104">IF(CorP="C",AE228,AF228)</f>
        <v/>
      </c>
      <c r="N228" s="96" t="str">
        <f>IF(A228="","",IF(A228=Expiry,0,EXP(-q*Q228)*_xlfn.NORM.S.DIST(Y228,0)/(sigma*SQRT(Q228))*I228*Mult/100))</f>
        <v/>
      </c>
      <c r="O228" s="96" t="str">
        <f>IF(A228="","",IF(A228=Expiry,0,D228*E228*E228*EXP(-q*Q228)*_xlfn.NORM.S.DIST(Y228,0)*SQRT(Q228)/100))</f>
        <v/>
      </c>
      <c r="P228" s="69" t="str">
        <f>IF(A228="","",IF(A228=Expiry,0,AK228*I228*Mult*((-EXP(-q*Q228)*E228*_xlfn.NORM.S.DIST(Y228,0)*sigma/(2*SQRT(Q228))-r_dom*K*EXP(-r_dom*Q228)*_xlfn.NORM.S.DIST(Z228,1)+q*E228*EXP(-q*Q228)*_xlfn.NORM.S.DIST(Y228,1))/365)))</f>
        <v/>
      </c>
      <c r="Q228" s="83" t="str">
        <f t="shared" si="95"/>
        <v/>
      </c>
      <c r="R228" s="38"/>
      <c r="S228" s="68" t="str">
        <f t="shared" si="96"/>
        <v/>
      </c>
      <c r="T228" s="69" t="str">
        <f t="shared" si="97"/>
        <v/>
      </c>
      <c r="U228" s="70" t="str">
        <f t="shared" si="98"/>
        <v/>
      </c>
      <c r="V228" s="72" t="str">
        <f t="shared" si="99"/>
        <v/>
      </c>
      <c r="W228" s="2" t="str">
        <f t="shared" si="86"/>
        <v/>
      </c>
      <c r="X228" s="2" t="str">
        <f t="shared" ref="X228:X291" si="105">IF(A228="","",K)</f>
        <v/>
      </c>
      <c r="Y228" s="35" t="str">
        <f t="shared" ca="1" si="100"/>
        <v/>
      </c>
      <c r="Z228" s="36" t="str">
        <f t="shared" ca="1" si="101"/>
        <v/>
      </c>
      <c r="AA228" s="70" t="str">
        <f t="shared" si="102"/>
        <v/>
      </c>
      <c r="AB228" s="2"/>
      <c r="AC228" s="94" t="str">
        <f t="shared" ref="AC228:AC291" si="106">IF(A228="","",IF(A228=Expiry,MAX(E228-K,0),E228*EXP(-q*Q228)*_xlfn.NORM.S.DIST(Y228,1)-K*EXP(-r_dom*Q228)*_xlfn.NORM.S.DIST(Z228,1)))</f>
        <v/>
      </c>
      <c r="AD228" s="95" t="str">
        <f t="shared" ref="AD228:AD291" si="107">IF(A228="","",IF(A228=Expiry,MAX(K-E228,0),K*EXP(-r_dom*Q228)*_xlfn.NORM.S.DIST(-Z228,1)-E228*EXP(-q*Q228)*_xlfn.NORM.S.DIST(-Y228,1)))</f>
        <v/>
      </c>
      <c r="AE228" s="96" t="str">
        <f t="shared" ref="AE228:AE291" si="108">IF(A228="","",I228*Mult*IF(A228=Expiry,IF(E228&gt;K,1,0),EXP(-q*Q228)*_xlfn.NORM.S.DIST(Y228,1)))</f>
        <v/>
      </c>
      <c r="AF228" s="124" t="str">
        <f t="shared" ref="AF228:AF291" si="109">IF(A228="","",I228*Mult*IF(A228=Expiry,IF(E228&lt;K,-1,0),-EXP(-q*Q228)*_xlfn.NORM.S.DIST(-Y228,1)))</f>
        <v/>
      </c>
      <c r="AG228" s="2"/>
      <c r="AH228" s="2"/>
      <c r="AI228" s="2"/>
      <c r="AJ228" s="2"/>
      <c r="AK228" s="2"/>
      <c r="AL228" s="2"/>
    </row>
    <row r="229" spans="1:38" x14ac:dyDescent="0.2">
      <c r="A229" s="45"/>
      <c r="B229" s="43" t="str">
        <f t="shared" si="88"/>
        <v/>
      </c>
      <c r="C229" s="96" t="str">
        <f t="shared" si="87"/>
        <v/>
      </c>
      <c r="D229" s="44" t="str">
        <f t="shared" si="89"/>
        <v/>
      </c>
      <c r="E229" s="52"/>
      <c r="F229" s="63" t="str">
        <f t="shared" si="90"/>
        <v/>
      </c>
      <c r="G229" s="56" t="str">
        <f t="shared" si="91"/>
        <v/>
      </c>
      <c r="H229" s="42"/>
      <c r="I229" s="2" t="str">
        <f t="shared" si="92"/>
        <v/>
      </c>
      <c r="J229" s="54" t="str">
        <f t="shared" si="103"/>
        <v/>
      </c>
      <c r="K229" s="55" t="str">
        <f t="shared" si="93"/>
        <v/>
      </c>
      <c r="L229" s="63" t="str">
        <f t="shared" si="94"/>
        <v/>
      </c>
      <c r="M229" s="96" t="str">
        <f t="shared" si="104"/>
        <v/>
      </c>
      <c r="N229" s="96" t="str">
        <f>IF(A229="","",IF(A229=Expiry,0,EXP(-q*Q229)*_xlfn.NORM.S.DIST(Y229,0)/(sigma*SQRT(Q229))*I229*Mult/100))</f>
        <v/>
      </c>
      <c r="O229" s="96" t="str">
        <f>IF(A229="","",IF(A229=Expiry,0,D229*E229*E229*EXP(-q*Q229)*_xlfn.NORM.S.DIST(Y229,0)*SQRT(Q229)/100))</f>
        <v/>
      </c>
      <c r="P229" s="69" t="str">
        <f>IF(A229="","",IF(A229=Expiry,0,AK229*I229*Mult*((-EXP(-q*Q229)*E229*_xlfn.NORM.S.DIST(Y229,0)*sigma/(2*SQRT(Q229))-r_dom*K*EXP(-r_dom*Q229)*_xlfn.NORM.S.DIST(Z229,1)+q*E229*EXP(-q*Q229)*_xlfn.NORM.S.DIST(Y229,1))/365)))</f>
        <v/>
      </c>
      <c r="Q229" s="83" t="str">
        <f t="shared" si="95"/>
        <v/>
      </c>
      <c r="R229" s="38"/>
      <c r="S229" s="68" t="str">
        <f t="shared" si="96"/>
        <v/>
      </c>
      <c r="T229" s="69" t="str">
        <f t="shared" si="97"/>
        <v/>
      </c>
      <c r="U229" s="70" t="str">
        <f t="shared" si="98"/>
        <v/>
      </c>
      <c r="V229" s="72" t="str">
        <f t="shared" si="99"/>
        <v/>
      </c>
      <c r="W229" s="2" t="str">
        <f t="shared" ref="W229:W292" si="110">IF(A229="","",100)</f>
        <v/>
      </c>
      <c r="X229" s="2" t="str">
        <f t="shared" si="105"/>
        <v/>
      </c>
      <c r="Y229" s="35" t="str">
        <f t="shared" ca="1" si="100"/>
        <v/>
      </c>
      <c r="Z229" s="36" t="str">
        <f t="shared" ca="1" si="101"/>
        <v/>
      </c>
      <c r="AA229" s="70" t="str">
        <f t="shared" si="102"/>
        <v/>
      </c>
      <c r="AB229" s="2"/>
      <c r="AC229" s="94" t="str">
        <f t="shared" si="106"/>
        <v/>
      </c>
      <c r="AD229" s="95" t="str">
        <f t="shared" si="107"/>
        <v/>
      </c>
      <c r="AE229" s="96" t="str">
        <f t="shared" si="108"/>
        <v/>
      </c>
      <c r="AF229" s="124" t="str">
        <f t="shared" si="109"/>
        <v/>
      </c>
      <c r="AG229" s="2"/>
      <c r="AH229" s="2"/>
      <c r="AI229" s="2"/>
      <c r="AJ229" s="2"/>
      <c r="AK229" s="2"/>
      <c r="AL229" s="2"/>
    </row>
    <row r="230" spans="1:38" x14ac:dyDescent="0.2">
      <c r="A230" s="45"/>
      <c r="B230" s="43" t="str">
        <f t="shared" si="88"/>
        <v/>
      </c>
      <c r="C230" s="96" t="str">
        <f t="shared" ref="C230:C293" si="111">IF(A230="","",C229+B230)</f>
        <v/>
      </c>
      <c r="D230" s="44" t="str">
        <f t="shared" si="89"/>
        <v/>
      </c>
      <c r="E230" s="52"/>
      <c r="F230" s="63" t="str">
        <f t="shared" si="90"/>
        <v/>
      </c>
      <c r="G230" s="56" t="str">
        <f t="shared" si="91"/>
        <v/>
      </c>
      <c r="H230" s="42"/>
      <c r="I230" s="2" t="str">
        <f t="shared" si="92"/>
        <v/>
      </c>
      <c r="J230" s="54" t="str">
        <f t="shared" si="103"/>
        <v/>
      </c>
      <c r="K230" s="55" t="str">
        <f t="shared" si="93"/>
        <v/>
      </c>
      <c r="L230" s="63" t="str">
        <f t="shared" si="94"/>
        <v/>
      </c>
      <c r="M230" s="96" t="str">
        <f t="shared" si="104"/>
        <v/>
      </c>
      <c r="N230" s="96" t="str">
        <f>IF(A230="","",IF(A230=Expiry,0,EXP(-q*Q230)*_xlfn.NORM.S.DIST(Y230,0)/(sigma*SQRT(Q230))*I230*Mult/100))</f>
        <v/>
      </c>
      <c r="O230" s="96" t="str">
        <f>IF(A230="","",IF(A230=Expiry,0,D230*E230*E230*EXP(-q*Q230)*_xlfn.NORM.S.DIST(Y230,0)*SQRT(Q230)/100))</f>
        <v/>
      </c>
      <c r="P230" s="69" t="str">
        <f>IF(A230="","",IF(A230=Expiry,0,AK230*I230*Mult*((-EXP(-q*Q230)*E230*_xlfn.NORM.S.DIST(Y230,0)*sigma/(2*SQRT(Q230))-r_dom*K*EXP(-r_dom*Q230)*_xlfn.NORM.S.DIST(Z230,1)+q*E230*EXP(-q*Q230)*_xlfn.NORM.S.DIST(Y230,1))/365)))</f>
        <v/>
      </c>
      <c r="Q230" s="83" t="str">
        <f t="shared" si="95"/>
        <v/>
      </c>
      <c r="R230" s="38"/>
      <c r="S230" s="68" t="str">
        <f t="shared" si="96"/>
        <v/>
      </c>
      <c r="T230" s="69" t="str">
        <f t="shared" si="97"/>
        <v/>
      </c>
      <c r="U230" s="70" t="str">
        <f t="shared" si="98"/>
        <v/>
      </c>
      <c r="V230" s="72" t="str">
        <f t="shared" si="99"/>
        <v/>
      </c>
      <c r="W230" s="2" t="str">
        <f t="shared" si="110"/>
        <v/>
      </c>
      <c r="X230" s="2" t="str">
        <f t="shared" si="105"/>
        <v/>
      </c>
      <c r="Y230" s="35" t="str">
        <f t="shared" ca="1" si="100"/>
        <v/>
      </c>
      <c r="Z230" s="36" t="str">
        <f t="shared" ca="1" si="101"/>
        <v/>
      </c>
      <c r="AA230" s="70" t="str">
        <f t="shared" si="102"/>
        <v/>
      </c>
      <c r="AB230" s="2"/>
      <c r="AC230" s="94" t="str">
        <f t="shared" si="106"/>
        <v/>
      </c>
      <c r="AD230" s="95" t="str">
        <f t="shared" si="107"/>
        <v/>
      </c>
      <c r="AE230" s="96" t="str">
        <f t="shared" si="108"/>
        <v/>
      </c>
      <c r="AF230" s="124" t="str">
        <f t="shared" si="109"/>
        <v/>
      </c>
      <c r="AG230" s="2"/>
      <c r="AH230" s="2"/>
      <c r="AI230" s="2"/>
      <c r="AJ230" s="2"/>
      <c r="AK230" s="2"/>
      <c r="AL230" s="2"/>
    </row>
    <row r="231" spans="1:38" x14ac:dyDescent="0.2">
      <c r="A231" s="45"/>
      <c r="B231" s="43" t="str">
        <f t="shared" si="88"/>
        <v/>
      </c>
      <c r="C231" s="96" t="str">
        <f t="shared" si="111"/>
        <v/>
      </c>
      <c r="D231" s="44" t="str">
        <f t="shared" si="89"/>
        <v/>
      </c>
      <c r="E231" s="52"/>
      <c r="F231" s="63" t="str">
        <f t="shared" si="90"/>
        <v/>
      </c>
      <c r="G231" s="56" t="str">
        <f t="shared" si="91"/>
        <v/>
      </c>
      <c r="H231" s="42"/>
      <c r="I231" s="2" t="str">
        <f t="shared" si="92"/>
        <v/>
      </c>
      <c r="J231" s="54" t="str">
        <f t="shared" si="103"/>
        <v/>
      </c>
      <c r="K231" s="55" t="str">
        <f t="shared" si="93"/>
        <v/>
      </c>
      <c r="L231" s="63" t="str">
        <f t="shared" si="94"/>
        <v/>
      </c>
      <c r="M231" s="96" t="str">
        <f t="shared" si="104"/>
        <v/>
      </c>
      <c r="N231" s="96" t="str">
        <f>IF(A231="","",IF(A231=Expiry,0,EXP(-q*Q231)*_xlfn.NORM.S.DIST(Y231,0)/(sigma*SQRT(Q231))*I231*Mult/100))</f>
        <v/>
      </c>
      <c r="O231" s="96" t="str">
        <f>IF(A231="","",IF(A231=Expiry,0,D231*E231*E231*EXP(-q*Q231)*_xlfn.NORM.S.DIST(Y231,0)*SQRT(Q231)/100))</f>
        <v/>
      </c>
      <c r="P231" s="69" t="str">
        <f>IF(A231="","",IF(A231=Expiry,0,AK231*I231*Mult*((-EXP(-q*Q231)*E231*_xlfn.NORM.S.DIST(Y231,0)*sigma/(2*SQRT(Q231))-r_dom*K*EXP(-r_dom*Q231)*_xlfn.NORM.S.DIST(Z231,1)+q*E231*EXP(-q*Q231)*_xlfn.NORM.S.DIST(Y231,1))/365)))</f>
        <v/>
      </c>
      <c r="Q231" s="83" t="str">
        <f t="shared" si="95"/>
        <v/>
      </c>
      <c r="R231" s="38"/>
      <c r="S231" s="68" t="str">
        <f t="shared" si="96"/>
        <v/>
      </c>
      <c r="T231" s="69" t="str">
        <f t="shared" si="97"/>
        <v/>
      </c>
      <c r="U231" s="70" t="str">
        <f t="shared" si="98"/>
        <v/>
      </c>
      <c r="V231" s="72" t="str">
        <f t="shared" si="99"/>
        <v/>
      </c>
      <c r="W231" s="2" t="str">
        <f t="shared" si="110"/>
        <v/>
      </c>
      <c r="X231" s="2" t="str">
        <f t="shared" si="105"/>
        <v/>
      </c>
      <c r="Y231" s="35" t="str">
        <f t="shared" ca="1" si="100"/>
        <v/>
      </c>
      <c r="Z231" s="36" t="str">
        <f t="shared" ca="1" si="101"/>
        <v/>
      </c>
      <c r="AA231" s="70" t="str">
        <f t="shared" si="102"/>
        <v/>
      </c>
      <c r="AB231" s="2"/>
      <c r="AC231" s="94" t="str">
        <f t="shared" si="106"/>
        <v/>
      </c>
      <c r="AD231" s="95" t="str">
        <f t="shared" si="107"/>
        <v/>
      </c>
      <c r="AE231" s="96" t="str">
        <f t="shared" si="108"/>
        <v/>
      </c>
      <c r="AF231" s="124" t="str">
        <f t="shared" si="109"/>
        <v/>
      </c>
      <c r="AG231" s="2"/>
      <c r="AH231" s="2"/>
      <c r="AI231" s="2"/>
      <c r="AJ231" s="2"/>
      <c r="AK231" s="2"/>
      <c r="AL231" s="2"/>
    </row>
    <row r="232" spans="1:38" x14ac:dyDescent="0.2">
      <c r="A232" s="45"/>
      <c r="B232" s="43" t="str">
        <f t="shared" si="88"/>
        <v/>
      </c>
      <c r="C232" s="96" t="str">
        <f t="shared" si="111"/>
        <v/>
      </c>
      <c r="D232" s="44" t="str">
        <f t="shared" si="89"/>
        <v/>
      </c>
      <c r="E232" s="52"/>
      <c r="F232" s="63" t="str">
        <f t="shared" si="90"/>
        <v/>
      </c>
      <c r="G232" s="56" t="str">
        <f t="shared" si="91"/>
        <v/>
      </c>
      <c r="H232" s="42"/>
      <c r="I232" s="2" t="str">
        <f t="shared" si="92"/>
        <v/>
      </c>
      <c r="J232" s="54" t="str">
        <f t="shared" si="103"/>
        <v/>
      </c>
      <c r="K232" s="55" t="str">
        <f t="shared" si="93"/>
        <v/>
      </c>
      <c r="L232" s="63" t="str">
        <f t="shared" si="94"/>
        <v/>
      </c>
      <c r="M232" s="96" t="str">
        <f t="shared" si="104"/>
        <v/>
      </c>
      <c r="N232" s="96" t="str">
        <f>IF(A232="","",IF(A232=Expiry,0,EXP(-q*Q232)*_xlfn.NORM.S.DIST(Y232,0)/(sigma*SQRT(Q232))*I232*Mult/100))</f>
        <v/>
      </c>
      <c r="O232" s="96" t="str">
        <f>IF(A232="","",IF(A232=Expiry,0,D232*E232*E232*EXP(-q*Q232)*_xlfn.NORM.S.DIST(Y232,0)*SQRT(Q232)/100))</f>
        <v/>
      </c>
      <c r="P232" s="69" t="str">
        <f>IF(A232="","",IF(A232=Expiry,0,AK232*I232*Mult*((-EXP(-q*Q232)*E232*_xlfn.NORM.S.DIST(Y232,0)*sigma/(2*SQRT(Q232))-r_dom*K*EXP(-r_dom*Q232)*_xlfn.NORM.S.DIST(Z232,1)+q*E232*EXP(-q*Q232)*_xlfn.NORM.S.DIST(Y232,1))/365)))</f>
        <v/>
      </c>
      <c r="Q232" s="83" t="str">
        <f t="shared" si="95"/>
        <v/>
      </c>
      <c r="R232" s="38"/>
      <c r="S232" s="68" t="str">
        <f t="shared" si="96"/>
        <v/>
      </c>
      <c r="T232" s="69" t="str">
        <f t="shared" si="97"/>
        <v/>
      </c>
      <c r="U232" s="70" t="str">
        <f t="shared" si="98"/>
        <v/>
      </c>
      <c r="V232" s="72" t="str">
        <f t="shared" si="99"/>
        <v/>
      </c>
      <c r="W232" s="2" t="str">
        <f t="shared" si="110"/>
        <v/>
      </c>
      <c r="X232" s="2" t="str">
        <f t="shared" si="105"/>
        <v/>
      </c>
      <c r="Y232" s="35" t="str">
        <f t="shared" ca="1" si="100"/>
        <v/>
      </c>
      <c r="Z232" s="36" t="str">
        <f t="shared" ca="1" si="101"/>
        <v/>
      </c>
      <c r="AA232" s="70" t="str">
        <f t="shared" si="102"/>
        <v/>
      </c>
      <c r="AB232" s="2"/>
      <c r="AC232" s="94" t="str">
        <f t="shared" si="106"/>
        <v/>
      </c>
      <c r="AD232" s="95" t="str">
        <f t="shared" si="107"/>
        <v/>
      </c>
      <c r="AE232" s="96" t="str">
        <f t="shared" si="108"/>
        <v/>
      </c>
      <c r="AF232" s="124" t="str">
        <f t="shared" si="109"/>
        <v/>
      </c>
      <c r="AG232" s="2"/>
      <c r="AH232" s="2"/>
      <c r="AI232" s="2"/>
      <c r="AJ232" s="2"/>
      <c r="AK232" s="2"/>
      <c r="AL232" s="2"/>
    </row>
    <row r="233" spans="1:38" x14ac:dyDescent="0.2">
      <c r="A233" s="45"/>
      <c r="B233" s="43" t="str">
        <f t="shared" si="88"/>
        <v/>
      </c>
      <c r="C233" s="96" t="str">
        <f t="shared" si="111"/>
        <v/>
      </c>
      <c r="D233" s="44" t="str">
        <f t="shared" si="89"/>
        <v/>
      </c>
      <c r="E233" s="52"/>
      <c r="F233" s="63" t="str">
        <f t="shared" si="90"/>
        <v/>
      </c>
      <c r="G233" s="56" t="str">
        <f t="shared" si="91"/>
        <v/>
      </c>
      <c r="H233" s="42"/>
      <c r="I233" s="2" t="str">
        <f t="shared" si="92"/>
        <v/>
      </c>
      <c r="J233" s="54" t="str">
        <f t="shared" si="103"/>
        <v/>
      </c>
      <c r="K233" s="55" t="str">
        <f t="shared" si="93"/>
        <v/>
      </c>
      <c r="L233" s="63" t="str">
        <f t="shared" si="94"/>
        <v/>
      </c>
      <c r="M233" s="96" t="str">
        <f t="shared" si="104"/>
        <v/>
      </c>
      <c r="N233" s="96" t="str">
        <f>IF(A233="","",IF(A233=Expiry,0,EXP(-q*Q233)*_xlfn.NORM.S.DIST(Y233,0)/(sigma*SQRT(Q233))*I233*Mult/100))</f>
        <v/>
      </c>
      <c r="O233" s="96" t="str">
        <f>IF(A233="","",IF(A233=Expiry,0,D233*E233*E233*EXP(-q*Q233)*_xlfn.NORM.S.DIST(Y233,0)*SQRT(Q233)/100))</f>
        <v/>
      </c>
      <c r="P233" s="69" t="str">
        <f>IF(A233="","",IF(A233=Expiry,0,AK233*I233*Mult*((-EXP(-q*Q233)*E233*_xlfn.NORM.S.DIST(Y233,0)*sigma/(2*SQRT(Q233))-r_dom*K*EXP(-r_dom*Q233)*_xlfn.NORM.S.DIST(Z233,1)+q*E233*EXP(-q*Q233)*_xlfn.NORM.S.DIST(Y233,1))/365)))</f>
        <v/>
      </c>
      <c r="Q233" s="83" t="str">
        <f t="shared" si="95"/>
        <v/>
      </c>
      <c r="R233" s="38"/>
      <c r="S233" s="68" t="str">
        <f t="shared" si="96"/>
        <v/>
      </c>
      <c r="T233" s="69" t="str">
        <f t="shared" si="97"/>
        <v/>
      </c>
      <c r="U233" s="70" t="str">
        <f t="shared" si="98"/>
        <v/>
      </c>
      <c r="V233" s="72" t="str">
        <f t="shared" si="99"/>
        <v/>
      </c>
      <c r="W233" s="2" t="str">
        <f t="shared" si="110"/>
        <v/>
      </c>
      <c r="X233" s="2" t="str">
        <f t="shared" si="105"/>
        <v/>
      </c>
      <c r="Y233" s="35" t="str">
        <f t="shared" ca="1" si="100"/>
        <v/>
      </c>
      <c r="Z233" s="36" t="str">
        <f t="shared" ca="1" si="101"/>
        <v/>
      </c>
      <c r="AA233" s="70" t="str">
        <f t="shared" si="102"/>
        <v/>
      </c>
      <c r="AB233" s="2"/>
      <c r="AC233" s="94" t="str">
        <f t="shared" si="106"/>
        <v/>
      </c>
      <c r="AD233" s="95" t="str">
        <f t="shared" si="107"/>
        <v/>
      </c>
      <c r="AE233" s="96" t="str">
        <f t="shared" si="108"/>
        <v/>
      </c>
      <c r="AF233" s="124" t="str">
        <f t="shared" si="109"/>
        <v/>
      </c>
      <c r="AG233" s="2"/>
      <c r="AH233" s="2"/>
      <c r="AI233" s="2"/>
      <c r="AJ233" s="2"/>
      <c r="AK233" s="2"/>
      <c r="AL233" s="2"/>
    </row>
    <row r="234" spans="1:38" x14ac:dyDescent="0.2">
      <c r="A234" s="45"/>
      <c r="B234" s="43" t="str">
        <f t="shared" si="88"/>
        <v/>
      </c>
      <c r="C234" s="96" t="str">
        <f t="shared" si="111"/>
        <v/>
      </c>
      <c r="D234" s="44" t="str">
        <f t="shared" si="89"/>
        <v/>
      </c>
      <c r="E234" s="52"/>
      <c r="F234" s="63" t="str">
        <f t="shared" si="90"/>
        <v/>
      </c>
      <c r="G234" s="56" t="str">
        <f t="shared" si="91"/>
        <v/>
      </c>
      <c r="H234" s="42"/>
      <c r="I234" s="2" t="str">
        <f t="shared" si="92"/>
        <v/>
      </c>
      <c r="J234" s="54" t="str">
        <f t="shared" si="103"/>
        <v/>
      </c>
      <c r="K234" s="55" t="str">
        <f t="shared" si="93"/>
        <v/>
      </c>
      <c r="L234" s="63" t="str">
        <f t="shared" si="94"/>
        <v/>
      </c>
      <c r="M234" s="96" t="str">
        <f t="shared" si="104"/>
        <v/>
      </c>
      <c r="N234" s="96" t="str">
        <f>IF(A234="","",IF(A234=Expiry,0,EXP(-q*Q234)*_xlfn.NORM.S.DIST(Y234,0)/(sigma*SQRT(Q234))*I234*Mult/100))</f>
        <v/>
      </c>
      <c r="O234" s="96" t="str">
        <f>IF(A234="","",IF(A234=Expiry,0,D234*E234*E234*EXP(-q*Q234)*_xlfn.NORM.S.DIST(Y234,0)*SQRT(Q234)/100))</f>
        <v/>
      </c>
      <c r="P234" s="69" t="str">
        <f>IF(A234="","",IF(A234=Expiry,0,AK234*I234*Mult*((-EXP(-q*Q234)*E234*_xlfn.NORM.S.DIST(Y234,0)*sigma/(2*SQRT(Q234))-r_dom*K*EXP(-r_dom*Q234)*_xlfn.NORM.S.DIST(Z234,1)+q*E234*EXP(-q*Q234)*_xlfn.NORM.S.DIST(Y234,1))/365)))</f>
        <v/>
      </c>
      <c r="Q234" s="83" t="str">
        <f t="shared" si="95"/>
        <v/>
      </c>
      <c r="R234" s="38"/>
      <c r="S234" s="68" t="str">
        <f t="shared" si="96"/>
        <v/>
      </c>
      <c r="T234" s="69" t="str">
        <f t="shared" si="97"/>
        <v/>
      </c>
      <c r="U234" s="70" t="str">
        <f t="shared" si="98"/>
        <v/>
      </c>
      <c r="V234" s="72" t="str">
        <f t="shared" si="99"/>
        <v/>
      </c>
      <c r="W234" s="2" t="str">
        <f t="shared" si="110"/>
        <v/>
      </c>
      <c r="X234" s="2" t="str">
        <f t="shared" si="105"/>
        <v/>
      </c>
      <c r="Y234" s="35" t="str">
        <f t="shared" ca="1" si="100"/>
        <v/>
      </c>
      <c r="Z234" s="36" t="str">
        <f t="shared" ca="1" si="101"/>
        <v/>
      </c>
      <c r="AA234" s="70" t="str">
        <f t="shared" si="102"/>
        <v/>
      </c>
      <c r="AB234" s="2"/>
      <c r="AC234" s="94" t="str">
        <f t="shared" si="106"/>
        <v/>
      </c>
      <c r="AD234" s="95" t="str">
        <f t="shared" si="107"/>
        <v/>
      </c>
      <c r="AE234" s="96" t="str">
        <f t="shared" si="108"/>
        <v/>
      </c>
      <c r="AF234" s="124" t="str">
        <f t="shared" si="109"/>
        <v/>
      </c>
      <c r="AG234" s="2"/>
      <c r="AH234" s="2"/>
      <c r="AI234" s="2"/>
      <c r="AJ234" s="2"/>
      <c r="AK234" s="2"/>
      <c r="AL234" s="2"/>
    </row>
    <row r="235" spans="1:38" x14ac:dyDescent="0.2">
      <c r="A235" s="45"/>
      <c r="B235" s="43" t="str">
        <f t="shared" si="88"/>
        <v/>
      </c>
      <c r="C235" s="96" t="str">
        <f t="shared" si="111"/>
        <v/>
      </c>
      <c r="D235" s="44" t="str">
        <f t="shared" si="89"/>
        <v/>
      </c>
      <c r="E235" s="52"/>
      <c r="F235" s="63" t="str">
        <f t="shared" si="90"/>
        <v/>
      </c>
      <c r="G235" s="56" t="str">
        <f t="shared" si="91"/>
        <v/>
      </c>
      <c r="H235" s="42"/>
      <c r="I235" s="2" t="str">
        <f t="shared" si="92"/>
        <v/>
      </c>
      <c r="J235" s="54" t="str">
        <f t="shared" si="103"/>
        <v/>
      </c>
      <c r="K235" s="55" t="str">
        <f t="shared" si="93"/>
        <v/>
      </c>
      <c r="L235" s="63" t="str">
        <f t="shared" si="94"/>
        <v/>
      </c>
      <c r="M235" s="96" t="str">
        <f t="shared" si="104"/>
        <v/>
      </c>
      <c r="N235" s="96" t="str">
        <f>IF(A235="","",IF(A235=Expiry,0,EXP(-q*Q235)*_xlfn.NORM.S.DIST(Y235,0)/(sigma*SQRT(Q235))*I235*Mult/100))</f>
        <v/>
      </c>
      <c r="O235" s="96" t="str">
        <f>IF(A235="","",IF(A235=Expiry,0,D235*E235*E235*EXP(-q*Q235)*_xlfn.NORM.S.DIST(Y235,0)*SQRT(Q235)/100))</f>
        <v/>
      </c>
      <c r="P235" s="69" t="str">
        <f>IF(A235="","",IF(A235=Expiry,0,AK235*I235*Mult*((-EXP(-q*Q235)*E235*_xlfn.NORM.S.DIST(Y235,0)*sigma/(2*SQRT(Q235))-r_dom*K*EXP(-r_dom*Q235)*_xlfn.NORM.S.DIST(Z235,1)+q*E235*EXP(-q*Q235)*_xlfn.NORM.S.DIST(Y235,1))/365)))</f>
        <v/>
      </c>
      <c r="Q235" s="83" t="str">
        <f t="shared" si="95"/>
        <v/>
      </c>
      <c r="R235" s="38"/>
      <c r="S235" s="68" t="str">
        <f t="shared" si="96"/>
        <v/>
      </c>
      <c r="T235" s="69" t="str">
        <f t="shared" si="97"/>
        <v/>
      </c>
      <c r="U235" s="70" t="str">
        <f t="shared" si="98"/>
        <v/>
      </c>
      <c r="V235" s="72" t="str">
        <f t="shared" si="99"/>
        <v/>
      </c>
      <c r="W235" s="2" t="str">
        <f t="shared" si="110"/>
        <v/>
      </c>
      <c r="X235" s="2" t="str">
        <f t="shared" si="105"/>
        <v/>
      </c>
      <c r="Y235" s="35" t="str">
        <f t="shared" ca="1" si="100"/>
        <v/>
      </c>
      <c r="Z235" s="36" t="str">
        <f t="shared" ca="1" si="101"/>
        <v/>
      </c>
      <c r="AA235" s="70" t="str">
        <f t="shared" si="102"/>
        <v/>
      </c>
      <c r="AB235" s="2"/>
      <c r="AC235" s="94" t="str">
        <f t="shared" si="106"/>
        <v/>
      </c>
      <c r="AD235" s="95" t="str">
        <f t="shared" si="107"/>
        <v/>
      </c>
      <c r="AE235" s="96" t="str">
        <f t="shared" si="108"/>
        <v/>
      </c>
      <c r="AF235" s="124" t="str">
        <f t="shared" si="109"/>
        <v/>
      </c>
      <c r="AG235" s="2"/>
      <c r="AH235" s="2"/>
      <c r="AI235" s="2"/>
      <c r="AJ235" s="2"/>
      <c r="AK235" s="2"/>
      <c r="AL235" s="2"/>
    </row>
    <row r="236" spans="1:38" x14ac:dyDescent="0.2">
      <c r="A236" s="45"/>
      <c r="B236" s="43" t="str">
        <f t="shared" si="88"/>
        <v/>
      </c>
      <c r="C236" s="96" t="str">
        <f t="shared" si="111"/>
        <v/>
      </c>
      <c r="D236" s="44" t="str">
        <f t="shared" si="89"/>
        <v/>
      </c>
      <c r="E236" s="52"/>
      <c r="F236" s="63" t="str">
        <f t="shared" si="90"/>
        <v/>
      </c>
      <c r="G236" s="56" t="str">
        <f t="shared" si="91"/>
        <v/>
      </c>
      <c r="H236" s="42"/>
      <c r="I236" s="2" t="str">
        <f t="shared" si="92"/>
        <v/>
      </c>
      <c r="J236" s="54" t="str">
        <f t="shared" si="103"/>
        <v/>
      </c>
      <c r="K236" s="55" t="str">
        <f t="shared" si="93"/>
        <v/>
      </c>
      <c r="L236" s="63" t="str">
        <f t="shared" si="94"/>
        <v/>
      </c>
      <c r="M236" s="96" t="str">
        <f t="shared" si="104"/>
        <v/>
      </c>
      <c r="N236" s="96" t="str">
        <f>IF(A236="","",IF(A236=Expiry,0,EXP(-q*Q236)*_xlfn.NORM.S.DIST(Y236,0)/(sigma*SQRT(Q236))*I236*Mult/100))</f>
        <v/>
      </c>
      <c r="O236" s="96" t="str">
        <f>IF(A236="","",IF(A236=Expiry,0,D236*E236*E236*EXP(-q*Q236)*_xlfn.NORM.S.DIST(Y236,0)*SQRT(Q236)/100))</f>
        <v/>
      </c>
      <c r="P236" s="69" t="str">
        <f>IF(A236="","",IF(A236=Expiry,0,AK236*I236*Mult*((-EXP(-q*Q236)*E236*_xlfn.NORM.S.DIST(Y236,0)*sigma/(2*SQRT(Q236))-r_dom*K*EXP(-r_dom*Q236)*_xlfn.NORM.S.DIST(Z236,1)+q*E236*EXP(-q*Q236)*_xlfn.NORM.S.DIST(Y236,1))/365)))</f>
        <v/>
      </c>
      <c r="Q236" s="83" t="str">
        <f t="shared" si="95"/>
        <v/>
      </c>
      <c r="R236" s="38"/>
      <c r="S236" s="68" t="str">
        <f t="shared" si="96"/>
        <v/>
      </c>
      <c r="T236" s="69" t="str">
        <f t="shared" si="97"/>
        <v/>
      </c>
      <c r="U236" s="70" t="str">
        <f t="shared" si="98"/>
        <v/>
      </c>
      <c r="V236" s="72" t="str">
        <f t="shared" si="99"/>
        <v/>
      </c>
      <c r="W236" s="2" t="str">
        <f t="shared" si="110"/>
        <v/>
      </c>
      <c r="X236" s="2" t="str">
        <f t="shared" si="105"/>
        <v/>
      </c>
      <c r="Y236" s="35" t="str">
        <f t="shared" ca="1" si="100"/>
        <v/>
      </c>
      <c r="Z236" s="36" t="str">
        <f t="shared" ca="1" si="101"/>
        <v/>
      </c>
      <c r="AA236" s="70" t="str">
        <f t="shared" si="102"/>
        <v/>
      </c>
      <c r="AB236" s="2"/>
      <c r="AC236" s="94" t="str">
        <f t="shared" si="106"/>
        <v/>
      </c>
      <c r="AD236" s="95" t="str">
        <f t="shared" si="107"/>
        <v/>
      </c>
      <c r="AE236" s="96" t="str">
        <f t="shared" si="108"/>
        <v/>
      </c>
      <c r="AF236" s="124" t="str">
        <f t="shared" si="109"/>
        <v/>
      </c>
      <c r="AG236" s="2"/>
      <c r="AH236" s="2"/>
      <c r="AI236" s="2"/>
      <c r="AJ236" s="2"/>
      <c r="AK236" s="2"/>
      <c r="AL236" s="2"/>
    </row>
    <row r="237" spans="1:38" x14ac:dyDescent="0.2">
      <c r="A237" s="45"/>
      <c r="B237" s="43" t="str">
        <f t="shared" si="88"/>
        <v/>
      </c>
      <c r="C237" s="96" t="str">
        <f t="shared" si="111"/>
        <v/>
      </c>
      <c r="D237" s="44" t="str">
        <f t="shared" si="89"/>
        <v/>
      </c>
      <c r="E237" s="52"/>
      <c r="F237" s="63" t="str">
        <f t="shared" si="90"/>
        <v/>
      </c>
      <c r="G237" s="56" t="str">
        <f t="shared" si="91"/>
        <v/>
      </c>
      <c r="H237" s="42"/>
      <c r="I237" s="2" t="str">
        <f t="shared" si="92"/>
        <v/>
      </c>
      <c r="J237" s="54" t="str">
        <f t="shared" si="103"/>
        <v/>
      </c>
      <c r="K237" s="55" t="str">
        <f t="shared" si="93"/>
        <v/>
      </c>
      <c r="L237" s="63" t="str">
        <f t="shared" si="94"/>
        <v/>
      </c>
      <c r="M237" s="96" t="str">
        <f t="shared" si="104"/>
        <v/>
      </c>
      <c r="N237" s="96" t="str">
        <f>IF(A237="","",IF(A237=Expiry,0,EXP(-q*Q237)*_xlfn.NORM.S.DIST(Y237,0)/(sigma*SQRT(Q237))*I237*Mult/100))</f>
        <v/>
      </c>
      <c r="O237" s="96" t="str">
        <f>IF(A237="","",IF(A237=Expiry,0,D237*E237*E237*EXP(-q*Q237)*_xlfn.NORM.S.DIST(Y237,0)*SQRT(Q237)/100))</f>
        <v/>
      </c>
      <c r="P237" s="69" t="str">
        <f>IF(A237="","",IF(A237=Expiry,0,AK237*I237*Mult*((-EXP(-q*Q237)*E237*_xlfn.NORM.S.DIST(Y237,0)*sigma/(2*SQRT(Q237))-r_dom*K*EXP(-r_dom*Q237)*_xlfn.NORM.S.DIST(Z237,1)+q*E237*EXP(-q*Q237)*_xlfn.NORM.S.DIST(Y237,1))/365)))</f>
        <v/>
      </c>
      <c r="Q237" s="83" t="str">
        <f t="shared" si="95"/>
        <v/>
      </c>
      <c r="R237" s="38"/>
      <c r="S237" s="68" t="str">
        <f t="shared" si="96"/>
        <v/>
      </c>
      <c r="T237" s="69" t="str">
        <f t="shared" si="97"/>
        <v/>
      </c>
      <c r="U237" s="70" t="str">
        <f t="shared" si="98"/>
        <v/>
      </c>
      <c r="V237" s="72" t="str">
        <f t="shared" si="99"/>
        <v/>
      </c>
      <c r="W237" s="2" t="str">
        <f t="shared" si="110"/>
        <v/>
      </c>
      <c r="X237" s="2" t="str">
        <f t="shared" si="105"/>
        <v/>
      </c>
      <c r="Y237" s="35" t="str">
        <f t="shared" ca="1" si="100"/>
        <v/>
      </c>
      <c r="Z237" s="36" t="str">
        <f t="shared" ca="1" si="101"/>
        <v/>
      </c>
      <c r="AA237" s="70" t="str">
        <f t="shared" si="102"/>
        <v/>
      </c>
      <c r="AB237" s="2"/>
      <c r="AC237" s="94" t="str">
        <f t="shared" si="106"/>
        <v/>
      </c>
      <c r="AD237" s="95" t="str">
        <f t="shared" si="107"/>
        <v/>
      </c>
      <c r="AE237" s="96" t="str">
        <f t="shared" si="108"/>
        <v/>
      </c>
      <c r="AF237" s="124" t="str">
        <f t="shared" si="109"/>
        <v/>
      </c>
      <c r="AG237" s="2"/>
      <c r="AH237" s="2"/>
      <c r="AI237" s="2"/>
      <c r="AJ237" s="2"/>
      <c r="AK237" s="2"/>
      <c r="AL237" s="2"/>
    </row>
    <row r="238" spans="1:38" x14ac:dyDescent="0.2">
      <c r="A238" s="45"/>
      <c r="B238" s="43" t="str">
        <f t="shared" si="88"/>
        <v/>
      </c>
      <c r="C238" s="96" t="str">
        <f t="shared" si="111"/>
        <v/>
      </c>
      <c r="D238" s="44" t="str">
        <f t="shared" si="89"/>
        <v/>
      </c>
      <c r="E238" s="52"/>
      <c r="F238" s="63" t="str">
        <f t="shared" si="90"/>
        <v/>
      </c>
      <c r="G238" s="56" t="str">
        <f t="shared" si="91"/>
        <v/>
      </c>
      <c r="H238" s="42"/>
      <c r="I238" s="2" t="str">
        <f t="shared" si="92"/>
        <v/>
      </c>
      <c r="J238" s="54" t="str">
        <f t="shared" si="103"/>
        <v/>
      </c>
      <c r="K238" s="55" t="str">
        <f t="shared" si="93"/>
        <v/>
      </c>
      <c r="L238" s="63" t="str">
        <f t="shared" si="94"/>
        <v/>
      </c>
      <c r="M238" s="96" t="str">
        <f t="shared" si="104"/>
        <v/>
      </c>
      <c r="N238" s="96" t="str">
        <f>IF(A238="","",IF(A238=Expiry,0,EXP(-q*Q238)*_xlfn.NORM.S.DIST(Y238,0)/(sigma*SQRT(Q238))*I238*Mult/100))</f>
        <v/>
      </c>
      <c r="O238" s="96" t="str">
        <f>IF(A238="","",IF(A238=Expiry,0,D238*E238*E238*EXP(-q*Q238)*_xlfn.NORM.S.DIST(Y238,0)*SQRT(Q238)/100))</f>
        <v/>
      </c>
      <c r="P238" s="69" t="str">
        <f>IF(A238="","",IF(A238=Expiry,0,AK238*I238*Mult*((-EXP(-q*Q238)*E238*_xlfn.NORM.S.DIST(Y238,0)*sigma/(2*SQRT(Q238))-r_dom*K*EXP(-r_dom*Q238)*_xlfn.NORM.S.DIST(Z238,1)+q*E238*EXP(-q*Q238)*_xlfn.NORM.S.DIST(Y238,1))/365)))</f>
        <v/>
      </c>
      <c r="Q238" s="83" t="str">
        <f t="shared" si="95"/>
        <v/>
      </c>
      <c r="R238" s="38"/>
      <c r="S238" s="68" t="str">
        <f t="shared" si="96"/>
        <v/>
      </c>
      <c r="T238" s="69" t="str">
        <f t="shared" si="97"/>
        <v/>
      </c>
      <c r="U238" s="70" t="str">
        <f t="shared" si="98"/>
        <v/>
      </c>
      <c r="V238" s="72" t="str">
        <f t="shared" si="99"/>
        <v/>
      </c>
      <c r="W238" s="2" t="str">
        <f t="shared" si="110"/>
        <v/>
      </c>
      <c r="X238" s="2" t="str">
        <f t="shared" si="105"/>
        <v/>
      </c>
      <c r="Y238" s="35" t="str">
        <f t="shared" ca="1" si="100"/>
        <v/>
      </c>
      <c r="Z238" s="36" t="str">
        <f t="shared" ca="1" si="101"/>
        <v/>
      </c>
      <c r="AA238" s="70" t="str">
        <f t="shared" si="102"/>
        <v/>
      </c>
      <c r="AB238" s="2"/>
      <c r="AC238" s="94" t="str">
        <f t="shared" si="106"/>
        <v/>
      </c>
      <c r="AD238" s="95" t="str">
        <f t="shared" si="107"/>
        <v/>
      </c>
      <c r="AE238" s="96" t="str">
        <f t="shared" si="108"/>
        <v/>
      </c>
      <c r="AF238" s="124" t="str">
        <f t="shared" si="109"/>
        <v/>
      </c>
      <c r="AG238" s="2"/>
      <c r="AH238" s="2"/>
      <c r="AI238" s="2"/>
      <c r="AJ238" s="2"/>
      <c r="AK238" s="2"/>
      <c r="AL238" s="2"/>
    </row>
    <row r="239" spans="1:38" x14ac:dyDescent="0.2">
      <c r="A239" s="45"/>
      <c r="B239" s="43" t="str">
        <f t="shared" si="88"/>
        <v/>
      </c>
      <c r="C239" s="96" t="str">
        <f t="shared" si="111"/>
        <v/>
      </c>
      <c r="D239" s="44" t="str">
        <f t="shared" si="89"/>
        <v/>
      </c>
      <c r="E239" s="52"/>
      <c r="F239" s="63" t="str">
        <f t="shared" si="90"/>
        <v/>
      </c>
      <c r="G239" s="56" t="str">
        <f t="shared" si="91"/>
        <v/>
      </c>
      <c r="H239" s="42"/>
      <c r="I239" s="2" t="str">
        <f t="shared" si="92"/>
        <v/>
      </c>
      <c r="J239" s="54" t="str">
        <f t="shared" si="103"/>
        <v/>
      </c>
      <c r="K239" s="55" t="str">
        <f t="shared" si="93"/>
        <v/>
      </c>
      <c r="L239" s="63" t="str">
        <f t="shared" si="94"/>
        <v/>
      </c>
      <c r="M239" s="96" t="str">
        <f t="shared" si="104"/>
        <v/>
      </c>
      <c r="N239" s="96" t="str">
        <f>IF(A239="","",IF(A239=Expiry,0,EXP(-q*Q239)*_xlfn.NORM.S.DIST(Y239,0)/(sigma*SQRT(Q239))*I239*Mult/100))</f>
        <v/>
      </c>
      <c r="O239" s="96" t="str">
        <f>IF(A239="","",IF(A239=Expiry,0,D239*E239*E239*EXP(-q*Q239)*_xlfn.NORM.S.DIST(Y239,0)*SQRT(Q239)/100))</f>
        <v/>
      </c>
      <c r="P239" s="69" t="str">
        <f>IF(A239="","",IF(A239=Expiry,0,AK239*I239*Mult*((-EXP(-q*Q239)*E239*_xlfn.NORM.S.DIST(Y239,0)*sigma/(2*SQRT(Q239))-r_dom*K*EXP(-r_dom*Q239)*_xlfn.NORM.S.DIST(Z239,1)+q*E239*EXP(-q*Q239)*_xlfn.NORM.S.DIST(Y239,1))/365)))</f>
        <v/>
      </c>
      <c r="Q239" s="83" t="str">
        <f t="shared" si="95"/>
        <v/>
      </c>
      <c r="R239" s="38"/>
      <c r="S239" s="68" t="str">
        <f t="shared" si="96"/>
        <v/>
      </c>
      <c r="T239" s="69" t="str">
        <f t="shared" si="97"/>
        <v/>
      </c>
      <c r="U239" s="70" t="str">
        <f t="shared" si="98"/>
        <v/>
      </c>
      <c r="V239" s="72" t="str">
        <f t="shared" si="99"/>
        <v/>
      </c>
      <c r="W239" s="2" t="str">
        <f t="shared" si="110"/>
        <v/>
      </c>
      <c r="X239" s="2" t="str">
        <f t="shared" si="105"/>
        <v/>
      </c>
      <c r="Y239" s="35" t="str">
        <f t="shared" ca="1" si="100"/>
        <v/>
      </c>
      <c r="Z239" s="36" t="str">
        <f t="shared" ca="1" si="101"/>
        <v/>
      </c>
      <c r="AA239" s="70" t="str">
        <f t="shared" si="102"/>
        <v/>
      </c>
      <c r="AB239" s="2"/>
      <c r="AC239" s="94" t="str">
        <f t="shared" si="106"/>
        <v/>
      </c>
      <c r="AD239" s="95" t="str">
        <f t="shared" si="107"/>
        <v/>
      </c>
      <c r="AE239" s="96" t="str">
        <f t="shared" si="108"/>
        <v/>
      </c>
      <c r="AF239" s="124" t="str">
        <f t="shared" si="109"/>
        <v/>
      </c>
      <c r="AG239" s="2"/>
      <c r="AH239" s="2"/>
      <c r="AI239" s="2"/>
      <c r="AJ239" s="2"/>
      <c r="AK239" s="2"/>
      <c r="AL239" s="2"/>
    </row>
    <row r="240" spans="1:38" x14ac:dyDescent="0.2">
      <c r="A240" s="45"/>
      <c r="B240" s="43" t="str">
        <f t="shared" si="88"/>
        <v/>
      </c>
      <c r="C240" s="96" t="str">
        <f t="shared" si="111"/>
        <v/>
      </c>
      <c r="D240" s="44" t="str">
        <f t="shared" si="89"/>
        <v/>
      </c>
      <c r="E240" s="52"/>
      <c r="F240" s="63" t="str">
        <f t="shared" si="90"/>
        <v/>
      </c>
      <c r="G240" s="56" t="str">
        <f t="shared" si="91"/>
        <v/>
      </c>
      <c r="H240" s="42"/>
      <c r="I240" s="2" t="str">
        <f t="shared" si="92"/>
        <v/>
      </c>
      <c r="J240" s="54" t="str">
        <f t="shared" si="103"/>
        <v/>
      </c>
      <c r="K240" s="55" t="str">
        <f t="shared" si="93"/>
        <v/>
      </c>
      <c r="L240" s="63" t="str">
        <f t="shared" si="94"/>
        <v/>
      </c>
      <c r="M240" s="96" t="str">
        <f t="shared" si="104"/>
        <v/>
      </c>
      <c r="N240" s="96" t="str">
        <f>IF(A240="","",IF(A240=Expiry,0,EXP(-q*Q240)*_xlfn.NORM.S.DIST(Y240,0)/(sigma*SQRT(Q240))*I240*Mult/100))</f>
        <v/>
      </c>
      <c r="O240" s="96" t="str">
        <f>IF(A240="","",IF(A240=Expiry,0,D240*E240*E240*EXP(-q*Q240)*_xlfn.NORM.S.DIST(Y240,0)*SQRT(Q240)/100))</f>
        <v/>
      </c>
      <c r="P240" s="69" t="str">
        <f>IF(A240="","",IF(A240=Expiry,0,AK240*I240*Mult*((-EXP(-q*Q240)*E240*_xlfn.NORM.S.DIST(Y240,0)*sigma/(2*SQRT(Q240))-r_dom*K*EXP(-r_dom*Q240)*_xlfn.NORM.S.DIST(Z240,1)+q*E240*EXP(-q*Q240)*_xlfn.NORM.S.DIST(Y240,1))/365)))</f>
        <v/>
      </c>
      <c r="Q240" s="83" t="str">
        <f t="shared" si="95"/>
        <v/>
      </c>
      <c r="R240" s="38"/>
      <c r="S240" s="68" t="str">
        <f t="shared" si="96"/>
        <v/>
      </c>
      <c r="T240" s="69" t="str">
        <f t="shared" si="97"/>
        <v/>
      </c>
      <c r="U240" s="70" t="str">
        <f t="shared" si="98"/>
        <v/>
      </c>
      <c r="V240" s="72" t="str">
        <f t="shared" si="99"/>
        <v/>
      </c>
      <c r="W240" s="2" t="str">
        <f t="shared" si="110"/>
        <v/>
      </c>
      <c r="X240" s="2" t="str">
        <f t="shared" si="105"/>
        <v/>
      </c>
      <c r="Y240" s="35" t="str">
        <f t="shared" ca="1" si="100"/>
        <v/>
      </c>
      <c r="Z240" s="36" t="str">
        <f t="shared" ca="1" si="101"/>
        <v/>
      </c>
      <c r="AA240" s="70" t="str">
        <f t="shared" si="102"/>
        <v/>
      </c>
      <c r="AB240" s="2"/>
      <c r="AC240" s="94" t="str">
        <f t="shared" si="106"/>
        <v/>
      </c>
      <c r="AD240" s="95" t="str">
        <f t="shared" si="107"/>
        <v/>
      </c>
      <c r="AE240" s="96" t="str">
        <f t="shared" si="108"/>
        <v/>
      </c>
      <c r="AF240" s="124" t="str">
        <f t="shared" si="109"/>
        <v/>
      </c>
      <c r="AG240" s="2"/>
      <c r="AH240" s="2"/>
      <c r="AI240" s="2"/>
      <c r="AJ240" s="2"/>
      <c r="AK240" s="2"/>
      <c r="AL240" s="2"/>
    </row>
    <row r="241" spans="1:38" x14ac:dyDescent="0.2">
      <c r="A241" s="45"/>
      <c r="B241" s="43" t="str">
        <f t="shared" si="88"/>
        <v/>
      </c>
      <c r="C241" s="96" t="str">
        <f t="shared" si="111"/>
        <v/>
      </c>
      <c r="D241" s="44" t="str">
        <f t="shared" si="89"/>
        <v/>
      </c>
      <c r="E241" s="52"/>
      <c r="F241" s="63" t="str">
        <f t="shared" si="90"/>
        <v/>
      </c>
      <c r="G241" s="56" t="str">
        <f t="shared" si="91"/>
        <v/>
      </c>
      <c r="H241" s="42"/>
      <c r="I241" s="2" t="str">
        <f t="shared" si="92"/>
        <v/>
      </c>
      <c r="J241" s="54" t="str">
        <f t="shared" si="103"/>
        <v/>
      </c>
      <c r="K241" s="55" t="str">
        <f t="shared" si="93"/>
        <v/>
      </c>
      <c r="L241" s="63" t="str">
        <f t="shared" si="94"/>
        <v/>
      </c>
      <c r="M241" s="96" t="str">
        <f t="shared" si="104"/>
        <v/>
      </c>
      <c r="N241" s="96" t="str">
        <f>IF(A241="","",IF(A241=Expiry,0,EXP(-q*Q241)*_xlfn.NORM.S.DIST(Y241,0)/(sigma*SQRT(Q241))*I241*Mult/100))</f>
        <v/>
      </c>
      <c r="O241" s="96" t="str">
        <f>IF(A241="","",IF(A241=Expiry,0,D241*E241*E241*EXP(-q*Q241)*_xlfn.NORM.S.DIST(Y241,0)*SQRT(Q241)/100))</f>
        <v/>
      </c>
      <c r="P241" s="69" t="str">
        <f>IF(A241="","",IF(A241=Expiry,0,AK241*I241*Mult*((-EXP(-q*Q241)*E241*_xlfn.NORM.S.DIST(Y241,0)*sigma/(2*SQRT(Q241))-r_dom*K*EXP(-r_dom*Q241)*_xlfn.NORM.S.DIST(Z241,1)+q*E241*EXP(-q*Q241)*_xlfn.NORM.S.DIST(Y241,1))/365)))</f>
        <v/>
      </c>
      <c r="Q241" s="83" t="str">
        <f t="shared" si="95"/>
        <v/>
      </c>
      <c r="R241" s="38"/>
      <c r="S241" s="68" t="str">
        <f t="shared" si="96"/>
        <v/>
      </c>
      <c r="T241" s="69" t="str">
        <f t="shared" si="97"/>
        <v/>
      </c>
      <c r="U241" s="70" t="str">
        <f t="shared" si="98"/>
        <v/>
      </c>
      <c r="V241" s="72" t="str">
        <f t="shared" si="99"/>
        <v/>
      </c>
      <c r="W241" s="2" t="str">
        <f t="shared" si="110"/>
        <v/>
      </c>
      <c r="X241" s="2" t="str">
        <f t="shared" si="105"/>
        <v/>
      </c>
      <c r="Y241" s="35" t="str">
        <f t="shared" ca="1" si="100"/>
        <v/>
      </c>
      <c r="Z241" s="36" t="str">
        <f t="shared" ca="1" si="101"/>
        <v/>
      </c>
      <c r="AA241" s="70" t="str">
        <f t="shared" si="102"/>
        <v/>
      </c>
      <c r="AB241" s="2"/>
      <c r="AC241" s="94" t="str">
        <f t="shared" si="106"/>
        <v/>
      </c>
      <c r="AD241" s="95" t="str">
        <f t="shared" si="107"/>
        <v/>
      </c>
      <c r="AE241" s="96" t="str">
        <f t="shared" si="108"/>
        <v/>
      </c>
      <c r="AF241" s="124" t="str">
        <f t="shared" si="109"/>
        <v/>
      </c>
      <c r="AG241" s="2"/>
      <c r="AH241" s="2"/>
      <c r="AI241" s="2"/>
      <c r="AJ241" s="2"/>
      <c r="AK241" s="2"/>
      <c r="AL241" s="2"/>
    </row>
    <row r="242" spans="1:38" x14ac:dyDescent="0.2">
      <c r="A242" s="45"/>
      <c r="B242" s="43" t="str">
        <f t="shared" ref="B242:B305" si="112">IF(A242="","",-(M242+C241))</f>
        <v/>
      </c>
      <c r="C242" s="96" t="str">
        <f t="shared" si="111"/>
        <v/>
      </c>
      <c r="D242" s="44" t="str">
        <f t="shared" ref="D242:D305" si="113">IF(A242="","",C242*E242)</f>
        <v/>
      </c>
      <c r="E242" s="52"/>
      <c r="F242" s="63" t="str">
        <f t="shared" ref="F242:F305" si="114">IF(A242="","",C241*(E242-E241))</f>
        <v/>
      </c>
      <c r="G242" s="56" t="str">
        <f t="shared" ref="G242:G305" si="115">IF(H242="","",J242)</f>
        <v/>
      </c>
      <c r="H242" s="42"/>
      <c r="I242" s="2" t="str">
        <f t="shared" ref="I242:I305" si="116">IF(A242="","",I241+H242)</f>
        <v/>
      </c>
      <c r="J242" s="54" t="str">
        <f t="shared" si="103"/>
        <v/>
      </c>
      <c r="K242" s="55" t="str">
        <f t="shared" ref="K242:K305" si="117">IF(I242="","",I242*Mult*J242)</f>
        <v/>
      </c>
      <c r="L242" s="63" t="str">
        <f t="shared" ref="L242:L305" si="118">IF(A242="","",Mult*(IFERROR(0,H242*(G242-J242))+(I242-H242)*(J242-J241)))</f>
        <v/>
      </c>
      <c r="M242" s="96" t="str">
        <f t="shared" si="104"/>
        <v/>
      </c>
      <c r="N242" s="96" t="str">
        <f>IF(A242="","",IF(A242=Expiry,0,EXP(-q*Q242)*_xlfn.NORM.S.DIST(Y242,0)/(sigma*SQRT(Q242))*I242*Mult/100))</f>
        <v/>
      </c>
      <c r="O242" s="96" t="str">
        <f>IF(A242="","",IF(A242=Expiry,0,D242*E242*E242*EXP(-q*Q242)*_xlfn.NORM.S.DIST(Y242,0)*SQRT(Q242)/100))</f>
        <v/>
      </c>
      <c r="P242" s="69" t="str">
        <f>IF(A242="","",IF(A242=Expiry,0,AK242*I242*Mult*((-EXP(-q*Q242)*E242*_xlfn.NORM.S.DIST(Y242,0)*sigma/(2*SQRT(Q242))-r_dom*K*EXP(-r_dom*Q242)*_xlfn.NORM.S.DIST(Z242,1)+q*E242*EXP(-q*Q242)*_xlfn.NORM.S.DIST(Y242,1))/365)))</f>
        <v/>
      </c>
      <c r="Q242" s="83" t="str">
        <f t="shared" ref="Q242:Q305" si="119">IF(A242="","",IF(OR(A242="",Expiry&lt;=A242),0,(Expiry-A242)/365))</f>
        <v/>
      </c>
      <c r="R242" s="38"/>
      <c r="S242" s="68" t="str">
        <f t="shared" ref="S242:S305" si="120">IF(A242="","",F242+L242)</f>
        <v/>
      </c>
      <c r="T242" s="69" t="str">
        <f t="shared" ref="T242:T305" si="121">IF(A242="","",T241+S242)</f>
        <v/>
      </c>
      <c r="U242" s="70" t="str">
        <f t="shared" ref="U242:U305" si="122">IF(A242="","",LN(T242/T241))</f>
        <v/>
      </c>
      <c r="V242" s="72" t="str">
        <f t="shared" ref="V242:V305" si="123">IF(A242="","",V241*EXP(U242))</f>
        <v/>
      </c>
      <c r="W242" s="2" t="str">
        <f t="shared" si="110"/>
        <v/>
      </c>
      <c r="X242" s="2" t="str">
        <f t="shared" si="105"/>
        <v/>
      </c>
      <c r="Y242" s="35" t="str">
        <f t="shared" ref="Y242:Y305" ca="1" si="124">IF(OR(A242="",A242=Expiry),"",((LN(E242/K)+(r_dom-q+sigma^2/2)*Q242))/(sigma*SQRT(Q242)))</f>
        <v/>
      </c>
      <c r="Z242" s="36" t="str">
        <f t="shared" ref="Z242:Z305" ca="1" si="125">IF(OR(A242="",A242=Expiry),"",Y242-sigma*SQRT(Q242))</f>
        <v/>
      </c>
      <c r="AA242" s="70" t="str">
        <f t="shared" ref="AA242:AA305" si="126">IF(A242="","",LN(E242/E241))</f>
        <v/>
      </c>
      <c r="AB242" s="2"/>
      <c r="AC242" s="94" t="str">
        <f t="shared" si="106"/>
        <v/>
      </c>
      <c r="AD242" s="95" t="str">
        <f t="shared" si="107"/>
        <v/>
      </c>
      <c r="AE242" s="96" t="str">
        <f t="shared" si="108"/>
        <v/>
      </c>
      <c r="AF242" s="124" t="str">
        <f t="shared" si="109"/>
        <v/>
      </c>
      <c r="AG242" s="2"/>
      <c r="AH242" s="2"/>
      <c r="AI242" s="2"/>
      <c r="AJ242" s="2"/>
      <c r="AK242" s="2"/>
      <c r="AL242" s="2"/>
    </row>
    <row r="243" spans="1:38" x14ac:dyDescent="0.2">
      <c r="A243" s="45"/>
      <c r="B243" s="43" t="str">
        <f t="shared" si="112"/>
        <v/>
      </c>
      <c r="C243" s="96" t="str">
        <f t="shared" si="111"/>
        <v/>
      </c>
      <c r="D243" s="44" t="str">
        <f t="shared" si="113"/>
        <v/>
      </c>
      <c r="E243" s="52"/>
      <c r="F243" s="63" t="str">
        <f t="shared" si="114"/>
        <v/>
      </c>
      <c r="G243" s="56" t="str">
        <f t="shared" si="115"/>
        <v/>
      </c>
      <c r="H243" s="42"/>
      <c r="I243" s="2" t="str">
        <f t="shared" si="116"/>
        <v/>
      </c>
      <c r="J243" s="54" t="str">
        <f t="shared" si="103"/>
        <v/>
      </c>
      <c r="K243" s="55" t="str">
        <f t="shared" si="117"/>
        <v/>
      </c>
      <c r="L243" s="63" t="str">
        <f t="shared" si="118"/>
        <v/>
      </c>
      <c r="M243" s="96" t="str">
        <f t="shared" si="104"/>
        <v/>
      </c>
      <c r="N243" s="96" t="str">
        <f>IF(A243="","",IF(A243=Expiry,0,EXP(-q*Q243)*_xlfn.NORM.S.DIST(Y243,0)/(sigma*SQRT(Q243))*I243*Mult/100))</f>
        <v/>
      </c>
      <c r="O243" s="96" t="str">
        <f>IF(A243="","",IF(A243=Expiry,0,D243*E243*E243*EXP(-q*Q243)*_xlfn.NORM.S.DIST(Y243,0)*SQRT(Q243)/100))</f>
        <v/>
      </c>
      <c r="P243" s="69" t="str">
        <f>IF(A243="","",IF(A243=Expiry,0,AK243*I243*Mult*((-EXP(-q*Q243)*E243*_xlfn.NORM.S.DIST(Y243,0)*sigma/(2*SQRT(Q243))-r_dom*K*EXP(-r_dom*Q243)*_xlfn.NORM.S.DIST(Z243,1)+q*E243*EXP(-q*Q243)*_xlfn.NORM.S.DIST(Y243,1))/365)))</f>
        <v/>
      </c>
      <c r="Q243" s="83" t="str">
        <f t="shared" si="119"/>
        <v/>
      </c>
      <c r="R243" s="38"/>
      <c r="S243" s="68" t="str">
        <f t="shared" si="120"/>
        <v/>
      </c>
      <c r="T243" s="69" t="str">
        <f t="shared" si="121"/>
        <v/>
      </c>
      <c r="U243" s="70" t="str">
        <f t="shared" si="122"/>
        <v/>
      </c>
      <c r="V243" s="72" t="str">
        <f t="shared" si="123"/>
        <v/>
      </c>
      <c r="W243" s="2" t="str">
        <f t="shared" si="110"/>
        <v/>
      </c>
      <c r="X243" s="2" t="str">
        <f t="shared" si="105"/>
        <v/>
      </c>
      <c r="Y243" s="35" t="str">
        <f t="shared" ca="1" si="124"/>
        <v/>
      </c>
      <c r="Z243" s="36" t="str">
        <f t="shared" ca="1" si="125"/>
        <v/>
      </c>
      <c r="AA243" s="70" t="str">
        <f t="shared" si="126"/>
        <v/>
      </c>
      <c r="AB243" s="2"/>
      <c r="AC243" s="94" t="str">
        <f t="shared" si="106"/>
        <v/>
      </c>
      <c r="AD243" s="95" t="str">
        <f t="shared" si="107"/>
        <v/>
      </c>
      <c r="AE243" s="96" t="str">
        <f t="shared" si="108"/>
        <v/>
      </c>
      <c r="AF243" s="124" t="str">
        <f t="shared" si="109"/>
        <v/>
      </c>
      <c r="AG243" s="2"/>
      <c r="AH243" s="2"/>
      <c r="AI243" s="2"/>
      <c r="AJ243" s="2"/>
      <c r="AK243" s="2"/>
      <c r="AL243" s="2"/>
    </row>
    <row r="244" spans="1:38" x14ac:dyDescent="0.2">
      <c r="A244" s="45"/>
      <c r="B244" s="43" t="str">
        <f t="shared" si="112"/>
        <v/>
      </c>
      <c r="C244" s="96" t="str">
        <f t="shared" si="111"/>
        <v/>
      </c>
      <c r="D244" s="44" t="str">
        <f t="shared" si="113"/>
        <v/>
      </c>
      <c r="E244" s="52"/>
      <c r="F244" s="63" t="str">
        <f t="shared" si="114"/>
        <v/>
      </c>
      <c r="G244" s="56" t="str">
        <f t="shared" si="115"/>
        <v/>
      </c>
      <c r="H244" s="42"/>
      <c r="I244" s="2" t="str">
        <f t="shared" si="116"/>
        <v/>
      </c>
      <c r="J244" s="54" t="str">
        <f t="shared" si="103"/>
        <v/>
      </c>
      <c r="K244" s="55" t="str">
        <f t="shared" si="117"/>
        <v/>
      </c>
      <c r="L244" s="63" t="str">
        <f t="shared" si="118"/>
        <v/>
      </c>
      <c r="M244" s="96" t="str">
        <f t="shared" si="104"/>
        <v/>
      </c>
      <c r="N244" s="96" t="str">
        <f>IF(A244="","",IF(A244=Expiry,0,EXP(-q*Q244)*_xlfn.NORM.S.DIST(Y244,0)/(sigma*SQRT(Q244))*I244*Mult/100))</f>
        <v/>
      </c>
      <c r="O244" s="96" t="str">
        <f>IF(A244="","",IF(A244=Expiry,0,D244*E244*E244*EXP(-q*Q244)*_xlfn.NORM.S.DIST(Y244,0)*SQRT(Q244)/100))</f>
        <v/>
      </c>
      <c r="P244" s="69" t="str">
        <f>IF(A244="","",IF(A244=Expiry,0,AK244*I244*Mult*((-EXP(-q*Q244)*E244*_xlfn.NORM.S.DIST(Y244,0)*sigma/(2*SQRT(Q244))-r_dom*K*EXP(-r_dom*Q244)*_xlfn.NORM.S.DIST(Z244,1)+q*E244*EXP(-q*Q244)*_xlfn.NORM.S.DIST(Y244,1))/365)))</f>
        <v/>
      </c>
      <c r="Q244" s="83" t="str">
        <f t="shared" si="119"/>
        <v/>
      </c>
      <c r="R244" s="38"/>
      <c r="S244" s="68" t="str">
        <f t="shared" si="120"/>
        <v/>
      </c>
      <c r="T244" s="69" t="str">
        <f t="shared" si="121"/>
        <v/>
      </c>
      <c r="U244" s="70" t="str">
        <f t="shared" si="122"/>
        <v/>
      </c>
      <c r="V244" s="72" t="str">
        <f t="shared" si="123"/>
        <v/>
      </c>
      <c r="W244" s="2" t="str">
        <f t="shared" si="110"/>
        <v/>
      </c>
      <c r="X244" s="2" t="str">
        <f t="shared" si="105"/>
        <v/>
      </c>
      <c r="Y244" s="35" t="str">
        <f t="shared" ca="1" si="124"/>
        <v/>
      </c>
      <c r="Z244" s="36" t="str">
        <f t="shared" ca="1" si="125"/>
        <v/>
      </c>
      <c r="AA244" s="70" t="str">
        <f t="shared" si="126"/>
        <v/>
      </c>
      <c r="AB244" s="2"/>
      <c r="AC244" s="94" t="str">
        <f t="shared" si="106"/>
        <v/>
      </c>
      <c r="AD244" s="95" t="str">
        <f t="shared" si="107"/>
        <v/>
      </c>
      <c r="AE244" s="96" t="str">
        <f t="shared" si="108"/>
        <v/>
      </c>
      <c r="AF244" s="124" t="str">
        <f t="shared" si="109"/>
        <v/>
      </c>
      <c r="AG244" s="2"/>
      <c r="AH244" s="2"/>
      <c r="AI244" s="2"/>
      <c r="AJ244" s="2"/>
      <c r="AK244" s="2"/>
      <c r="AL244" s="2"/>
    </row>
    <row r="245" spans="1:38" x14ac:dyDescent="0.2">
      <c r="A245" s="45"/>
      <c r="B245" s="43" t="str">
        <f t="shared" si="112"/>
        <v/>
      </c>
      <c r="C245" s="96" t="str">
        <f t="shared" si="111"/>
        <v/>
      </c>
      <c r="D245" s="44" t="str">
        <f t="shared" si="113"/>
        <v/>
      </c>
      <c r="E245" s="52"/>
      <c r="F245" s="63" t="str">
        <f t="shared" si="114"/>
        <v/>
      </c>
      <c r="G245" s="56" t="str">
        <f t="shared" si="115"/>
        <v/>
      </c>
      <c r="H245" s="42"/>
      <c r="I245" s="2" t="str">
        <f t="shared" si="116"/>
        <v/>
      </c>
      <c r="J245" s="54" t="str">
        <f t="shared" si="103"/>
        <v/>
      </c>
      <c r="K245" s="55" t="str">
        <f t="shared" si="117"/>
        <v/>
      </c>
      <c r="L245" s="63" t="str">
        <f t="shared" si="118"/>
        <v/>
      </c>
      <c r="M245" s="96" t="str">
        <f t="shared" si="104"/>
        <v/>
      </c>
      <c r="N245" s="96" t="str">
        <f>IF(A245="","",IF(A245=Expiry,0,EXP(-q*Q245)*_xlfn.NORM.S.DIST(Y245,0)/(sigma*SQRT(Q245))*I245*Mult/100))</f>
        <v/>
      </c>
      <c r="O245" s="96" t="str">
        <f>IF(A245="","",IF(A245=Expiry,0,D245*E245*E245*EXP(-q*Q245)*_xlfn.NORM.S.DIST(Y245,0)*SQRT(Q245)/100))</f>
        <v/>
      </c>
      <c r="P245" s="69" t="str">
        <f>IF(A245="","",IF(A245=Expiry,0,AK245*I245*Mult*((-EXP(-q*Q245)*E245*_xlfn.NORM.S.DIST(Y245,0)*sigma/(2*SQRT(Q245))-r_dom*K*EXP(-r_dom*Q245)*_xlfn.NORM.S.DIST(Z245,1)+q*E245*EXP(-q*Q245)*_xlfn.NORM.S.DIST(Y245,1))/365)))</f>
        <v/>
      </c>
      <c r="Q245" s="83" t="str">
        <f t="shared" si="119"/>
        <v/>
      </c>
      <c r="R245" s="38"/>
      <c r="S245" s="68" t="str">
        <f t="shared" si="120"/>
        <v/>
      </c>
      <c r="T245" s="69" t="str">
        <f t="shared" si="121"/>
        <v/>
      </c>
      <c r="U245" s="70" t="str">
        <f t="shared" si="122"/>
        <v/>
      </c>
      <c r="V245" s="72" t="str">
        <f t="shared" si="123"/>
        <v/>
      </c>
      <c r="W245" s="2" t="str">
        <f t="shared" si="110"/>
        <v/>
      </c>
      <c r="X245" s="2" t="str">
        <f t="shared" si="105"/>
        <v/>
      </c>
      <c r="Y245" s="35" t="str">
        <f t="shared" ca="1" si="124"/>
        <v/>
      </c>
      <c r="Z245" s="36" t="str">
        <f t="shared" ca="1" si="125"/>
        <v/>
      </c>
      <c r="AA245" s="70" t="str">
        <f t="shared" si="126"/>
        <v/>
      </c>
      <c r="AB245" s="2"/>
      <c r="AC245" s="94" t="str">
        <f t="shared" si="106"/>
        <v/>
      </c>
      <c r="AD245" s="95" t="str">
        <f t="shared" si="107"/>
        <v/>
      </c>
      <c r="AE245" s="96" t="str">
        <f t="shared" si="108"/>
        <v/>
      </c>
      <c r="AF245" s="124" t="str">
        <f t="shared" si="109"/>
        <v/>
      </c>
      <c r="AG245" s="2"/>
      <c r="AH245" s="2"/>
      <c r="AI245" s="2"/>
      <c r="AJ245" s="2"/>
      <c r="AK245" s="2"/>
      <c r="AL245" s="2"/>
    </row>
    <row r="246" spans="1:38" x14ac:dyDescent="0.2">
      <c r="A246" s="45"/>
      <c r="B246" s="43" t="str">
        <f t="shared" si="112"/>
        <v/>
      </c>
      <c r="C246" s="96" t="str">
        <f t="shared" si="111"/>
        <v/>
      </c>
      <c r="D246" s="44" t="str">
        <f t="shared" si="113"/>
        <v/>
      </c>
      <c r="E246" s="52"/>
      <c r="F246" s="63" t="str">
        <f t="shared" si="114"/>
        <v/>
      </c>
      <c r="G246" s="56" t="str">
        <f t="shared" si="115"/>
        <v/>
      </c>
      <c r="H246" s="42"/>
      <c r="I246" s="2" t="str">
        <f t="shared" si="116"/>
        <v/>
      </c>
      <c r="J246" s="54" t="str">
        <f t="shared" si="103"/>
        <v/>
      </c>
      <c r="K246" s="55" t="str">
        <f t="shared" si="117"/>
        <v/>
      </c>
      <c r="L246" s="63" t="str">
        <f t="shared" si="118"/>
        <v/>
      </c>
      <c r="M246" s="96" t="str">
        <f t="shared" si="104"/>
        <v/>
      </c>
      <c r="N246" s="96" t="str">
        <f>IF(A246="","",IF(A246=Expiry,0,EXP(-q*Q246)*_xlfn.NORM.S.DIST(Y246,0)/(sigma*SQRT(Q246))*I246*Mult/100))</f>
        <v/>
      </c>
      <c r="O246" s="96" t="str">
        <f>IF(A246="","",IF(A246=Expiry,0,D246*E246*E246*EXP(-q*Q246)*_xlfn.NORM.S.DIST(Y246,0)*SQRT(Q246)/100))</f>
        <v/>
      </c>
      <c r="P246" s="69" t="str">
        <f>IF(A246="","",IF(A246=Expiry,0,AK246*I246*Mult*((-EXP(-q*Q246)*E246*_xlfn.NORM.S.DIST(Y246,0)*sigma/(2*SQRT(Q246))-r_dom*K*EXP(-r_dom*Q246)*_xlfn.NORM.S.DIST(Z246,1)+q*E246*EXP(-q*Q246)*_xlfn.NORM.S.DIST(Y246,1))/365)))</f>
        <v/>
      </c>
      <c r="Q246" s="83" t="str">
        <f t="shared" si="119"/>
        <v/>
      </c>
      <c r="R246" s="38"/>
      <c r="S246" s="68" t="str">
        <f t="shared" si="120"/>
        <v/>
      </c>
      <c r="T246" s="69" t="str">
        <f t="shared" si="121"/>
        <v/>
      </c>
      <c r="U246" s="70" t="str">
        <f t="shared" si="122"/>
        <v/>
      </c>
      <c r="V246" s="72" t="str">
        <f t="shared" si="123"/>
        <v/>
      </c>
      <c r="W246" s="2" t="str">
        <f t="shared" si="110"/>
        <v/>
      </c>
      <c r="X246" s="2" t="str">
        <f t="shared" si="105"/>
        <v/>
      </c>
      <c r="Y246" s="35" t="str">
        <f t="shared" ca="1" si="124"/>
        <v/>
      </c>
      <c r="Z246" s="36" t="str">
        <f t="shared" ca="1" si="125"/>
        <v/>
      </c>
      <c r="AA246" s="70" t="str">
        <f t="shared" si="126"/>
        <v/>
      </c>
      <c r="AB246" s="2"/>
      <c r="AC246" s="94" t="str">
        <f t="shared" si="106"/>
        <v/>
      </c>
      <c r="AD246" s="95" t="str">
        <f t="shared" si="107"/>
        <v/>
      </c>
      <c r="AE246" s="96" t="str">
        <f t="shared" si="108"/>
        <v/>
      </c>
      <c r="AF246" s="124" t="str">
        <f t="shared" si="109"/>
        <v/>
      </c>
      <c r="AG246" s="2"/>
      <c r="AH246" s="2"/>
      <c r="AI246" s="2"/>
      <c r="AJ246" s="2"/>
      <c r="AK246" s="2"/>
      <c r="AL246" s="2"/>
    </row>
    <row r="247" spans="1:38" x14ac:dyDescent="0.2">
      <c r="A247" s="45"/>
      <c r="B247" s="43" t="str">
        <f t="shared" si="112"/>
        <v/>
      </c>
      <c r="C247" s="96" t="str">
        <f t="shared" si="111"/>
        <v/>
      </c>
      <c r="D247" s="44" t="str">
        <f t="shared" si="113"/>
        <v/>
      </c>
      <c r="E247" s="52"/>
      <c r="F247" s="63" t="str">
        <f t="shared" si="114"/>
        <v/>
      </c>
      <c r="G247" s="56" t="str">
        <f t="shared" si="115"/>
        <v/>
      </c>
      <c r="H247" s="42"/>
      <c r="I247" s="2" t="str">
        <f t="shared" si="116"/>
        <v/>
      </c>
      <c r="J247" s="54" t="str">
        <f t="shared" si="103"/>
        <v/>
      </c>
      <c r="K247" s="55" t="str">
        <f t="shared" si="117"/>
        <v/>
      </c>
      <c r="L247" s="63" t="str">
        <f t="shared" si="118"/>
        <v/>
      </c>
      <c r="M247" s="96" t="str">
        <f t="shared" si="104"/>
        <v/>
      </c>
      <c r="N247" s="96" t="str">
        <f>IF(A247="","",IF(A247=Expiry,0,EXP(-q*Q247)*_xlfn.NORM.S.DIST(Y247,0)/(sigma*SQRT(Q247))*I247*Mult/100))</f>
        <v/>
      </c>
      <c r="O247" s="96" t="str">
        <f>IF(A247="","",IF(A247=Expiry,0,D247*E247*E247*EXP(-q*Q247)*_xlfn.NORM.S.DIST(Y247,0)*SQRT(Q247)/100))</f>
        <v/>
      </c>
      <c r="P247" s="69" t="str">
        <f>IF(A247="","",IF(A247=Expiry,0,AK247*I247*Mult*((-EXP(-q*Q247)*E247*_xlfn.NORM.S.DIST(Y247,0)*sigma/(2*SQRT(Q247))-r_dom*K*EXP(-r_dom*Q247)*_xlfn.NORM.S.DIST(Z247,1)+q*E247*EXP(-q*Q247)*_xlfn.NORM.S.DIST(Y247,1))/365)))</f>
        <v/>
      </c>
      <c r="Q247" s="83" t="str">
        <f t="shared" si="119"/>
        <v/>
      </c>
      <c r="R247" s="38"/>
      <c r="S247" s="68" t="str">
        <f t="shared" si="120"/>
        <v/>
      </c>
      <c r="T247" s="69" t="str">
        <f t="shared" si="121"/>
        <v/>
      </c>
      <c r="U247" s="70" t="str">
        <f t="shared" si="122"/>
        <v/>
      </c>
      <c r="V247" s="72" t="str">
        <f t="shared" si="123"/>
        <v/>
      </c>
      <c r="W247" s="2" t="str">
        <f t="shared" si="110"/>
        <v/>
      </c>
      <c r="X247" s="2" t="str">
        <f t="shared" si="105"/>
        <v/>
      </c>
      <c r="Y247" s="35" t="str">
        <f t="shared" ca="1" si="124"/>
        <v/>
      </c>
      <c r="Z247" s="36" t="str">
        <f t="shared" ca="1" si="125"/>
        <v/>
      </c>
      <c r="AA247" s="70" t="str">
        <f t="shared" si="126"/>
        <v/>
      </c>
      <c r="AB247" s="2"/>
      <c r="AC247" s="94" t="str">
        <f t="shared" si="106"/>
        <v/>
      </c>
      <c r="AD247" s="95" t="str">
        <f t="shared" si="107"/>
        <v/>
      </c>
      <c r="AE247" s="96" t="str">
        <f t="shared" si="108"/>
        <v/>
      </c>
      <c r="AF247" s="124" t="str">
        <f t="shared" si="109"/>
        <v/>
      </c>
      <c r="AG247" s="2"/>
      <c r="AH247" s="2"/>
      <c r="AI247" s="2"/>
      <c r="AJ247" s="2"/>
      <c r="AK247" s="2"/>
      <c r="AL247" s="2"/>
    </row>
    <row r="248" spans="1:38" x14ac:dyDescent="0.2">
      <c r="A248" s="45"/>
      <c r="B248" s="43" t="str">
        <f t="shared" si="112"/>
        <v/>
      </c>
      <c r="C248" s="96" t="str">
        <f t="shared" si="111"/>
        <v/>
      </c>
      <c r="D248" s="44" t="str">
        <f t="shared" si="113"/>
        <v/>
      </c>
      <c r="E248" s="52"/>
      <c r="F248" s="63" t="str">
        <f t="shared" si="114"/>
        <v/>
      </c>
      <c r="G248" s="56" t="str">
        <f t="shared" si="115"/>
        <v/>
      </c>
      <c r="H248" s="42"/>
      <c r="I248" s="2" t="str">
        <f t="shared" si="116"/>
        <v/>
      </c>
      <c r="J248" s="54" t="str">
        <f t="shared" si="103"/>
        <v/>
      </c>
      <c r="K248" s="55" t="str">
        <f t="shared" si="117"/>
        <v/>
      </c>
      <c r="L248" s="63" t="str">
        <f t="shared" si="118"/>
        <v/>
      </c>
      <c r="M248" s="96" t="str">
        <f t="shared" si="104"/>
        <v/>
      </c>
      <c r="N248" s="96" t="str">
        <f>IF(A248="","",IF(A248=Expiry,0,EXP(-q*Q248)*_xlfn.NORM.S.DIST(Y248,0)/(sigma*SQRT(Q248))*I248*Mult/100))</f>
        <v/>
      </c>
      <c r="O248" s="96" t="str">
        <f>IF(A248="","",IF(A248=Expiry,0,D248*E248*E248*EXP(-q*Q248)*_xlfn.NORM.S.DIST(Y248,0)*SQRT(Q248)/100))</f>
        <v/>
      </c>
      <c r="P248" s="69" t="str">
        <f>IF(A248="","",IF(A248=Expiry,0,AK248*I248*Mult*((-EXP(-q*Q248)*E248*_xlfn.NORM.S.DIST(Y248,0)*sigma/(2*SQRT(Q248))-r_dom*K*EXP(-r_dom*Q248)*_xlfn.NORM.S.DIST(Z248,1)+q*E248*EXP(-q*Q248)*_xlfn.NORM.S.DIST(Y248,1))/365)))</f>
        <v/>
      </c>
      <c r="Q248" s="83" t="str">
        <f t="shared" si="119"/>
        <v/>
      </c>
      <c r="R248" s="38"/>
      <c r="S248" s="68" t="str">
        <f t="shared" si="120"/>
        <v/>
      </c>
      <c r="T248" s="69" t="str">
        <f t="shared" si="121"/>
        <v/>
      </c>
      <c r="U248" s="70" t="str">
        <f t="shared" si="122"/>
        <v/>
      </c>
      <c r="V248" s="72" t="str">
        <f t="shared" si="123"/>
        <v/>
      </c>
      <c r="W248" s="2" t="str">
        <f t="shared" si="110"/>
        <v/>
      </c>
      <c r="X248" s="2" t="str">
        <f t="shared" si="105"/>
        <v/>
      </c>
      <c r="Y248" s="35" t="str">
        <f t="shared" ca="1" si="124"/>
        <v/>
      </c>
      <c r="Z248" s="36" t="str">
        <f t="shared" ca="1" si="125"/>
        <v/>
      </c>
      <c r="AA248" s="70" t="str">
        <f t="shared" si="126"/>
        <v/>
      </c>
      <c r="AB248" s="2"/>
      <c r="AC248" s="94" t="str">
        <f t="shared" si="106"/>
        <v/>
      </c>
      <c r="AD248" s="95" t="str">
        <f t="shared" si="107"/>
        <v/>
      </c>
      <c r="AE248" s="96" t="str">
        <f t="shared" si="108"/>
        <v/>
      </c>
      <c r="AF248" s="124" t="str">
        <f t="shared" si="109"/>
        <v/>
      </c>
      <c r="AG248" s="2"/>
      <c r="AH248" s="2"/>
      <c r="AI248" s="2"/>
      <c r="AJ248" s="2"/>
      <c r="AK248" s="2"/>
      <c r="AL248" s="2"/>
    </row>
    <row r="249" spans="1:38" x14ac:dyDescent="0.2">
      <c r="A249" s="45"/>
      <c r="B249" s="43" t="str">
        <f t="shared" si="112"/>
        <v/>
      </c>
      <c r="C249" s="96" t="str">
        <f t="shared" si="111"/>
        <v/>
      </c>
      <c r="D249" s="44" t="str">
        <f t="shared" si="113"/>
        <v/>
      </c>
      <c r="E249" s="52"/>
      <c r="F249" s="63" t="str">
        <f t="shared" si="114"/>
        <v/>
      </c>
      <c r="G249" s="56" t="str">
        <f t="shared" si="115"/>
        <v/>
      </c>
      <c r="H249" s="42"/>
      <c r="I249" s="2" t="str">
        <f t="shared" si="116"/>
        <v/>
      </c>
      <c r="J249" s="54" t="str">
        <f t="shared" si="103"/>
        <v/>
      </c>
      <c r="K249" s="55" t="str">
        <f t="shared" si="117"/>
        <v/>
      </c>
      <c r="L249" s="63" t="str">
        <f t="shared" si="118"/>
        <v/>
      </c>
      <c r="M249" s="96" t="str">
        <f t="shared" si="104"/>
        <v/>
      </c>
      <c r="N249" s="96" t="str">
        <f>IF(A249="","",IF(A249=Expiry,0,EXP(-q*Q249)*_xlfn.NORM.S.DIST(Y249,0)/(sigma*SQRT(Q249))*I249*Mult/100))</f>
        <v/>
      </c>
      <c r="O249" s="96" t="str">
        <f>IF(A249="","",IF(A249=Expiry,0,D249*E249*E249*EXP(-q*Q249)*_xlfn.NORM.S.DIST(Y249,0)*SQRT(Q249)/100))</f>
        <v/>
      </c>
      <c r="P249" s="69" t="str">
        <f>IF(A249="","",IF(A249=Expiry,0,AK249*I249*Mult*((-EXP(-q*Q249)*E249*_xlfn.NORM.S.DIST(Y249,0)*sigma/(2*SQRT(Q249))-r_dom*K*EXP(-r_dom*Q249)*_xlfn.NORM.S.DIST(Z249,1)+q*E249*EXP(-q*Q249)*_xlfn.NORM.S.DIST(Y249,1))/365)))</f>
        <v/>
      </c>
      <c r="Q249" s="83" t="str">
        <f t="shared" si="119"/>
        <v/>
      </c>
      <c r="R249" s="38"/>
      <c r="S249" s="68" t="str">
        <f t="shared" si="120"/>
        <v/>
      </c>
      <c r="T249" s="69" t="str">
        <f t="shared" si="121"/>
        <v/>
      </c>
      <c r="U249" s="70" t="str">
        <f t="shared" si="122"/>
        <v/>
      </c>
      <c r="V249" s="72" t="str">
        <f t="shared" si="123"/>
        <v/>
      </c>
      <c r="W249" s="2" t="str">
        <f t="shared" si="110"/>
        <v/>
      </c>
      <c r="X249" s="2" t="str">
        <f t="shared" si="105"/>
        <v/>
      </c>
      <c r="Y249" s="35" t="str">
        <f t="shared" ca="1" si="124"/>
        <v/>
      </c>
      <c r="Z249" s="36" t="str">
        <f t="shared" ca="1" si="125"/>
        <v/>
      </c>
      <c r="AA249" s="70" t="str">
        <f t="shared" si="126"/>
        <v/>
      </c>
      <c r="AB249" s="2"/>
      <c r="AC249" s="94" t="str">
        <f t="shared" si="106"/>
        <v/>
      </c>
      <c r="AD249" s="95" t="str">
        <f t="shared" si="107"/>
        <v/>
      </c>
      <c r="AE249" s="96" t="str">
        <f t="shared" si="108"/>
        <v/>
      </c>
      <c r="AF249" s="124" t="str">
        <f t="shared" si="109"/>
        <v/>
      </c>
      <c r="AG249" s="2"/>
      <c r="AH249" s="2"/>
      <c r="AI249" s="2"/>
      <c r="AJ249" s="2"/>
      <c r="AK249" s="2"/>
      <c r="AL249" s="2"/>
    </row>
    <row r="250" spans="1:38" x14ac:dyDescent="0.2">
      <c r="A250" s="45"/>
      <c r="B250" s="43" t="str">
        <f t="shared" si="112"/>
        <v/>
      </c>
      <c r="C250" s="96" t="str">
        <f t="shared" si="111"/>
        <v/>
      </c>
      <c r="D250" s="44" t="str">
        <f t="shared" si="113"/>
        <v/>
      </c>
      <c r="E250" s="52"/>
      <c r="F250" s="63" t="str">
        <f t="shared" si="114"/>
        <v/>
      </c>
      <c r="G250" s="56" t="str">
        <f t="shared" si="115"/>
        <v/>
      </c>
      <c r="H250" s="42"/>
      <c r="I250" s="2" t="str">
        <f t="shared" si="116"/>
        <v/>
      </c>
      <c r="J250" s="54" t="str">
        <f t="shared" si="103"/>
        <v/>
      </c>
      <c r="K250" s="55" t="str">
        <f t="shared" si="117"/>
        <v/>
      </c>
      <c r="L250" s="63" t="str">
        <f t="shared" si="118"/>
        <v/>
      </c>
      <c r="M250" s="96" t="str">
        <f t="shared" si="104"/>
        <v/>
      </c>
      <c r="N250" s="96" t="str">
        <f>IF(A250="","",IF(A250=Expiry,0,EXP(-q*Q250)*_xlfn.NORM.S.DIST(Y250,0)/(sigma*SQRT(Q250))*I250*Mult/100))</f>
        <v/>
      </c>
      <c r="O250" s="96" t="str">
        <f>IF(A250="","",IF(A250=Expiry,0,D250*E250*E250*EXP(-q*Q250)*_xlfn.NORM.S.DIST(Y250,0)*SQRT(Q250)/100))</f>
        <v/>
      </c>
      <c r="P250" s="69" t="str">
        <f>IF(A250="","",IF(A250=Expiry,0,AK250*I250*Mult*((-EXP(-q*Q250)*E250*_xlfn.NORM.S.DIST(Y250,0)*sigma/(2*SQRT(Q250))-r_dom*K*EXP(-r_dom*Q250)*_xlfn.NORM.S.DIST(Z250,1)+q*E250*EXP(-q*Q250)*_xlfn.NORM.S.DIST(Y250,1))/365)))</f>
        <v/>
      </c>
      <c r="Q250" s="83" t="str">
        <f t="shared" si="119"/>
        <v/>
      </c>
      <c r="R250" s="38"/>
      <c r="S250" s="68" t="str">
        <f t="shared" si="120"/>
        <v/>
      </c>
      <c r="T250" s="69" t="str">
        <f t="shared" si="121"/>
        <v/>
      </c>
      <c r="U250" s="70" t="str">
        <f t="shared" si="122"/>
        <v/>
      </c>
      <c r="V250" s="72" t="str">
        <f t="shared" si="123"/>
        <v/>
      </c>
      <c r="W250" s="2" t="str">
        <f t="shared" si="110"/>
        <v/>
      </c>
      <c r="X250" s="2" t="str">
        <f t="shared" si="105"/>
        <v/>
      </c>
      <c r="Y250" s="35" t="str">
        <f t="shared" ca="1" si="124"/>
        <v/>
      </c>
      <c r="Z250" s="36" t="str">
        <f t="shared" ca="1" si="125"/>
        <v/>
      </c>
      <c r="AA250" s="70" t="str">
        <f t="shared" si="126"/>
        <v/>
      </c>
      <c r="AB250" s="2"/>
      <c r="AC250" s="94" t="str">
        <f t="shared" si="106"/>
        <v/>
      </c>
      <c r="AD250" s="95" t="str">
        <f t="shared" si="107"/>
        <v/>
      </c>
      <c r="AE250" s="96" t="str">
        <f t="shared" si="108"/>
        <v/>
      </c>
      <c r="AF250" s="124" t="str">
        <f t="shared" si="109"/>
        <v/>
      </c>
      <c r="AG250" s="2"/>
      <c r="AH250" s="2"/>
      <c r="AI250" s="2"/>
      <c r="AJ250" s="2"/>
      <c r="AK250" s="2"/>
      <c r="AL250" s="2"/>
    </row>
    <row r="251" spans="1:38" x14ac:dyDescent="0.2">
      <c r="A251" s="45"/>
      <c r="B251" s="43" t="str">
        <f t="shared" si="112"/>
        <v/>
      </c>
      <c r="C251" s="96" t="str">
        <f t="shared" si="111"/>
        <v/>
      </c>
      <c r="D251" s="44" t="str">
        <f t="shared" si="113"/>
        <v/>
      </c>
      <c r="E251" s="52"/>
      <c r="F251" s="63" t="str">
        <f t="shared" si="114"/>
        <v/>
      </c>
      <c r="G251" s="56" t="str">
        <f t="shared" si="115"/>
        <v/>
      </c>
      <c r="H251" s="42"/>
      <c r="I251" s="2" t="str">
        <f t="shared" si="116"/>
        <v/>
      </c>
      <c r="J251" s="54" t="str">
        <f t="shared" si="103"/>
        <v/>
      </c>
      <c r="K251" s="55" t="str">
        <f t="shared" si="117"/>
        <v/>
      </c>
      <c r="L251" s="63" t="str">
        <f t="shared" si="118"/>
        <v/>
      </c>
      <c r="M251" s="96" t="str">
        <f t="shared" si="104"/>
        <v/>
      </c>
      <c r="N251" s="96" t="str">
        <f>IF(A251="","",IF(A251=Expiry,0,EXP(-q*Q251)*_xlfn.NORM.S.DIST(Y251,0)/(sigma*SQRT(Q251))*I251*Mult/100))</f>
        <v/>
      </c>
      <c r="O251" s="96" t="str">
        <f>IF(A251="","",IF(A251=Expiry,0,D251*E251*E251*EXP(-q*Q251)*_xlfn.NORM.S.DIST(Y251,0)*SQRT(Q251)/100))</f>
        <v/>
      </c>
      <c r="P251" s="69" t="str">
        <f>IF(A251="","",IF(A251=Expiry,0,AK251*I251*Mult*((-EXP(-q*Q251)*E251*_xlfn.NORM.S.DIST(Y251,0)*sigma/(2*SQRT(Q251))-r_dom*K*EXP(-r_dom*Q251)*_xlfn.NORM.S.DIST(Z251,1)+q*E251*EXP(-q*Q251)*_xlfn.NORM.S.DIST(Y251,1))/365)))</f>
        <v/>
      </c>
      <c r="Q251" s="83" t="str">
        <f t="shared" si="119"/>
        <v/>
      </c>
      <c r="R251" s="38"/>
      <c r="S251" s="68" t="str">
        <f t="shared" si="120"/>
        <v/>
      </c>
      <c r="T251" s="69" t="str">
        <f t="shared" si="121"/>
        <v/>
      </c>
      <c r="U251" s="70" t="str">
        <f t="shared" si="122"/>
        <v/>
      </c>
      <c r="V251" s="72" t="str">
        <f t="shared" si="123"/>
        <v/>
      </c>
      <c r="W251" s="2" t="str">
        <f t="shared" si="110"/>
        <v/>
      </c>
      <c r="X251" s="2" t="str">
        <f t="shared" si="105"/>
        <v/>
      </c>
      <c r="Y251" s="35" t="str">
        <f t="shared" ca="1" si="124"/>
        <v/>
      </c>
      <c r="Z251" s="36" t="str">
        <f t="shared" ca="1" si="125"/>
        <v/>
      </c>
      <c r="AA251" s="70" t="str">
        <f t="shared" si="126"/>
        <v/>
      </c>
      <c r="AB251" s="2"/>
      <c r="AC251" s="94" t="str">
        <f t="shared" si="106"/>
        <v/>
      </c>
      <c r="AD251" s="95" t="str">
        <f t="shared" si="107"/>
        <v/>
      </c>
      <c r="AE251" s="96" t="str">
        <f t="shared" si="108"/>
        <v/>
      </c>
      <c r="AF251" s="124" t="str">
        <f t="shared" si="109"/>
        <v/>
      </c>
      <c r="AG251" s="2"/>
      <c r="AH251" s="2"/>
      <c r="AI251" s="2"/>
      <c r="AJ251" s="2"/>
      <c r="AK251" s="2"/>
      <c r="AL251" s="2"/>
    </row>
    <row r="252" spans="1:38" x14ac:dyDescent="0.2">
      <c r="A252" s="45"/>
      <c r="B252" s="43" t="str">
        <f t="shared" si="112"/>
        <v/>
      </c>
      <c r="C252" s="96" t="str">
        <f t="shared" si="111"/>
        <v/>
      </c>
      <c r="D252" s="44" t="str">
        <f t="shared" si="113"/>
        <v/>
      </c>
      <c r="E252" s="52"/>
      <c r="F252" s="63" t="str">
        <f t="shared" si="114"/>
        <v/>
      </c>
      <c r="G252" s="56" t="str">
        <f t="shared" si="115"/>
        <v/>
      </c>
      <c r="H252" s="42"/>
      <c r="I252" s="2" t="str">
        <f t="shared" si="116"/>
        <v/>
      </c>
      <c r="J252" s="54" t="str">
        <f t="shared" si="103"/>
        <v/>
      </c>
      <c r="K252" s="55" t="str">
        <f t="shared" si="117"/>
        <v/>
      </c>
      <c r="L252" s="63" t="str">
        <f t="shared" si="118"/>
        <v/>
      </c>
      <c r="M252" s="96" t="str">
        <f t="shared" si="104"/>
        <v/>
      </c>
      <c r="N252" s="96" t="str">
        <f>IF(A252="","",IF(A252=Expiry,0,EXP(-q*Q252)*_xlfn.NORM.S.DIST(Y252,0)/(sigma*SQRT(Q252))*I252*Mult/100))</f>
        <v/>
      </c>
      <c r="O252" s="96" t="str">
        <f>IF(A252="","",IF(A252=Expiry,0,D252*E252*E252*EXP(-q*Q252)*_xlfn.NORM.S.DIST(Y252,0)*SQRT(Q252)/100))</f>
        <v/>
      </c>
      <c r="P252" s="69" t="str">
        <f>IF(A252="","",IF(A252=Expiry,0,AK252*I252*Mult*((-EXP(-q*Q252)*E252*_xlfn.NORM.S.DIST(Y252,0)*sigma/(2*SQRT(Q252))-r_dom*K*EXP(-r_dom*Q252)*_xlfn.NORM.S.DIST(Z252,1)+q*E252*EXP(-q*Q252)*_xlfn.NORM.S.DIST(Y252,1))/365)))</f>
        <v/>
      </c>
      <c r="Q252" s="83" t="str">
        <f t="shared" si="119"/>
        <v/>
      </c>
      <c r="R252" s="38"/>
      <c r="S252" s="68" t="str">
        <f t="shared" si="120"/>
        <v/>
      </c>
      <c r="T252" s="69" t="str">
        <f t="shared" si="121"/>
        <v/>
      </c>
      <c r="U252" s="70" t="str">
        <f t="shared" si="122"/>
        <v/>
      </c>
      <c r="V252" s="72" t="str">
        <f t="shared" si="123"/>
        <v/>
      </c>
      <c r="W252" s="2" t="str">
        <f t="shared" si="110"/>
        <v/>
      </c>
      <c r="X252" s="2" t="str">
        <f t="shared" si="105"/>
        <v/>
      </c>
      <c r="Y252" s="35" t="str">
        <f t="shared" ca="1" si="124"/>
        <v/>
      </c>
      <c r="Z252" s="36" t="str">
        <f t="shared" ca="1" si="125"/>
        <v/>
      </c>
      <c r="AA252" s="70" t="str">
        <f t="shared" si="126"/>
        <v/>
      </c>
      <c r="AB252" s="2"/>
      <c r="AC252" s="94" t="str">
        <f t="shared" si="106"/>
        <v/>
      </c>
      <c r="AD252" s="95" t="str">
        <f t="shared" si="107"/>
        <v/>
      </c>
      <c r="AE252" s="96" t="str">
        <f t="shared" si="108"/>
        <v/>
      </c>
      <c r="AF252" s="124" t="str">
        <f t="shared" si="109"/>
        <v/>
      </c>
      <c r="AG252" s="2"/>
      <c r="AH252" s="2"/>
      <c r="AI252" s="2"/>
      <c r="AJ252" s="2"/>
      <c r="AK252" s="2"/>
      <c r="AL252" s="2"/>
    </row>
    <row r="253" spans="1:38" x14ac:dyDescent="0.2">
      <c r="A253" s="45"/>
      <c r="B253" s="43" t="str">
        <f t="shared" si="112"/>
        <v/>
      </c>
      <c r="C253" s="96" t="str">
        <f t="shared" si="111"/>
        <v/>
      </c>
      <c r="D253" s="44" t="str">
        <f t="shared" si="113"/>
        <v/>
      </c>
      <c r="E253" s="52"/>
      <c r="F253" s="63" t="str">
        <f t="shared" si="114"/>
        <v/>
      </c>
      <c r="G253" s="56" t="str">
        <f t="shared" si="115"/>
        <v/>
      </c>
      <c r="H253" s="42"/>
      <c r="I253" s="2" t="str">
        <f t="shared" si="116"/>
        <v/>
      </c>
      <c r="J253" s="54" t="str">
        <f t="shared" si="103"/>
        <v/>
      </c>
      <c r="K253" s="55" t="str">
        <f t="shared" si="117"/>
        <v/>
      </c>
      <c r="L253" s="63" t="str">
        <f t="shared" si="118"/>
        <v/>
      </c>
      <c r="M253" s="96" t="str">
        <f t="shared" si="104"/>
        <v/>
      </c>
      <c r="N253" s="96" t="str">
        <f>IF(A253="","",IF(A253=Expiry,0,EXP(-q*Q253)*_xlfn.NORM.S.DIST(Y253,0)/(sigma*SQRT(Q253))*I253*Mult/100))</f>
        <v/>
      </c>
      <c r="O253" s="96" t="str">
        <f>IF(A253="","",IF(A253=Expiry,0,D253*E253*E253*EXP(-q*Q253)*_xlfn.NORM.S.DIST(Y253,0)*SQRT(Q253)/100))</f>
        <v/>
      </c>
      <c r="P253" s="69" t="str">
        <f>IF(A253="","",IF(A253=Expiry,0,AK253*I253*Mult*((-EXP(-q*Q253)*E253*_xlfn.NORM.S.DIST(Y253,0)*sigma/(2*SQRT(Q253))-r_dom*K*EXP(-r_dom*Q253)*_xlfn.NORM.S.DIST(Z253,1)+q*E253*EXP(-q*Q253)*_xlfn.NORM.S.DIST(Y253,1))/365)))</f>
        <v/>
      </c>
      <c r="Q253" s="83" t="str">
        <f t="shared" si="119"/>
        <v/>
      </c>
      <c r="R253" s="38"/>
      <c r="S253" s="68" t="str">
        <f t="shared" si="120"/>
        <v/>
      </c>
      <c r="T253" s="69" t="str">
        <f t="shared" si="121"/>
        <v/>
      </c>
      <c r="U253" s="70" t="str">
        <f t="shared" si="122"/>
        <v/>
      </c>
      <c r="V253" s="72" t="str">
        <f t="shared" si="123"/>
        <v/>
      </c>
      <c r="W253" s="2" t="str">
        <f t="shared" si="110"/>
        <v/>
      </c>
      <c r="X253" s="2" t="str">
        <f t="shared" si="105"/>
        <v/>
      </c>
      <c r="Y253" s="35" t="str">
        <f t="shared" ca="1" si="124"/>
        <v/>
      </c>
      <c r="Z253" s="36" t="str">
        <f t="shared" ca="1" si="125"/>
        <v/>
      </c>
      <c r="AA253" s="70" t="str">
        <f t="shared" si="126"/>
        <v/>
      </c>
      <c r="AB253" s="2"/>
      <c r="AC253" s="94" t="str">
        <f t="shared" si="106"/>
        <v/>
      </c>
      <c r="AD253" s="95" t="str">
        <f t="shared" si="107"/>
        <v/>
      </c>
      <c r="AE253" s="96" t="str">
        <f t="shared" si="108"/>
        <v/>
      </c>
      <c r="AF253" s="124" t="str">
        <f t="shared" si="109"/>
        <v/>
      </c>
      <c r="AG253" s="2"/>
      <c r="AH253" s="2"/>
      <c r="AI253" s="2"/>
      <c r="AJ253" s="2"/>
      <c r="AK253" s="2"/>
      <c r="AL253" s="2"/>
    </row>
    <row r="254" spans="1:38" x14ac:dyDescent="0.2">
      <c r="A254" s="45"/>
      <c r="B254" s="43" t="str">
        <f t="shared" si="112"/>
        <v/>
      </c>
      <c r="C254" s="96" t="str">
        <f t="shared" si="111"/>
        <v/>
      </c>
      <c r="D254" s="44" t="str">
        <f t="shared" si="113"/>
        <v/>
      </c>
      <c r="E254" s="52"/>
      <c r="F254" s="63" t="str">
        <f t="shared" si="114"/>
        <v/>
      </c>
      <c r="G254" s="56" t="str">
        <f t="shared" si="115"/>
        <v/>
      </c>
      <c r="H254" s="42"/>
      <c r="I254" s="2" t="str">
        <f t="shared" si="116"/>
        <v/>
      </c>
      <c r="J254" s="54" t="str">
        <f t="shared" si="103"/>
        <v/>
      </c>
      <c r="K254" s="55" t="str">
        <f t="shared" si="117"/>
        <v/>
      </c>
      <c r="L254" s="63" t="str">
        <f t="shared" si="118"/>
        <v/>
      </c>
      <c r="M254" s="96" t="str">
        <f t="shared" si="104"/>
        <v/>
      </c>
      <c r="N254" s="96" t="str">
        <f>IF(A254="","",IF(A254=Expiry,0,EXP(-q*Q254)*_xlfn.NORM.S.DIST(Y254,0)/(sigma*SQRT(Q254))*I254*Mult/100))</f>
        <v/>
      </c>
      <c r="O254" s="96" t="str">
        <f>IF(A254="","",IF(A254=Expiry,0,D254*E254*E254*EXP(-q*Q254)*_xlfn.NORM.S.DIST(Y254,0)*SQRT(Q254)/100))</f>
        <v/>
      </c>
      <c r="P254" s="69" t="str">
        <f>IF(A254="","",IF(A254=Expiry,0,AK254*I254*Mult*((-EXP(-q*Q254)*E254*_xlfn.NORM.S.DIST(Y254,0)*sigma/(2*SQRT(Q254))-r_dom*K*EXP(-r_dom*Q254)*_xlfn.NORM.S.DIST(Z254,1)+q*E254*EXP(-q*Q254)*_xlfn.NORM.S.DIST(Y254,1))/365)))</f>
        <v/>
      </c>
      <c r="Q254" s="83" t="str">
        <f t="shared" si="119"/>
        <v/>
      </c>
      <c r="R254" s="38"/>
      <c r="S254" s="68" t="str">
        <f t="shared" si="120"/>
        <v/>
      </c>
      <c r="T254" s="69" t="str">
        <f t="shared" si="121"/>
        <v/>
      </c>
      <c r="U254" s="70" t="str">
        <f t="shared" si="122"/>
        <v/>
      </c>
      <c r="V254" s="72" t="str">
        <f t="shared" si="123"/>
        <v/>
      </c>
      <c r="W254" s="2" t="str">
        <f t="shared" si="110"/>
        <v/>
      </c>
      <c r="X254" s="2" t="str">
        <f t="shared" si="105"/>
        <v/>
      </c>
      <c r="Y254" s="35" t="str">
        <f t="shared" ca="1" si="124"/>
        <v/>
      </c>
      <c r="Z254" s="36" t="str">
        <f t="shared" ca="1" si="125"/>
        <v/>
      </c>
      <c r="AA254" s="70" t="str">
        <f t="shared" si="126"/>
        <v/>
      </c>
      <c r="AB254" s="2"/>
      <c r="AC254" s="94" t="str">
        <f t="shared" si="106"/>
        <v/>
      </c>
      <c r="AD254" s="95" t="str">
        <f t="shared" si="107"/>
        <v/>
      </c>
      <c r="AE254" s="96" t="str">
        <f t="shared" si="108"/>
        <v/>
      </c>
      <c r="AF254" s="124" t="str">
        <f t="shared" si="109"/>
        <v/>
      </c>
      <c r="AG254" s="2"/>
      <c r="AH254" s="2"/>
      <c r="AI254" s="2"/>
      <c r="AJ254" s="2"/>
      <c r="AK254" s="2"/>
      <c r="AL254" s="2"/>
    </row>
    <row r="255" spans="1:38" x14ac:dyDescent="0.2">
      <c r="A255" s="45"/>
      <c r="B255" s="43" t="str">
        <f t="shared" si="112"/>
        <v/>
      </c>
      <c r="C255" s="96" t="str">
        <f t="shared" si="111"/>
        <v/>
      </c>
      <c r="D255" s="44" t="str">
        <f t="shared" si="113"/>
        <v/>
      </c>
      <c r="E255" s="52"/>
      <c r="F255" s="63" t="str">
        <f t="shared" si="114"/>
        <v/>
      </c>
      <c r="G255" s="56" t="str">
        <f t="shared" si="115"/>
        <v/>
      </c>
      <c r="H255" s="42"/>
      <c r="I255" s="2" t="str">
        <f t="shared" si="116"/>
        <v/>
      </c>
      <c r="J255" s="54" t="str">
        <f t="shared" si="103"/>
        <v/>
      </c>
      <c r="K255" s="55" t="str">
        <f t="shared" si="117"/>
        <v/>
      </c>
      <c r="L255" s="63" t="str">
        <f t="shared" si="118"/>
        <v/>
      </c>
      <c r="M255" s="96" t="str">
        <f t="shared" si="104"/>
        <v/>
      </c>
      <c r="N255" s="96" t="str">
        <f>IF(A255="","",IF(A255=Expiry,0,EXP(-q*Q255)*_xlfn.NORM.S.DIST(Y255,0)/(sigma*SQRT(Q255))*I255*Mult/100))</f>
        <v/>
      </c>
      <c r="O255" s="96" t="str">
        <f>IF(A255="","",IF(A255=Expiry,0,D255*E255*E255*EXP(-q*Q255)*_xlfn.NORM.S.DIST(Y255,0)*SQRT(Q255)/100))</f>
        <v/>
      </c>
      <c r="P255" s="69" t="str">
        <f>IF(A255="","",IF(A255=Expiry,0,AK255*I255*Mult*((-EXP(-q*Q255)*E255*_xlfn.NORM.S.DIST(Y255,0)*sigma/(2*SQRT(Q255))-r_dom*K*EXP(-r_dom*Q255)*_xlfn.NORM.S.DIST(Z255,1)+q*E255*EXP(-q*Q255)*_xlfn.NORM.S.DIST(Y255,1))/365)))</f>
        <v/>
      </c>
      <c r="Q255" s="83" t="str">
        <f t="shared" si="119"/>
        <v/>
      </c>
      <c r="R255" s="38"/>
      <c r="S255" s="68" t="str">
        <f t="shared" si="120"/>
        <v/>
      </c>
      <c r="T255" s="69" t="str">
        <f t="shared" si="121"/>
        <v/>
      </c>
      <c r="U255" s="70" t="str">
        <f t="shared" si="122"/>
        <v/>
      </c>
      <c r="V255" s="72" t="str">
        <f t="shared" si="123"/>
        <v/>
      </c>
      <c r="W255" s="2" t="str">
        <f t="shared" si="110"/>
        <v/>
      </c>
      <c r="X255" s="2" t="str">
        <f t="shared" si="105"/>
        <v/>
      </c>
      <c r="Y255" s="35" t="str">
        <f t="shared" ca="1" si="124"/>
        <v/>
      </c>
      <c r="Z255" s="36" t="str">
        <f t="shared" ca="1" si="125"/>
        <v/>
      </c>
      <c r="AA255" s="70" t="str">
        <f t="shared" si="126"/>
        <v/>
      </c>
      <c r="AB255" s="2"/>
      <c r="AC255" s="94" t="str">
        <f t="shared" si="106"/>
        <v/>
      </c>
      <c r="AD255" s="95" t="str">
        <f t="shared" si="107"/>
        <v/>
      </c>
      <c r="AE255" s="96" t="str">
        <f t="shared" si="108"/>
        <v/>
      </c>
      <c r="AF255" s="124" t="str">
        <f t="shared" si="109"/>
        <v/>
      </c>
      <c r="AG255" s="2"/>
      <c r="AH255" s="2"/>
      <c r="AI255" s="2"/>
      <c r="AJ255" s="2"/>
      <c r="AK255" s="2"/>
      <c r="AL255" s="2"/>
    </row>
    <row r="256" spans="1:38" x14ac:dyDescent="0.2">
      <c r="A256" s="45"/>
      <c r="B256" s="43" t="str">
        <f t="shared" si="112"/>
        <v/>
      </c>
      <c r="C256" s="96" t="str">
        <f t="shared" si="111"/>
        <v/>
      </c>
      <c r="D256" s="44" t="str">
        <f t="shared" si="113"/>
        <v/>
      </c>
      <c r="E256" s="52"/>
      <c r="F256" s="63" t="str">
        <f t="shared" si="114"/>
        <v/>
      </c>
      <c r="G256" s="56" t="str">
        <f t="shared" si="115"/>
        <v/>
      </c>
      <c r="H256" s="42"/>
      <c r="I256" s="2" t="str">
        <f t="shared" si="116"/>
        <v/>
      </c>
      <c r="J256" s="54" t="str">
        <f t="shared" si="103"/>
        <v/>
      </c>
      <c r="K256" s="55" t="str">
        <f t="shared" si="117"/>
        <v/>
      </c>
      <c r="L256" s="63" t="str">
        <f t="shared" si="118"/>
        <v/>
      </c>
      <c r="M256" s="96" t="str">
        <f t="shared" si="104"/>
        <v/>
      </c>
      <c r="N256" s="96" t="str">
        <f>IF(A256="","",IF(A256=Expiry,0,EXP(-q*Q256)*_xlfn.NORM.S.DIST(Y256,0)/(sigma*SQRT(Q256))*I256*Mult/100))</f>
        <v/>
      </c>
      <c r="O256" s="96" t="str">
        <f>IF(A256="","",IF(A256=Expiry,0,D256*E256*E256*EXP(-q*Q256)*_xlfn.NORM.S.DIST(Y256,0)*SQRT(Q256)/100))</f>
        <v/>
      </c>
      <c r="P256" s="69" t="str">
        <f>IF(A256="","",IF(A256=Expiry,0,AK256*I256*Mult*((-EXP(-q*Q256)*E256*_xlfn.NORM.S.DIST(Y256,0)*sigma/(2*SQRT(Q256))-r_dom*K*EXP(-r_dom*Q256)*_xlfn.NORM.S.DIST(Z256,1)+q*E256*EXP(-q*Q256)*_xlfn.NORM.S.DIST(Y256,1))/365)))</f>
        <v/>
      </c>
      <c r="Q256" s="83" t="str">
        <f t="shared" si="119"/>
        <v/>
      </c>
      <c r="R256" s="38"/>
      <c r="S256" s="68" t="str">
        <f t="shared" si="120"/>
        <v/>
      </c>
      <c r="T256" s="69" t="str">
        <f t="shared" si="121"/>
        <v/>
      </c>
      <c r="U256" s="70" t="str">
        <f t="shared" si="122"/>
        <v/>
      </c>
      <c r="V256" s="72" t="str">
        <f t="shared" si="123"/>
        <v/>
      </c>
      <c r="W256" s="2" t="str">
        <f t="shared" si="110"/>
        <v/>
      </c>
      <c r="X256" s="2" t="str">
        <f t="shared" si="105"/>
        <v/>
      </c>
      <c r="Y256" s="35" t="str">
        <f t="shared" ca="1" si="124"/>
        <v/>
      </c>
      <c r="Z256" s="36" t="str">
        <f t="shared" ca="1" si="125"/>
        <v/>
      </c>
      <c r="AA256" s="70" t="str">
        <f t="shared" si="126"/>
        <v/>
      </c>
      <c r="AB256" s="2"/>
      <c r="AC256" s="94" t="str">
        <f t="shared" si="106"/>
        <v/>
      </c>
      <c r="AD256" s="95" t="str">
        <f t="shared" si="107"/>
        <v/>
      </c>
      <c r="AE256" s="96" t="str">
        <f t="shared" si="108"/>
        <v/>
      </c>
      <c r="AF256" s="124" t="str">
        <f t="shared" si="109"/>
        <v/>
      </c>
      <c r="AG256" s="2"/>
      <c r="AH256" s="2"/>
      <c r="AI256" s="2"/>
      <c r="AJ256" s="2"/>
      <c r="AK256" s="2"/>
      <c r="AL256" s="2"/>
    </row>
    <row r="257" spans="1:38" x14ac:dyDescent="0.2">
      <c r="A257" s="45"/>
      <c r="B257" s="43" t="str">
        <f t="shared" si="112"/>
        <v/>
      </c>
      <c r="C257" s="96" t="str">
        <f t="shared" si="111"/>
        <v/>
      </c>
      <c r="D257" s="44" t="str">
        <f t="shared" si="113"/>
        <v/>
      </c>
      <c r="E257" s="52"/>
      <c r="F257" s="63" t="str">
        <f t="shared" si="114"/>
        <v/>
      </c>
      <c r="G257" s="56" t="str">
        <f t="shared" si="115"/>
        <v/>
      </c>
      <c r="H257" s="42"/>
      <c r="I257" s="2" t="str">
        <f t="shared" si="116"/>
        <v/>
      </c>
      <c r="J257" s="54" t="str">
        <f t="shared" si="103"/>
        <v/>
      </c>
      <c r="K257" s="55" t="str">
        <f t="shared" si="117"/>
        <v/>
      </c>
      <c r="L257" s="63" t="str">
        <f t="shared" si="118"/>
        <v/>
      </c>
      <c r="M257" s="96" t="str">
        <f t="shared" si="104"/>
        <v/>
      </c>
      <c r="N257" s="96" t="str">
        <f>IF(A257="","",IF(A257=Expiry,0,EXP(-q*Q257)*_xlfn.NORM.S.DIST(Y257,0)/(sigma*SQRT(Q257))*I257*Mult/100))</f>
        <v/>
      </c>
      <c r="O257" s="96" t="str">
        <f>IF(A257="","",IF(A257=Expiry,0,D257*E257*E257*EXP(-q*Q257)*_xlfn.NORM.S.DIST(Y257,0)*SQRT(Q257)/100))</f>
        <v/>
      </c>
      <c r="P257" s="69" t="str">
        <f>IF(A257="","",IF(A257=Expiry,0,AK257*I257*Mult*((-EXP(-q*Q257)*E257*_xlfn.NORM.S.DIST(Y257,0)*sigma/(2*SQRT(Q257))-r_dom*K*EXP(-r_dom*Q257)*_xlfn.NORM.S.DIST(Z257,1)+q*E257*EXP(-q*Q257)*_xlfn.NORM.S.DIST(Y257,1))/365)))</f>
        <v/>
      </c>
      <c r="Q257" s="83" t="str">
        <f t="shared" si="119"/>
        <v/>
      </c>
      <c r="R257" s="38"/>
      <c r="S257" s="68" t="str">
        <f t="shared" si="120"/>
        <v/>
      </c>
      <c r="T257" s="69" t="str">
        <f t="shared" si="121"/>
        <v/>
      </c>
      <c r="U257" s="70" t="str">
        <f t="shared" si="122"/>
        <v/>
      </c>
      <c r="V257" s="72" t="str">
        <f t="shared" si="123"/>
        <v/>
      </c>
      <c r="W257" s="2" t="str">
        <f t="shared" si="110"/>
        <v/>
      </c>
      <c r="X257" s="2" t="str">
        <f t="shared" si="105"/>
        <v/>
      </c>
      <c r="Y257" s="35" t="str">
        <f t="shared" ca="1" si="124"/>
        <v/>
      </c>
      <c r="Z257" s="36" t="str">
        <f t="shared" ca="1" si="125"/>
        <v/>
      </c>
      <c r="AA257" s="70" t="str">
        <f t="shared" si="126"/>
        <v/>
      </c>
      <c r="AB257" s="2"/>
      <c r="AC257" s="94" t="str">
        <f t="shared" si="106"/>
        <v/>
      </c>
      <c r="AD257" s="95" t="str">
        <f t="shared" si="107"/>
        <v/>
      </c>
      <c r="AE257" s="96" t="str">
        <f t="shared" si="108"/>
        <v/>
      </c>
      <c r="AF257" s="124" t="str">
        <f t="shared" si="109"/>
        <v/>
      </c>
      <c r="AG257" s="2"/>
      <c r="AH257" s="2"/>
      <c r="AI257" s="2"/>
      <c r="AJ257" s="2"/>
      <c r="AK257" s="2"/>
      <c r="AL257" s="2"/>
    </row>
    <row r="258" spans="1:38" x14ac:dyDescent="0.2">
      <c r="A258" s="45"/>
      <c r="B258" s="43" t="str">
        <f t="shared" si="112"/>
        <v/>
      </c>
      <c r="C258" s="96" t="str">
        <f t="shared" si="111"/>
        <v/>
      </c>
      <c r="D258" s="44" t="str">
        <f t="shared" si="113"/>
        <v/>
      </c>
      <c r="E258" s="52"/>
      <c r="F258" s="63" t="str">
        <f t="shared" si="114"/>
        <v/>
      </c>
      <c r="G258" s="56" t="str">
        <f t="shared" si="115"/>
        <v/>
      </c>
      <c r="H258" s="42"/>
      <c r="I258" s="2" t="str">
        <f t="shared" si="116"/>
        <v/>
      </c>
      <c r="J258" s="54" t="str">
        <f t="shared" si="103"/>
        <v/>
      </c>
      <c r="K258" s="55" t="str">
        <f t="shared" si="117"/>
        <v/>
      </c>
      <c r="L258" s="63" t="str">
        <f t="shared" si="118"/>
        <v/>
      </c>
      <c r="M258" s="96" t="str">
        <f t="shared" si="104"/>
        <v/>
      </c>
      <c r="N258" s="96" t="str">
        <f>IF(A258="","",IF(A258=Expiry,0,EXP(-q*Q258)*_xlfn.NORM.S.DIST(Y258,0)/(sigma*SQRT(Q258))*I258*Mult/100))</f>
        <v/>
      </c>
      <c r="O258" s="96" t="str">
        <f>IF(A258="","",IF(A258=Expiry,0,D258*E258*E258*EXP(-q*Q258)*_xlfn.NORM.S.DIST(Y258,0)*SQRT(Q258)/100))</f>
        <v/>
      </c>
      <c r="P258" s="69" t="str">
        <f>IF(A258="","",IF(A258=Expiry,0,AK258*I258*Mult*((-EXP(-q*Q258)*E258*_xlfn.NORM.S.DIST(Y258,0)*sigma/(2*SQRT(Q258))-r_dom*K*EXP(-r_dom*Q258)*_xlfn.NORM.S.DIST(Z258,1)+q*E258*EXP(-q*Q258)*_xlfn.NORM.S.DIST(Y258,1))/365)))</f>
        <v/>
      </c>
      <c r="Q258" s="83" t="str">
        <f t="shared" si="119"/>
        <v/>
      </c>
      <c r="R258" s="38"/>
      <c r="S258" s="68" t="str">
        <f t="shared" si="120"/>
        <v/>
      </c>
      <c r="T258" s="69" t="str">
        <f t="shared" si="121"/>
        <v/>
      </c>
      <c r="U258" s="70" t="str">
        <f t="shared" si="122"/>
        <v/>
      </c>
      <c r="V258" s="72" t="str">
        <f t="shared" si="123"/>
        <v/>
      </c>
      <c r="W258" s="2" t="str">
        <f t="shared" si="110"/>
        <v/>
      </c>
      <c r="X258" s="2" t="str">
        <f t="shared" si="105"/>
        <v/>
      </c>
      <c r="Y258" s="35" t="str">
        <f t="shared" ca="1" si="124"/>
        <v/>
      </c>
      <c r="Z258" s="36" t="str">
        <f t="shared" ca="1" si="125"/>
        <v/>
      </c>
      <c r="AA258" s="70" t="str">
        <f t="shared" si="126"/>
        <v/>
      </c>
      <c r="AB258" s="2"/>
      <c r="AC258" s="94" t="str">
        <f t="shared" si="106"/>
        <v/>
      </c>
      <c r="AD258" s="95" t="str">
        <f t="shared" si="107"/>
        <v/>
      </c>
      <c r="AE258" s="96" t="str">
        <f t="shared" si="108"/>
        <v/>
      </c>
      <c r="AF258" s="124" t="str">
        <f t="shared" si="109"/>
        <v/>
      </c>
      <c r="AG258" s="2"/>
      <c r="AH258" s="2"/>
      <c r="AI258" s="2"/>
      <c r="AJ258" s="2"/>
      <c r="AK258" s="2"/>
      <c r="AL258" s="2"/>
    </row>
    <row r="259" spans="1:38" x14ac:dyDescent="0.2">
      <c r="A259" s="45"/>
      <c r="B259" s="43" t="str">
        <f t="shared" si="112"/>
        <v/>
      </c>
      <c r="C259" s="96" t="str">
        <f t="shared" si="111"/>
        <v/>
      </c>
      <c r="D259" s="44" t="str">
        <f t="shared" si="113"/>
        <v/>
      </c>
      <c r="E259" s="52"/>
      <c r="F259" s="63" t="str">
        <f t="shared" si="114"/>
        <v/>
      </c>
      <c r="G259" s="56" t="str">
        <f t="shared" si="115"/>
        <v/>
      </c>
      <c r="H259" s="42"/>
      <c r="I259" s="2" t="str">
        <f t="shared" si="116"/>
        <v/>
      </c>
      <c r="J259" s="54" t="str">
        <f t="shared" si="103"/>
        <v/>
      </c>
      <c r="K259" s="55" t="str">
        <f t="shared" si="117"/>
        <v/>
      </c>
      <c r="L259" s="63" t="str">
        <f t="shared" si="118"/>
        <v/>
      </c>
      <c r="M259" s="96" t="str">
        <f t="shared" si="104"/>
        <v/>
      </c>
      <c r="N259" s="96" t="str">
        <f>IF(A259="","",IF(A259=Expiry,0,EXP(-q*Q259)*_xlfn.NORM.S.DIST(Y259,0)/(sigma*SQRT(Q259))*I259*Mult/100))</f>
        <v/>
      </c>
      <c r="O259" s="96" t="str">
        <f>IF(A259="","",IF(A259=Expiry,0,D259*E259*E259*EXP(-q*Q259)*_xlfn.NORM.S.DIST(Y259,0)*SQRT(Q259)/100))</f>
        <v/>
      </c>
      <c r="P259" s="69" t="str">
        <f>IF(A259="","",IF(A259=Expiry,0,AK259*I259*Mult*((-EXP(-q*Q259)*E259*_xlfn.NORM.S.DIST(Y259,0)*sigma/(2*SQRT(Q259))-r_dom*K*EXP(-r_dom*Q259)*_xlfn.NORM.S.DIST(Z259,1)+q*E259*EXP(-q*Q259)*_xlfn.NORM.S.DIST(Y259,1))/365)))</f>
        <v/>
      </c>
      <c r="Q259" s="83" t="str">
        <f t="shared" si="119"/>
        <v/>
      </c>
      <c r="R259" s="38"/>
      <c r="S259" s="68" t="str">
        <f t="shared" si="120"/>
        <v/>
      </c>
      <c r="T259" s="69" t="str">
        <f t="shared" si="121"/>
        <v/>
      </c>
      <c r="U259" s="70" t="str">
        <f t="shared" si="122"/>
        <v/>
      </c>
      <c r="V259" s="72" t="str">
        <f t="shared" si="123"/>
        <v/>
      </c>
      <c r="W259" s="2" t="str">
        <f t="shared" si="110"/>
        <v/>
      </c>
      <c r="X259" s="2" t="str">
        <f t="shared" si="105"/>
        <v/>
      </c>
      <c r="Y259" s="35" t="str">
        <f t="shared" ca="1" si="124"/>
        <v/>
      </c>
      <c r="Z259" s="36" t="str">
        <f t="shared" ca="1" si="125"/>
        <v/>
      </c>
      <c r="AA259" s="70" t="str">
        <f t="shared" si="126"/>
        <v/>
      </c>
      <c r="AB259" s="2"/>
      <c r="AC259" s="94" t="str">
        <f t="shared" si="106"/>
        <v/>
      </c>
      <c r="AD259" s="95" t="str">
        <f t="shared" si="107"/>
        <v/>
      </c>
      <c r="AE259" s="96" t="str">
        <f t="shared" si="108"/>
        <v/>
      </c>
      <c r="AF259" s="124" t="str">
        <f t="shared" si="109"/>
        <v/>
      </c>
      <c r="AG259" s="2"/>
      <c r="AH259" s="2"/>
      <c r="AI259" s="2"/>
      <c r="AJ259" s="2"/>
      <c r="AK259" s="2"/>
      <c r="AL259" s="2"/>
    </row>
    <row r="260" spans="1:38" x14ac:dyDescent="0.2">
      <c r="A260" s="45"/>
      <c r="B260" s="43" t="str">
        <f t="shared" si="112"/>
        <v/>
      </c>
      <c r="C260" s="96" t="str">
        <f t="shared" si="111"/>
        <v/>
      </c>
      <c r="D260" s="44" t="str">
        <f t="shared" si="113"/>
        <v/>
      </c>
      <c r="E260" s="52"/>
      <c r="F260" s="63" t="str">
        <f t="shared" si="114"/>
        <v/>
      </c>
      <c r="G260" s="56" t="str">
        <f t="shared" si="115"/>
        <v/>
      </c>
      <c r="H260" s="42"/>
      <c r="I260" s="2" t="str">
        <f t="shared" si="116"/>
        <v/>
      </c>
      <c r="J260" s="54" t="str">
        <f t="shared" si="103"/>
        <v/>
      </c>
      <c r="K260" s="55" t="str">
        <f t="shared" si="117"/>
        <v/>
      </c>
      <c r="L260" s="63" t="str">
        <f t="shared" si="118"/>
        <v/>
      </c>
      <c r="M260" s="96" t="str">
        <f t="shared" si="104"/>
        <v/>
      </c>
      <c r="N260" s="96" t="str">
        <f>IF(A260="","",IF(A260=Expiry,0,EXP(-q*Q260)*_xlfn.NORM.S.DIST(Y260,0)/(sigma*SQRT(Q260))*I260*Mult/100))</f>
        <v/>
      </c>
      <c r="O260" s="96" t="str">
        <f>IF(A260="","",IF(A260=Expiry,0,D260*E260*E260*EXP(-q*Q260)*_xlfn.NORM.S.DIST(Y260,0)*SQRT(Q260)/100))</f>
        <v/>
      </c>
      <c r="P260" s="69" t="str">
        <f>IF(A260="","",IF(A260=Expiry,0,AK260*I260*Mult*((-EXP(-q*Q260)*E260*_xlfn.NORM.S.DIST(Y260,0)*sigma/(2*SQRT(Q260))-r_dom*K*EXP(-r_dom*Q260)*_xlfn.NORM.S.DIST(Z260,1)+q*E260*EXP(-q*Q260)*_xlfn.NORM.S.DIST(Y260,1))/365)))</f>
        <v/>
      </c>
      <c r="Q260" s="83" t="str">
        <f t="shared" si="119"/>
        <v/>
      </c>
      <c r="R260" s="38"/>
      <c r="S260" s="68" t="str">
        <f t="shared" si="120"/>
        <v/>
      </c>
      <c r="T260" s="69" t="str">
        <f t="shared" si="121"/>
        <v/>
      </c>
      <c r="U260" s="70" t="str">
        <f t="shared" si="122"/>
        <v/>
      </c>
      <c r="V260" s="72" t="str">
        <f t="shared" si="123"/>
        <v/>
      </c>
      <c r="W260" s="2" t="str">
        <f t="shared" si="110"/>
        <v/>
      </c>
      <c r="X260" s="2" t="str">
        <f t="shared" si="105"/>
        <v/>
      </c>
      <c r="Y260" s="35" t="str">
        <f t="shared" ca="1" si="124"/>
        <v/>
      </c>
      <c r="Z260" s="36" t="str">
        <f t="shared" ca="1" si="125"/>
        <v/>
      </c>
      <c r="AA260" s="70" t="str">
        <f t="shared" si="126"/>
        <v/>
      </c>
      <c r="AB260" s="2"/>
      <c r="AC260" s="94" t="str">
        <f t="shared" si="106"/>
        <v/>
      </c>
      <c r="AD260" s="95" t="str">
        <f t="shared" si="107"/>
        <v/>
      </c>
      <c r="AE260" s="96" t="str">
        <f t="shared" si="108"/>
        <v/>
      </c>
      <c r="AF260" s="124" t="str">
        <f t="shared" si="109"/>
        <v/>
      </c>
      <c r="AG260" s="2"/>
      <c r="AH260" s="2"/>
      <c r="AI260" s="2"/>
      <c r="AJ260" s="2"/>
      <c r="AK260" s="2"/>
      <c r="AL260" s="2"/>
    </row>
    <row r="261" spans="1:38" x14ac:dyDescent="0.2">
      <c r="A261" s="45"/>
      <c r="B261" s="43" t="str">
        <f t="shared" si="112"/>
        <v/>
      </c>
      <c r="C261" s="96" t="str">
        <f t="shared" si="111"/>
        <v/>
      </c>
      <c r="D261" s="44" t="str">
        <f t="shared" si="113"/>
        <v/>
      </c>
      <c r="E261" s="52"/>
      <c r="F261" s="63" t="str">
        <f t="shared" si="114"/>
        <v/>
      </c>
      <c r="G261" s="56" t="str">
        <f t="shared" si="115"/>
        <v/>
      </c>
      <c r="H261" s="42"/>
      <c r="I261" s="2" t="str">
        <f t="shared" si="116"/>
        <v/>
      </c>
      <c r="J261" s="54" t="str">
        <f t="shared" si="103"/>
        <v/>
      </c>
      <c r="K261" s="55" t="str">
        <f t="shared" si="117"/>
        <v/>
      </c>
      <c r="L261" s="63" t="str">
        <f t="shared" si="118"/>
        <v/>
      </c>
      <c r="M261" s="96" t="str">
        <f t="shared" si="104"/>
        <v/>
      </c>
      <c r="N261" s="96" t="str">
        <f>IF(A261="","",IF(A261=Expiry,0,EXP(-q*Q261)*_xlfn.NORM.S.DIST(Y261,0)/(sigma*SQRT(Q261))*I261*Mult/100))</f>
        <v/>
      </c>
      <c r="O261" s="96" t="str">
        <f>IF(A261="","",IF(A261=Expiry,0,D261*E261*E261*EXP(-q*Q261)*_xlfn.NORM.S.DIST(Y261,0)*SQRT(Q261)/100))</f>
        <v/>
      </c>
      <c r="P261" s="69" t="str">
        <f>IF(A261="","",IF(A261=Expiry,0,AK261*I261*Mult*((-EXP(-q*Q261)*E261*_xlfn.NORM.S.DIST(Y261,0)*sigma/(2*SQRT(Q261))-r_dom*K*EXP(-r_dom*Q261)*_xlfn.NORM.S.DIST(Z261,1)+q*E261*EXP(-q*Q261)*_xlfn.NORM.S.DIST(Y261,1))/365)))</f>
        <v/>
      </c>
      <c r="Q261" s="83" t="str">
        <f t="shared" si="119"/>
        <v/>
      </c>
      <c r="R261" s="38"/>
      <c r="S261" s="68" t="str">
        <f t="shared" si="120"/>
        <v/>
      </c>
      <c r="T261" s="69" t="str">
        <f t="shared" si="121"/>
        <v/>
      </c>
      <c r="U261" s="70" t="str">
        <f t="shared" si="122"/>
        <v/>
      </c>
      <c r="V261" s="72" t="str">
        <f t="shared" si="123"/>
        <v/>
      </c>
      <c r="W261" s="2" t="str">
        <f t="shared" si="110"/>
        <v/>
      </c>
      <c r="X261" s="2" t="str">
        <f t="shared" si="105"/>
        <v/>
      </c>
      <c r="Y261" s="35" t="str">
        <f t="shared" ca="1" si="124"/>
        <v/>
      </c>
      <c r="Z261" s="36" t="str">
        <f t="shared" ca="1" si="125"/>
        <v/>
      </c>
      <c r="AA261" s="70" t="str">
        <f t="shared" si="126"/>
        <v/>
      </c>
      <c r="AB261" s="2"/>
      <c r="AC261" s="94" t="str">
        <f t="shared" si="106"/>
        <v/>
      </c>
      <c r="AD261" s="95" t="str">
        <f t="shared" si="107"/>
        <v/>
      </c>
      <c r="AE261" s="96" t="str">
        <f t="shared" si="108"/>
        <v/>
      </c>
      <c r="AF261" s="124" t="str">
        <f t="shared" si="109"/>
        <v/>
      </c>
      <c r="AG261" s="2"/>
      <c r="AH261" s="2"/>
      <c r="AI261" s="2"/>
      <c r="AJ261" s="2"/>
      <c r="AK261" s="2"/>
      <c r="AL261" s="2"/>
    </row>
    <row r="262" spans="1:38" x14ac:dyDescent="0.2">
      <c r="A262" s="45"/>
      <c r="B262" s="43" t="str">
        <f t="shared" si="112"/>
        <v/>
      </c>
      <c r="C262" s="96" t="str">
        <f t="shared" si="111"/>
        <v/>
      </c>
      <c r="D262" s="44" t="str">
        <f t="shared" si="113"/>
        <v/>
      </c>
      <c r="E262" s="52"/>
      <c r="F262" s="63" t="str">
        <f t="shared" si="114"/>
        <v/>
      </c>
      <c r="G262" s="56" t="str">
        <f t="shared" si="115"/>
        <v/>
      </c>
      <c r="H262" s="42"/>
      <c r="I262" s="2" t="str">
        <f t="shared" si="116"/>
        <v/>
      </c>
      <c r="J262" s="54" t="str">
        <f t="shared" si="103"/>
        <v/>
      </c>
      <c r="K262" s="55" t="str">
        <f t="shared" si="117"/>
        <v/>
      </c>
      <c r="L262" s="63" t="str">
        <f t="shared" si="118"/>
        <v/>
      </c>
      <c r="M262" s="96" t="str">
        <f t="shared" si="104"/>
        <v/>
      </c>
      <c r="N262" s="96" t="str">
        <f>IF(A262="","",IF(A262=Expiry,0,EXP(-q*Q262)*_xlfn.NORM.S.DIST(Y262,0)/(sigma*SQRT(Q262))*I262*Mult/100))</f>
        <v/>
      </c>
      <c r="O262" s="96" t="str">
        <f>IF(A262="","",IF(A262=Expiry,0,D262*E262*E262*EXP(-q*Q262)*_xlfn.NORM.S.DIST(Y262,0)*SQRT(Q262)/100))</f>
        <v/>
      </c>
      <c r="P262" s="69" t="str">
        <f>IF(A262="","",IF(A262=Expiry,0,AK262*I262*Mult*((-EXP(-q*Q262)*E262*_xlfn.NORM.S.DIST(Y262,0)*sigma/(2*SQRT(Q262))-r_dom*K*EXP(-r_dom*Q262)*_xlfn.NORM.S.DIST(Z262,1)+q*E262*EXP(-q*Q262)*_xlfn.NORM.S.DIST(Y262,1))/365)))</f>
        <v/>
      </c>
      <c r="Q262" s="83" t="str">
        <f t="shared" si="119"/>
        <v/>
      </c>
      <c r="R262" s="38"/>
      <c r="S262" s="68" t="str">
        <f t="shared" si="120"/>
        <v/>
      </c>
      <c r="T262" s="69" t="str">
        <f t="shared" si="121"/>
        <v/>
      </c>
      <c r="U262" s="70" t="str">
        <f t="shared" si="122"/>
        <v/>
      </c>
      <c r="V262" s="72" t="str">
        <f t="shared" si="123"/>
        <v/>
      </c>
      <c r="W262" s="2" t="str">
        <f t="shared" si="110"/>
        <v/>
      </c>
      <c r="X262" s="2" t="str">
        <f t="shared" si="105"/>
        <v/>
      </c>
      <c r="Y262" s="35" t="str">
        <f t="shared" ca="1" si="124"/>
        <v/>
      </c>
      <c r="Z262" s="36" t="str">
        <f t="shared" ca="1" si="125"/>
        <v/>
      </c>
      <c r="AA262" s="70" t="str">
        <f t="shared" si="126"/>
        <v/>
      </c>
      <c r="AB262" s="2"/>
      <c r="AC262" s="94" t="str">
        <f t="shared" si="106"/>
        <v/>
      </c>
      <c r="AD262" s="95" t="str">
        <f t="shared" si="107"/>
        <v/>
      </c>
      <c r="AE262" s="96" t="str">
        <f t="shared" si="108"/>
        <v/>
      </c>
      <c r="AF262" s="124" t="str">
        <f t="shared" si="109"/>
        <v/>
      </c>
      <c r="AG262" s="2"/>
      <c r="AH262" s="2"/>
      <c r="AI262" s="2"/>
      <c r="AJ262" s="2"/>
      <c r="AK262" s="2"/>
      <c r="AL262" s="2"/>
    </row>
    <row r="263" spans="1:38" x14ac:dyDescent="0.2">
      <c r="A263" s="45"/>
      <c r="B263" s="43" t="str">
        <f t="shared" si="112"/>
        <v/>
      </c>
      <c r="C263" s="96" t="str">
        <f t="shared" si="111"/>
        <v/>
      </c>
      <c r="D263" s="44" t="str">
        <f t="shared" si="113"/>
        <v/>
      </c>
      <c r="E263" s="52"/>
      <c r="F263" s="63" t="str">
        <f t="shared" si="114"/>
        <v/>
      </c>
      <c r="G263" s="56" t="str">
        <f t="shared" si="115"/>
        <v/>
      </c>
      <c r="H263" s="42"/>
      <c r="I263" s="2" t="str">
        <f t="shared" si="116"/>
        <v/>
      </c>
      <c r="J263" s="54" t="str">
        <f t="shared" si="103"/>
        <v/>
      </c>
      <c r="K263" s="55" t="str">
        <f t="shared" si="117"/>
        <v/>
      </c>
      <c r="L263" s="63" t="str">
        <f t="shared" si="118"/>
        <v/>
      </c>
      <c r="M263" s="96" t="str">
        <f t="shared" si="104"/>
        <v/>
      </c>
      <c r="N263" s="96" t="str">
        <f>IF(A263="","",IF(A263=Expiry,0,EXP(-q*Q263)*_xlfn.NORM.S.DIST(Y263,0)/(sigma*SQRT(Q263))*I263*Mult/100))</f>
        <v/>
      </c>
      <c r="O263" s="96" t="str">
        <f>IF(A263="","",IF(A263=Expiry,0,D263*E263*E263*EXP(-q*Q263)*_xlfn.NORM.S.DIST(Y263,0)*SQRT(Q263)/100))</f>
        <v/>
      </c>
      <c r="P263" s="69" t="str">
        <f>IF(A263="","",IF(A263=Expiry,0,AK263*I263*Mult*((-EXP(-q*Q263)*E263*_xlfn.NORM.S.DIST(Y263,0)*sigma/(2*SQRT(Q263))-r_dom*K*EXP(-r_dom*Q263)*_xlfn.NORM.S.DIST(Z263,1)+q*E263*EXP(-q*Q263)*_xlfn.NORM.S.DIST(Y263,1))/365)))</f>
        <v/>
      </c>
      <c r="Q263" s="83" t="str">
        <f t="shared" si="119"/>
        <v/>
      </c>
      <c r="R263" s="38"/>
      <c r="S263" s="68" t="str">
        <f t="shared" si="120"/>
        <v/>
      </c>
      <c r="T263" s="69" t="str">
        <f t="shared" si="121"/>
        <v/>
      </c>
      <c r="U263" s="70" t="str">
        <f t="shared" si="122"/>
        <v/>
      </c>
      <c r="V263" s="72" t="str">
        <f t="shared" si="123"/>
        <v/>
      </c>
      <c r="W263" s="2" t="str">
        <f t="shared" si="110"/>
        <v/>
      </c>
      <c r="X263" s="2" t="str">
        <f t="shared" si="105"/>
        <v/>
      </c>
      <c r="Y263" s="35" t="str">
        <f t="shared" ca="1" si="124"/>
        <v/>
      </c>
      <c r="Z263" s="36" t="str">
        <f t="shared" ca="1" si="125"/>
        <v/>
      </c>
      <c r="AA263" s="70" t="str">
        <f t="shared" si="126"/>
        <v/>
      </c>
      <c r="AB263" s="2"/>
      <c r="AC263" s="94" t="str">
        <f t="shared" si="106"/>
        <v/>
      </c>
      <c r="AD263" s="95" t="str">
        <f t="shared" si="107"/>
        <v/>
      </c>
      <c r="AE263" s="96" t="str">
        <f t="shared" si="108"/>
        <v/>
      </c>
      <c r="AF263" s="124" t="str">
        <f t="shared" si="109"/>
        <v/>
      </c>
      <c r="AG263" s="2"/>
      <c r="AH263" s="2"/>
      <c r="AI263" s="2"/>
      <c r="AJ263" s="2"/>
      <c r="AK263" s="2"/>
      <c r="AL263" s="2"/>
    </row>
    <row r="264" spans="1:38" x14ac:dyDescent="0.2">
      <c r="A264" s="45"/>
      <c r="B264" s="43" t="str">
        <f t="shared" si="112"/>
        <v/>
      </c>
      <c r="C264" s="96" t="str">
        <f t="shared" si="111"/>
        <v/>
      </c>
      <c r="D264" s="44" t="str">
        <f t="shared" si="113"/>
        <v/>
      </c>
      <c r="E264" s="52"/>
      <c r="F264" s="63" t="str">
        <f t="shared" si="114"/>
        <v/>
      </c>
      <c r="G264" s="56" t="str">
        <f t="shared" si="115"/>
        <v/>
      </c>
      <c r="H264" s="42"/>
      <c r="I264" s="2" t="str">
        <f t="shared" si="116"/>
        <v/>
      </c>
      <c r="J264" s="54" t="str">
        <f t="shared" si="103"/>
        <v/>
      </c>
      <c r="K264" s="55" t="str">
        <f t="shared" si="117"/>
        <v/>
      </c>
      <c r="L264" s="63" t="str">
        <f t="shared" si="118"/>
        <v/>
      </c>
      <c r="M264" s="96" t="str">
        <f t="shared" si="104"/>
        <v/>
      </c>
      <c r="N264" s="96" t="str">
        <f>IF(A264="","",IF(A264=Expiry,0,EXP(-q*Q264)*_xlfn.NORM.S.DIST(Y264,0)/(sigma*SQRT(Q264))*I264*Mult/100))</f>
        <v/>
      </c>
      <c r="O264" s="96" t="str">
        <f>IF(A264="","",IF(A264=Expiry,0,D264*E264*E264*EXP(-q*Q264)*_xlfn.NORM.S.DIST(Y264,0)*SQRT(Q264)/100))</f>
        <v/>
      </c>
      <c r="P264" s="69" t="str">
        <f>IF(A264="","",IF(A264=Expiry,0,AK264*I264*Mult*((-EXP(-q*Q264)*E264*_xlfn.NORM.S.DIST(Y264,0)*sigma/(2*SQRT(Q264))-r_dom*K*EXP(-r_dom*Q264)*_xlfn.NORM.S.DIST(Z264,1)+q*E264*EXP(-q*Q264)*_xlfn.NORM.S.DIST(Y264,1))/365)))</f>
        <v/>
      </c>
      <c r="Q264" s="83" t="str">
        <f t="shared" si="119"/>
        <v/>
      </c>
      <c r="R264" s="38"/>
      <c r="S264" s="68" t="str">
        <f t="shared" si="120"/>
        <v/>
      </c>
      <c r="T264" s="69" t="str">
        <f t="shared" si="121"/>
        <v/>
      </c>
      <c r="U264" s="70" t="str">
        <f t="shared" si="122"/>
        <v/>
      </c>
      <c r="V264" s="72" t="str">
        <f t="shared" si="123"/>
        <v/>
      </c>
      <c r="W264" s="2" t="str">
        <f t="shared" si="110"/>
        <v/>
      </c>
      <c r="X264" s="2" t="str">
        <f t="shared" si="105"/>
        <v/>
      </c>
      <c r="Y264" s="35" t="str">
        <f t="shared" ca="1" si="124"/>
        <v/>
      </c>
      <c r="Z264" s="36" t="str">
        <f t="shared" ca="1" si="125"/>
        <v/>
      </c>
      <c r="AA264" s="70" t="str">
        <f t="shared" si="126"/>
        <v/>
      </c>
      <c r="AB264" s="2"/>
      <c r="AC264" s="94" t="str">
        <f t="shared" si="106"/>
        <v/>
      </c>
      <c r="AD264" s="95" t="str">
        <f t="shared" si="107"/>
        <v/>
      </c>
      <c r="AE264" s="96" t="str">
        <f t="shared" si="108"/>
        <v/>
      </c>
      <c r="AF264" s="124" t="str">
        <f t="shared" si="109"/>
        <v/>
      </c>
      <c r="AG264" s="2"/>
      <c r="AH264" s="2"/>
      <c r="AI264" s="2"/>
      <c r="AJ264" s="2"/>
      <c r="AK264" s="2"/>
      <c r="AL264" s="2"/>
    </row>
    <row r="265" spans="1:38" x14ac:dyDescent="0.2">
      <c r="A265" s="45"/>
      <c r="B265" s="43" t="str">
        <f t="shared" si="112"/>
        <v/>
      </c>
      <c r="C265" s="96" t="str">
        <f t="shared" si="111"/>
        <v/>
      </c>
      <c r="D265" s="44" t="str">
        <f t="shared" si="113"/>
        <v/>
      </c>
      <c r="E265" s="52"/>
      <c r="F265" s="63" t="str">
        <f t="shared" si="114"/>
        <v/>
      </c>
      <c r="G265" s="56" t="str">
        <f t="shared" si="115"/>
        <v/>
      </c>
      <c r="H265" s="42"/>
      <c r="I265" s="2" t="str">
        <f t="shared" si="116"/>
        <v/>
      </c>
      <c r="J265" s="54" t="str">
        <f t="shared" si="103"/>
        <v/>
      </c>
      <c r="K265" s="55" t="str">
        <f t="shared" si="117"/>
        <v/>
      </c>
      <c r="L265" s="63" t="str">
        <f t="shared" si="118"/>
        <v/>
      </c>
      <c r="M265" s="96" t="str">
        <f t="shared" si="104"/>
        <v/>
      </c>
      <c r="N265" s="96" t="str">
        <f>IF(A265="","",IF(A265=Expiry,0,EXP(-q*Q265)*_xlfn.NORM.S.DIST(Y265,0)/(sigma*SQRT(Q265))*I265*Mult/100))</f>
        <v/>
      </c>
      <c r="O265" s="96" t="str">
        <f>IF(A265="","",IF(A265=Expiry,0,D265*E265*E265*EXP(-q*Q265)*_xlfn.NORM.S.DIST(Y265,0)*SQRT(Q265)/100))</f>
        <v/>
      </c>
      <c r="P265" s="69" t="str">
        <f>IF(A265="","",IF(A265=Expiry,0,AK265*I265*Mult*((-EXP(-q*Q265)*E265*_xlfn.NORM.S.DIST(Y265,0)*sigma/(2*SQRT(Q265))-r_dom*K*EXP(-r_dom*Q265)*_xlfn.NORM.S.DIST(Z265,1)+q*E265*EXP(-q*Q265)*_xlfn.NORM.S.DIST(Y265,1))/365)))</f>
        <v/>
      </c>
      <c r="Q265" s="83" t="str">
        <f t="shared" si="119"/>
        <v/>
      </c>
      <c r="R265" s="38"/>
      <c r="S265" s="68" t="str">
        <f t="shared" si="120"/>
        <v/>
      </c>
      <c r="T265" s="69" t="str">
        <f t="shared" si="121"/>
        <v/>
      </c>
      <c r="U265" s="70" t="str">
        <f t="shared" si="122"/>
        <v/>
      </c>
      <c r="V265" s="72" t="str">
        <f t="shared" si="123"/>
        <v/>
      </c>
      <c r="W265" s="2" t="str">
        <f t="shared" si="110"/>
        <v/>
      </c>
      <c r="X265" s="2" t="str">
        <f t="shared" si="105"/>
        <v/>
      </c>
      <c r="Y265" s="35" t="str">
        <f t="shared" ca="1" si="124"/>
        <v/>
      </c>
      <c r="Z265" s="36" t="str">
        <f t="shared" ca="1" si="125"/>
        <v/>
      </c>
      <c r="AA265" s="70" t="str">
        <f t="shared" si="126"/>
        <v/>
      </c>
      <c r="AB265" s="2"/>
      <c r="AC265" s="94" t="str">
        <f t="shared" si="106"/>
        <v/>
      </c>
      <c r="AD265" s="95" t="str">
        <f t="shared" si="107"/>
        <v/>
      </c>
      <c r="AE265" s="96" t="str">
        <f t="shared" si="108"/>
        <v/>
      </c>
      <c r="AF265" s="124" t="str">
        <f t="shared" si="109"/>
        <v/>
      </c>
      <c r="AG265" s="2"/>
      <c r="AH265" s="2"/>
      <c r="AI265" s="2"/>
      <c r="AJ265" s="2"/>
      <c r="AK265" s="2"/>
      <c r="AL265" s="2"/>
    </row>
    <row r="266" spans="1:38" x14ac:dyDescent="0.2">
      <c r="A266" s="45"/>
      <c r="B266" s="43" t="str">
        <f t="shared" si="112"/>
        <v/>
      </c>
      <c r="C266" s="96" t="str">
        <f t="shared" si="111"/>
        <v/>
      </c>
      <c r="D266" s="44" t="str">
        <f t="shared" si="113"/>
        <v/>
      </c>
      <c r="E266" s="52"/>
      <c r="F266" s="63" t="str">
        <f t="shared" si="114"/>
        <v/>
      </c>
      <c r="G266" s="56" t="str">
        <f t="shared" si="115"/>
        <v/>
      </c>
      <c r="H266" s="42"/>
      <c r="I266" s="2" t="str">
        <f t="shared" si="116"/>
        <v/>
      </c>
      <c r="J266" s="54" t="str">
        <f t="shared" si="103"/>
        <v/>
      </c>
      <c r="K266" s="55" t="str">
        <f t="shared" si="117"/>
        <v/>
      </c>
      <c r="L266" s="63" t="str">
        <f t="shared" si="118"/>
        <v/>
      </c>
      <c r="M266" s="96" t="str">
        <f t="shared" si="104"/>
        <v/>
      </c>
      <c r="N266" s="96" t="str">
        <f>IF(A266="","",IF(A266=Expiry,0,EXP(-q*Q266)*_xlfn.NORM.S.DIST(Y266,0)/(sigma*SQRT(Q266))*I266*Mult/100))</f>
        <v/>
      </c>
      <c r="O266" s="96" t="str">
        <f>IF(A266="","",IF(A266=Expiry,0,D266*E266*E266*EXP(-q*Q266)*_xlfn.NORM.S.DIST(Y266,0)*SQRT(Q266)/100))</f>
        <v/>
      </c>
      <c r="P266" s="69" t="str">
        <f>IF(A266="","",IF(A266=Expiry,0,AK266*I266*Mult*((-EXP(-q*Q266)*E266*_xlfn.NORM.S.DIST(Y266,0)*sigma/(2*SQRT(Q266))-r_dom*K*EXP(-r_dom*Q266)*_xlfn.NORM.S.DIST(Z266,1)+q*E266*EXP(-q*Q266)*_xlfn.NORM.S.DIST(Y266,1))/365)))</f>
        <v/>
      </c>
      <c r="Q266" s="83" t="str">
        <f t="shared" si="119"/>
        <v/>
      </c>
      <c r="R266" s="38"/>
      <c r="S266" s="68" t="str">
        <f t="shared" si="120"/>
        <v/>
      </c>
      <c r="T266" s="69" t="str">
        <f t="shared" si="121"/>
        <v/>
      </c>
      <c r="U266" s="70" t="str">
        <f t="shared" si="122"/>
        <v/>
      </c>
      <c r="V266" s="72" t="str">
        <f t="shared" si="123"/>
        <v/>
      </c>
      <c r="W266" s="2" t="str">
        <f t="shared" si="110"/>
        <v/>
      </c>
      <c r="X266" s="2" t="str">
        <f t="shared" si="105"/>
        <v/>
      </c>
      <c r="Y266" s="35" t="str">
        <f t="shared" ca="1" si="124"/>
        <v/>
      </c>
      <c r="Z266" s="36" t="str">
        <f t="shared" ca="1" si="125"/>
        <v/>
      </c>
      <c r="AA266" s="70" t="str">
        <f t="shared" si="126"/>
        <v/>
      </c>
      <c r="AB266" s="2"/>
      <c r="AC266" s="94" t="str">
        <f t="shared" si="106"/>
        <v/>
      </c>
      <c r="AD266" s="95" t="str">
        <f t="shared" si="107"/>
        <v/>
      </c>
      <c r="AE266" s="96" t="str">
        <f t="shared" si="108"/>
        <v/>
      </c>
      <c r="AF266" s="124" t="str">
        <f t="shared" si="109"/>
        <v/>
      </c>
      <c r="AG266" s="2"/>
      <c r="AH266" s="2"/>
      <c r="AI266" s="2"/>
      <c r="AJ266" s="2"/>
      <c r="AK266" s="2"/>
      <c r="AL266" s="2"/>
    </row>
    <row r="267" spans="1:38" x14ac:dyDescent="0.2">
      <c r="A267" s="45"/>
      <c r="B267" s="43" t="str">
        <f t="shared" si="112"/>
        <v/>
      </c>
      <c r="C267" s="96" t="str">
        <f t="shared" si="111"/>
        <v/>
      </c>
      <c r="D267" s="44" t="str">
        <f t="shared" si="113"/>
        <v/>
      </c>
      <c r="E267" s="52"/>
      <c r="F267" s="63" t="str">
        <f t="shared" si="114"/>
        <v/>
      </c>
      <c r="G267" s="56" t="str">
        <f t="shared" si="115"/>
        <v/>
      </c>
      <c r="H267" s="42"/>
      <c r="I267" s="2" t="str">
        <f t="shared" si="116"/>
        <v/>
      </c>
      <c r="J267" s="54" t="str">
        <f t="shared" si="103"/>
        <v/>
      </c>
      <c r="K267" s="55" t="str">
        <f t="shared" si="117"/>
        <v/>
      </c>
      <c r="L267" s="63" t="str">
        <f t="shared" si="118"/>
        <v/>
      </c>
      <c r="M267" s="96" t="str">
        <f t="shared" si="104"/>
        <v/>
      </c>
      <c r="N267" s="96" t="str">
        <f>IF(A267="","",IF(A267=Expiry,0,EXP(-q*Q267)*_xlfn.NORM.S.DIST(Y267,0)/(sigma*SQRT(Q267))*I267*Mult/100))</f>
        <v/>
      </c>
      <c r="O267" s="96" t="str">
        <f>IF(A267="","",IF(A267=Expiry,0,D267*E267*E267*EXP(-q*Q267)*_xlfn.NORM.S.DIST(Y267,0)*SQRT(Q267)/100))</f>
        <v/>
      </c>
      <c r="P267" s="69" t="str">
        <f>IF(A267="","",IF(A267=Expiry,0,AK267*I267*Mult*((-EXP(-q*Q267)*E267*_xlfn.NORM.S.DIST(Y267,0)*sigma/(2*SQRT(Q267))-r_dom*K*EXP(-r_dom*Q267)*_xlfn.NORM.S.DIST(Z267,1)+q*E267*EXP(-q*Q267)*_xlfn.NORM.S.DIST(Y267,1))/365)))</f>
        <v/>
      </c>
      <c r="Q267" s="83" t="str">
        <f t="shared" si="119"/>
        <v/>
      </c>
      <c r="R267" s="38"/>
      <c r="S267" s="68" t="str">
        <f t="shared" si="120"/>
        <v/>
      </c>
      <c r="T267" s="69" t="str">
        <f t="shared" si="121"/>
        <v/>
      </c>
      <c r="U267" s="70" t="str">
        <f t="shared" si="122"/>
        <v/>
      </c>
      <c r="V267" s="72" t="str">
        <f t="shared" si="123"/>
        <v/>
      </c>
      <c r="W267" s="2" t="str">
        <f t="shared" si="110"/>
        <v/>
      </c>
      <c r="X267" s="2" t="str">
        <f t="shared" si="105"/>
        <v/>
      </c>
      <c r="Y267" s="35" t="str">
        <f t="shared" ca="1" si="124"/>
        <v/>
      </c>
      <c r="Z267" s="36" t="str">
        <f t="shared" ca="1" si="125"/>
        <v/>
      </c>
      <c r="AA267" s="70" t="str">
        <f t="shared" si="126"/>
        <v/>
      </c>
      <c r="AB267" s="2"/>
      <c r="AC267" s="94" t="str">
        <f t="shared" si="106"/>
        <v/>
      </c>
      <c r="AD267" s="95" t="str">
        <f t="shared" si="107"/>
        <v/>
      </c>
      <c r="AE267" s="96" t="str">
        <f t="shared" si="108"/>
        <v/>
      </c>
      <c r="AF267" s="124" t="str">
        <f t="shared" si="109"/>
        <v/>
      </c>
      <c r="AG267" s="2"/>
      <c r="AH267" s="2"/>
      <c r="AI267" s="2"/>
      <c r="AJ267" s="2"/>
      <c r="AK267" s="2"/>
      <c r="AL267" s="2"/>
    </row>
    <row r="268" spans="1:38" x14ac:dyDescent="0.2">
      <c r="A268" s="45"/>
      <c r="B268" s="43" t="str">
        <f t="shared" si="112"/>
        <v/>
      </c>
      <c r="C268" s="96" t="str">
        <f t="shared" si="111"/>
        <v/>
      </c>
      <c r="D268" s="44" t="str">
        <f t="shared" si="113"/>
        <v/>
      </c>
      <c r="E268" s="52"/>
      <c r="F268" s="63" t="str">
        <f t="shared" si="114"/>
        <v/>
      </c>
      <c r="G268" s="56" t="str">
        <f t="shared" si="115"/>
        <v/>
      </c>
      <c r="H268" s="42"/>
      <c r="I268" s="2" t="str">
        <f t="shared" si="116"/>
        <v/>
      </c>
      <c r="J268" s="54" t="str">
        <f t="shared" si="103"/>
        <v/>
      </c>
      <c r="K268" s="55" t="str">
        <f t="shared" si="117"/>
        <v/>
      </c>
      <c r="L268" s="63" t="str">
        <f t="shared" si="118"/>
        <v/>
      </c>
      <c r="M268" s="96" t="str">
        <f t="shared" si="104"/>
        <v/>
      </c>
      <c r="N268" s="96" t="str">
        <f>IF(A268="","",IF(A268=Expiry,0,EXP(-q*Q268)*_xlfn.NORM.S.DIST(Y268,0)/(sigma*SQRT(Q268))*I268*Mult/100))</f>
        <v/>
      </c>
      <c r="O268" s="96" t="str">
        <f>IF(A268="","",IF(A268=Expiry,0,D268*E268*E268*EXP(-q*Q268)*_xlfn.NORM.S.DIST(Y268,0)*SQRT(Q268)/100))</f>
        <v/>
      </c>
      <c r="P268" s="69" t="str">
        <f>IF(A268="","",IF(A268=Expiry,0,AK268*I268*Mult*((-EXP(-q*Q268)*E268*_xlfn.NORM.S.DIST(Y268,0)*sigma/(2*SQRT(Q268))-r_dom*K*EXP(-r_dom*Q268)*_xlfn.NORM.S.DIST(Z268,1)+q*E268*EXP(-q*Q268)*_xlfn.NORM.S.DIST(Y268,1))/365)))</f>
        <v/>
      </c>
      <c r="Q268" s="83" t="str">
        <f t="shared" si="119"/>
        <v/>
      </c>
      <c r="R268" s="38"/>
      <c r="S268" s="68" t="str">
        <f t="shared" si="120"/>
        <v/>
      </c>
      <c r="T268" s="69" t="str">
        <f t="shared" si="121"/>
        <v/>
      </c>
      <c r="U268" s="70" t="str">
        <f t="shared" si="122"/>
        <v/>
      </c>
      <c r="V268" s="72" t="str">
        <f t="shared" si="123"/>
        <v/>
      </c>
      <c r="W268" s="2" t="str">
        <f t="shared" si="110"/>
        <v/>
      </c>
      <c r="X268" s="2" t="str">
        <f t="shared" si="105"/>
        <v/>
      </c>
      <c r="Y268" s="35" t="str">
        <f t="shared" ca="1" si="124"/>
        <v/>
      </c>
      <c r="Z268" s="36" t="str">
        <f t="shared" ca="1" si="125"/>
        <v/>
      </c>
      <c r="AA268" s="70" t="str">
        <f t="shared" si="126"/>
        <v/>
      </c>
      <c r="AB268" s="2"/>
      <c r="AC268" s="94" t="str">
        <f t="shared" si="106"/>
        <v/>
      </c>
      <c r="AD268" s="95" t="str">
        <f t="shared" si="107"/>
        <v/>
      </c>
      <c r="AE268" s="96" t="str">
        <f t="shared" si="108"/>
        <v/>
      </c>
      <c r="AF268" s="124" t="str">
        <f t="shared" si="109"/>
        <v/>
      </c>
      <c r="AG268" s="2"/>
      <c r="AH268" s="2"/>
      <c r="AI268" s="2"/>
      <c r="AJ268" s="2"/>
      <c r="AK268" s="2"/>
      <c r="AL268" s="2"/>
    </row>
    <row r="269" spans="1:38" x14ac:dyDescent="0.2">
      <c r="A269" s="45"/>
      <c r="B269" s="43" t="str">
        <f t="shared" si="112"/>
        <v/>
      </c>
      <c r="C269" s="96" t="str">
        <f t="shared" si="111"/>
        <v/>
      </c>
      <c r="D269" s="44" t="str">
        <f t="shared" si="113"/>
        <v/>
      </c>
      <c r="E269" s="52"/>
      <c r="F269" s="63" t="str">
        <f t="shared" si="114"/>
        <v/>
      </c>
      <c r="G269" s="56" t="str">
        <f t="shared" si="115"/>
        <v/>
      </c>
      <c r="H269" s="42"/>
      <c r="I269" s="2" t="str">
        <f t="shared" si="116"/>
        <v/>
      </c>
      <c r="J269" s="54" t="str">
        <f t="shared" si="103"/>
        <v/>
      </c>
      <c r="K269" s="55" t="str">
        <f t="shared" si="117"/>
        <v/>
      </c>
      <c r="L269" s="63" t="str">
        <f t="shared" si="118"/>
        <v/>
      </c>
      <c r="M269" s="96" t="str">
        <f t="shared" si="104"/>
        <v/>
      </c>
      <c r="N269" s="96" t="str">
        <f>IF(A269="","",IF(A269=Expiry,0,EXP(-q*Q269)*_xlfn.NORM.S.DIST(Y269,0)/(sigma*SQRT(Q269))*I269*Mult/100))</f>
        <v/>
      </c>
      <c r="O269" s="96" t="str">
        <f>IF(A269="","",IF(A269=Expiry,0,D269*E269*E269*EXP(-q*Q269)*_xlfn.NORM.S.DIST(Y269,0)*SQRT(Q269)/100))</f>
        <v/>
      </c>
      <c r="P269" s="69" t="str">
        <f>IF(A269="","",IF(A269=Expiry,0,AK269*I269*Mult*((-EXP(-q*Q269)*E269*_xlfn.NORM.S.DIST(Y269,0)*sigma/(2*SQRT(Q269))-r_dom*K*EXP(-r_dom*Q269)*_xlfn.NORM.S.DIST(Z269,1)+q*E269*EXP(-q*Q269)*_xlfn.NORM.S.DIST(Y269,1))/365)))</f>
        <v/>
      </c>
      <c r="Q269" s="83" t="str">
        <f t="shared" si="119"/>
        <v/>
      </c>
      <c r="R269" s="38"/>
      <c r="S269" s="68" t="str">
        <f t="shared" si="120"/>
        <v/>
      </c>
      <c r="T269" s="69" t="str">
        <f t="shared" si="121"/>
        <v/>
      </c>
      <c r="U269" s="70" t="str">
        <f t="shared" si="122"/>
        <v/>
      </c>
      <c r="V269" s="72" t="str">
        <f t="shared" si="123"/>
        <v/>
      </c>
      <c r="W269" s="2" t="str">
        <f t="shared" si="110"/>
        <v/>
      </c>
      <c r="X269" s="2" t="str">
        <f t="shared" si="105"/>
        <v/>
      </c>
      <c r="Y269" s="35" t="str">
        <f t="shared" ca="1" si="124"/>
        <v/>
      </c>
      <c r="Z269" s="36" t="str">
        <f t="shared" ca="1" si="125"/>
        <v/>
      </c>
      <c r="AA269" s="70" t="str">
        <f t="shared" si="126"/>
        <v/>
      </c>
      <c r="AB269" s="2"/>
      <c r="AC269" s="94" t="str">
        <f t="shared" si="106"/>
        <v/>
      </c>
      <c r="AD269" s="95" t="str">
        <f t="shared" si="107"/>
        <v/>
      </c>
      <c r="AE269" s="96" t="str">
        <f t="shared" si="108"/>
        <v/>
      </c>
      <c r="AF269" s="124" t="str">
        <f t="shared" si="109"/>
        <v/>
      </c>
      <c r="AG269" s="2"/>
      <c r="AH269" s="2"/>
      <c r="AI269" s="2"/>
      <c r="AJ269" s="2"/>
      <c r="AK269" s="2"/>
      <c r="AL269" s="2"/>
    </row>
    <row r="270" spans="1:38" x14ac:dyDescent="0.2">
      <c r="A270" s="45"/>
      <c r="B270" s="43" t="str">
        <f t="shared" si="112"/>
        <v/>
      </c>
      <c r="C270" s="96" t="str">
        <f t="shared" si="111"/>
        <v/>
      </c>
      <c r="D270" s="44" t="str">
        <f t="shared" si="113"/>
        <v/>
      </c>
      <c r="E270" s="52"/>
      <c r="F270" s="63" t="str">
        <f t="shared" si="114"/>
        <v/>
      </c>
      <c r="G270" s="56" t="str">
        <f t="shared" si="115"/>
        <v/>
      </c>
      <c r="H270" s="42"/>
      <c r="I270" s="2" t="str">
        <f t="shared" si="116"/>
        <v/>
      </c>
      <c r="J270" s="54" t="str">
        <f t="shared" si="103"/>
        <v/>
      </c>
      <c r="K270" s="55" t="str">
        <f t="shared" si="117"/>
        <v/>
      </c>
      <c r="L270" s="63" t="str">
        <f t="shared" si="118"/>
        <v/>
      </c>
      <c r="M270" s="96" t="str">
        <f t="shared" si="104"/>
        <v/>
      </c>
      <c r="N270" s="96" t="str">
        <f>IF(A270="","",IF(A270=Expiry,0,EXP(-q*Q270)*_xlfn.NORM.S.DIST(Y270,0)/(sigma*SQRT(Q270))*I270*Mult/100))</f>
        <v/>
      </c>
      <c r="O270" s="96" t="str">
        <f>IF(A270="","",IF(A270=Expiry,0,D270*E270*E270*EXP(-q*Q270)*_xlfn.NORM.S.DIST(Y270,0)*SQRT(Q270)/100))</f>
        <v/>
      </c>
      <c r="P270" s="69" t="str">
        <f>IF(A270="","",IF(A270=Expiry,0,AK270*I270*Mult*((-EXP(-q*Q270)*E270*_xlfn.NORM.S.DIST(Y270,0)*sigma/(2*SQRT(Q270))-r_dom*K*EXP(-r_dom*Q270)*_xlfn.NORM.S.DIST(Z270,1)+q*E270*EXP(-q*Q270)*_xlfn.NORM.S.DIST(Y270,1))/365)))</f>
        <v/>
      </c>
      <c r="Q270" s="83" t="str">
        <f t="shared" si="119"/>
        <v/>
      </c>
      <c r="R270" s="38"/>
      <c r="S270" s="68" t="str">
        <f t="shared" si="120"/>
        <v/>
      </c>
      <c r="T270" s="69" t="str">
        <f t="shared" si="121"/>
        <v/>
      </c>
      <c r="U270" s="70" t="str">
        <f t="shared" si="122"/>
        <v/>
      </c>
      <c r="V270" s="72" t="str">
        <f t="shared" si="123"/>
        <v/>
      </c>
      <c r="W270" s="2" t="str">
        <f t="shared" si="110"/>
        <v/>
      </c>
      <c r="X270" s="2" t="str">
        <f t="shared" si="105"/>
        <v/>
      </c>
      <c r="Y270" s="35" t="str">
        <f t="shared" ca="1" si="124"/>
        <v/>
      </c>
      <c r="Z270" s="36" t="str">
        <f t="shared" ca="1" si="125"/>
        <v/>
      </c>
      <c r="AA270" s="70" t="str">
        <f t="shared" si="126"/>
        <v/>
      </c>
      <c r="AB270" s="2"/>
      <c r="AC270" s="94" t="str">
        <f t="shared" si="106"/>
        <v/>
      </c>
      <c r="AD270" s="95" t="str">
        <f t="shared" si="107"/>
        <v/>
      </c>
      <c r="AE270" s="96" t="str">
        <f t="shared" si="108"/>
        <v/>
      </c>
      <c r="AF270" s="124" t="str">
        <f t="shared" si="109"/>
        <v/>
      </c>
      <c r="AG270" s="2"/>
      <c r="AH270" s="2"/>
      <c r="AI270" s="2"/>
      <c r="AJ270" s="2"/>
      <c r="AK270" s="2"/>
      <c r="AL270" s="2"/>
    </row>
    <row r="271" spans="1:38" x14ac:dyDescent="0.2">
      <c r="A271" s="45"/>
      <c r="B271" s="43" t="str">
        <f t="shared" si="112"/>
        <v/>
      </c>
      <c r="C271" s="96" t="str">
        <f t="shared" si="111"/>
        <v/>
      </c>
      <c r="D271" s="44" t="str">
        <f t="shared" si="113"/>
        <v/>
      </c>
      <c r="E271" s="52"/>
      <c r="F271" s="63" t="str">
        <f t="shared" si="114"/>
        <v/>
      </c>
      <c r="G271" s="56" t="str">
        <f t="shared" si="115"/>
        <v/>
      </c>
      <c r="H271" s="42"/>
      <c r="I271" s="2" t="str">
        <f t="shared" si="116"/>
        <v/>
      </c>
      <c r="J271" s="54" t="str">
        <f t="shared" si="103"/>
        <v/>
      </c>
      <c r="K271" s="55" t="str">
        <f t="shared" si="117"/>
        <v/>
      </c>
      <c r="L271" s="63" t="str">
        <f t="shared" si="118"/>
        <v/>
      </c>
      <c r="M271" s="96" t="str">
        <f t="shared" si="104"/>
        <v/>
      </c>
      <c r="N271" s="96" t="str">
        <f>IF(A271="","",IF(A271=Expiry,0,EXP(-q*Q271)*_xlfn.NORM.S.DIST(Y271,0)/(sigma*SQRT(Q271))*I271*Mult/100))</f>
        <v/>
      </c>
      <c r="O271" s="96" t="str">
        <f>IF(A271="","",IF(A271=Expiry,0,D271*E271*E271*EXP(-q*Q271)*_xlfn.NORM.S.DIST(Y271,0)*SQRT(Q271)/100))</f>
        <v/>
      </c>
      <c r="P271" s="69" t="str">
        <f>IF(A271="","",IF(A271=Expiry,0,AK271*I271*Mult*((-EXP(-q*Q271)*E271*_xlfn.NORM.S.DIST(Y271,0)*sigma/(2*SQRT(Q271))-r_dom*K*EXP(-r_dom*Q271)*_xlfn.NORM.S.DIST(Z271,1)+q*E271*EXP(-q*Q271)*_xlfn.NORM.S.DIST(Y271,1))/365)))</f>
        <v/>
      </c>
      <c r="Q271" s="83" t="str">
        <f t="shared" si="119"/>
        <v/>
      </c>
      <c r="R271" s="38"/>
      <c r="S271" s="68" t="str">
        <f t="shared" si="120"/>
        <v/>
      </c>
      <c r="T271" s="69" t="str">
        <f t="shared" si="121"/>
        <v/>
      </c>
      <c r="U271" s="70" t="str">
        <f t="shared" si="122"/>
        <v/>
      </c>
      <c r="V271" s="72" t="str">
        <f t="shared" si="123"/>
        <v/>
      </c>
      <c r="W271" s="2" t="str">
        <f t="shared" si="110"/>
        <v/>
      </c>
      <c r="X271" s="2" t="str">
        <f t="shared" si="105"/>
        <v/>
      </c>
      <c r="Y271" s="35" t="str">
        <f t="shared" ca="1" si="124"/>
        <v/>
      </c>
      <c r="Z271" s="36" t="str">
        <f t="shared" ca="1" si="125"/>
        <v/>
      </c>
      <c r="AA271" s="70" t="str">
        <f t="shared" si="126"/>
        <v/>
      </c>
      <c r="AB271" s="2"/>
      <c r="AC271" s="94" t="str">
        <f t="shared" si="106"/>
        <v/>
      </c>
      <c r="AD271" s="95" t="str">
        <f t="shared" si="107"/>
        <v/>
      </c>
      <c r="AE271" s="96" t="str">
        <f t="shared" si="108"/>
        <v/>
      </c>
      <c r="AF271" s="124" t="str">
        <f t="shared" si="109"/>
        <v/>
      </c>
      <c r="AG271" s="2"/>
      <c r="AH271" s="2"/>
      <c r="AI271" s="2"/>
      <c r="AJ271" s="2"/>
      <c r="AK271" s="2"/>
      <c r="AL271" s="2"/>
    </row>
    <row r="272" spans="1:38" x14ac:dyDescent="0.2">
      <c r="A272" s="45"/>
      <c r="B272" s="43" t="str">
        <f t="shared" si="112"/>
        <v/>
      </c>
      <c r="C272" s="96" t="str">
        <f t="shared" si="111"/>
        <v/>
      </c>
      <c r="D272" s="44" t="str">
        <f t="shared" si="113"/>
        <v/>
      </c>
      <c r="E272" s="52"/>
      <c r="F272" s="63" t="str">
        <f t="shared" si="114"/>
        <v/>
      </c>
      <c r="G272" s="56" t="str">
        <f t="shared" si="115"/>
        <v/>
      </c>
      <c r="H272" s="42"/>
      <c r="I272" s="2" t="str">
        <f t="shared" si="116"/>
        <v/>
      </c>
      <c r="J272" s="54" t="str">
        <f t="shared" si="103"/>
        <v/>
      </c>
      <c r="K272" s="55" t="str">
        <f t="shared" si="117"/>
        <v/>
      </c>
      <c r="L272" s="63" t="str">
        <f t="shared" si="118"/>
        <v/>
      </c>
      <c r="M272" s="96" t="str">
        <f t="shared" si="104"/>
        <v/>
      </c>
      <c r="N272" s="96" t="str">
        <f>IF(A272="","",IF(A272=Expiry,0,EXP(-q*Q272)*_xlfn.NORM.S.DIST(Y272,0)/(sigma*SQRT(Q272))*I272*Mult/100))</f>
        <v/>
      </c>
      <c r="O272" s="96" t="str">
        <f>IF(A272="","",IF(A272=Expiry,0,D272*E272*E272*EXP(-q*Q272)*_xlfn.NORM.S.DIST(Y272,0)*SQRT(Q272)/100))</f>
        <v/>
      </c>
      <c r="P272" s="69" t="str">
        <f>IF(A272="","",IF(A272=Expiry,0,AK272*I272*Mult*((-EXP(-q*Q272)*E272*_xlfn.NORM.S.DIST(Y272,0)*sigma/(2*SQRT(Q272))-r_dom*K*EXP(-r_dom*Q272)*_xlfn.NORM.S.DIST(Z272,1)+q*E272*EXP(-q*Q272)*_xlfn.NORM.S.DIST(Y272,1))/365)))</f>
        <v/>
      </c>
      <c r="Q272" s="83" t="str">
        <f t="shared" si="119"/>
        <v/>
      </c>
      <c r="R272" s="38"/>
      <c r="S272" s="68" t="str">
        <f t="shared" si="120"/>
        <v/>
      </c>
      <c r="T272" s="69" t="str">
        <f t="shared" si="121"/>
        <v/>
      </c>
      <c r="U272" s="70" t="str">
        <f t="shared" si="122"/>
        <v/>
      </c>
      <c r="V272" s="72" t="str">
        <f t="shared" si="123"/>
        <v/>
      </c>
      <c r="W272" s="2" t="str">
        <f t="shared" si="110"/>
        <v/>
      </c>
      <c r="X272" s="2" t="str">
        <f t="shared" si="105"/>
        <v/>
      </c>
      <c r="Y272" s="35" t="str">
        <f t="shared" ca="1" si="124"/>
        <v/>
      </c>
      <c r="Z272" s="36" t="str">
        <f t="shared" ca="1" si="125"/>
        <v/>
      </c>
      <c r="AA272" s="70" t="str">
        <f t="shared" si="126"/>
        <v/>
      </c>
      <c r="AB272" s="2"/>
      <c r="AC272" s="94" t="str">
        <f t="shared" si="106"/>
        <v/>
      </c>
      <c r="AD272" s="95" t="str">
        <f t="shared" si="107"/>
        <v/>
      </c>
      <c r="AE272" s="96" t="str">
        <f t="shared" si="108"/>
        <v/>
      </c>
      <c r="AF272" s="124" t="str">
        <f t="shared" si="109"/>
        <v/>
      </c>
      <c r="AG272" s="2"/>
      <c r="AH272" s="2"/>
      <c r="AI272" s="2"/>
      <c r="AJ272" s="2"/>
      <c r="AK272" s="2"/>
      <c r="AL272" s="2"/>
    </row>
    <row r="273" spans="1:38" x14ac:dyDescent="0.2">
      <c r="A273" s="45"/>
      <c r="B273" s="43" t="str">
        <f t="shared" si="112"/>
        <v/>
      </c>
      <c r="C273" s="96" t="str">
        <f t="shared" si="111"/>
        <v/>
      </c>
      <c r="D273" s="44" t="str">
        <f t="shared" si="113"/>
        <v/>
      </c>
      <c r="E273" s="52"/>
      <c r="F273" s="63" t="str">
        <f t="shared" si="114"/>
        <v/>
      </c>
      <c r="G273" s="56" t="str">
        <f t="shared" si="115"/>
        <v/>
      </c>
      <c r="H273" s="42"/>
      <c r="I273" s="2" t="str">
        <f t="shared" si="116"/>
        <v/>
      </c>
      <c r="J273" s="54" t="str">
        <f t="shared" si="103"/>
        <v/>
      </c>
      <c r="K273" s="55" t="str">
        <f t="shared" si="117"/>
        <v/>
      </c>
      <c r="L273" s="63" t="str">
        <f t="shared" si="118"/>
        <v/>
      </c>
      <c r="M273" s="96" t="str">
        <f t="shared" si="104"/>
        <v/>
      </c>
      <c r="N273" s="96" t="str">
        <f>IF(A273="","",IF(A273=Expiry,0,EXP(-q*Q273)*_xlfn.NORM.S.DIST(Y273,0)/(sigma*SQRT(Q273))*I273*Mult/100))</f>
        <v/>
      </c>
      <c r="O273" s="96" t="str">
        <f>IF(A273="","",IF(A273=Expiry,0,D273*E273*E273*EXP(-q*Q273)*_xlfn.NORM.S.DIST(Y273,0)*SQRT(Q273)/100))</f>
        <v/>
      </c>
      <c r="P273" s="69" t="str">
        <f>IF(A273="","",IF(A273=Expiry,0,AK273*I273*Mult*((-EXP(-q*Q273)*E273*_xlfn.NORM.S.DIST(Y273,0)*sigma/(2*SQRT(Q273))-r_dom*K*EXP(-r_dom*Q273)*_xlfn.NORM.S.DIST(Z273,1)+q*E273*EXP(-q*Q273)*_xlfn.NORM.S.DIST(Y273,1))/365)))</f>
        <v/>
      </c>
      <c r="Q273" s="83" t="str">
        <f t="shared" si="119"/>
        <v/>
      </c>
      <c r="R273" s="38"/>
      <c r="S273" s="68" t="str">
        <f t="shared" si="120"/>
        <v/>
      </c>
      <c r="T273" s="69" t="str">
        <f t="shared" si="121"/>
        <v/>
      </c>
      <c r="U273" s="70" t="str">
        <f t="shared" si="122"/>
        <v/>
      </c>
      <c r="V273" s="72" t="str">
        <f t="shared" si="123"/>
        <v/>
      </c>
      <c r="W273" s="2" t="str">
        <f t="shared" si="110"/>
        <v/>
      </c>
      <c r="X273" s="2" t="str">
        <f t="shared" si="105"/>
        <v/>
      </c>
      <c r="Y273" s="35" t="str">
        <f t="shared" ca="1" si="124"/>
        <v/>
      </c>
      <c r="Z273" s="36" t="str">
        <f t="shared" ca="1" si="125"/>
        <v/>
      </c>
      <c r="AA273" s="70" t="str">
        <f t="shared" si="126"/>
        <v/>
      </c>
      <c r="AB273" s="2"/>
      <c r="AC273" s="94" t="str">
        <f t="shared" si="106"/>
        <v/>
      </c>
      <c r="AD273" s="95" t="str">
        <f t="shared" si="107"/>
        <v/>
      </c>
      <c r="AE273" s="96" t="str">
        <f t="shared" si="108"/>
        <v/>
      </c>
      <c r="AF273" s="124" t="str">
        <f t="shared" si="109"/>
        <v/>
      </c>
      <c r="AG273" s="2"/>
      <c r="AH273" s="2"/>
      <c r="AI273" s="2"/>
      <c r="AJ273" s="2"/>
      <c r="AK273" s="2"/>
      <c r="AL273" s="2"/>
    </row>
    <row r="274" spans="1:38" x14ac:dyDescent="0.2">
      <c r="A274" s="45"/>
      <c r="B274" s="43" t="str">
        <f t="shared" si="112"/>
        <v/>
      </c>
      <c r="C274" s="96" t="str">
        <f t="shared" si="111"/>
        <v/>
      </c>
      <c r="D274" s="44" t="str">
        <f t="shared" si="113"/>
        <v/>
      </c>
      <c r="E274" s="52"/>
      <c r="F274" s="63" t="str">
        <f t="shared" si="114"/>
        <v/>
      </c>
      <c r="G274" s="56" t="str">
        <f t="shared" si="115"/>
        <v/>
      </c>
      <c r="H274" s="42"/>
      <c r="I274" s="2" t="str">
        <f t="shared" si="116"/>
        <v/>
      </c>
      <c r="J274" s="54" t="str">
        <f t="shared" si="103"/>
        <v/>
      </c>
      <c r="K274" s="55" t="str">
        <f t="shared" si="117"/>
        <v/>
      </c>
      <c r="L274" s="63" t="str">
        <f t="shared" si="118"/>
        <v/>
      </c>
      <c r="M274" s="96" t="str">
        <f t="shared" si="104"/>
        <v/>
      </c>
      <c r="N274" s="96" t="str">
        <f>IF(A274="","",IF(A274=Expiry,0,EXP(-q*Q274)*_xlfn.NORM.S.DIST(Y274,0)/(sigma*SQRT(Q274))*I274*Mult/100))</f>
        <v/>
      </c>
      <c r="O274" s="96" t="str">
        <f>IF(A274="","",IF(A274=Expiry,0,D274*E274*E274*EXP(-q*Q274)*_xlfn.NORM.S.DIST(Y274,0)*SQRT(Q274)/100))</f>
        <v/>
      </c>
      <c r="P274" s="69" t="str">
        <f>IF(A274="","",IF(A274=Expiry,0,AK274*I274*Mult*((-EXP(-q*Q274)*E274*_xlfn.NORM.S.DIST(Y274,0)*sigma/(2*SQRT(Q274))-r_dom*K*EXP(-r_dom*Q274)*_xlfn.NORM.S.DIST(Z274,1)+q*E274*EXP(-q*Q274)*_xlfn.NORM.S.DIST(Y274,1))/365)))</f>
        <v/>
      </c>
      <c r="Q274" s="83" t="str">
        <f t="shared" si="119"/>
        <v/>
      </c>
      <c r="R274" s="38"/>
      <c r="S274" s="68" t="str">
        <f t="shared" si="120"/>
        <v/>
      </c>
      <c r="T274" s="69" t="str">
        <f t="shared" si="121"/>
        <v/>
      </c>
      <c r="U274" s="70" t="str">
        <f t="shared" si="122"/>
        <v/>
      </c>
      <c r="V274" s="72" t="str">
        <f t="shared" si="123"/>
        <v/>
      </c>
      <c r="W274" s="2" t="str">
        <f t="shared" si="110"/>
        <v/>
      </c>
      <c r="X274" s="2" t="str">
        <f t="shared" si="105"/>
        <v/>
      </c>
      <c r="Y274" s="35" t="str">
        <f t="shared" ca="1" si="124"/>
        <v/>
      </c>
      <c r="Z274" s="36" t="str">
        <f t="shared" ca="1" si="125"/>
        <v/>
      </c>
      <c r="AA274" s="70" t="str">
        <f t="shared" si="126"/>
        <v/>
      </c>
      <c r="AB274" s="2"/>
      <c r="AC274" s="94" t="str">
        <f t="shared" si="106"/>
        <v/>
      </c>
      <c r="AD274" s="95" t="str">
        <f t="shared" si="107"/>
        <v/>
      </c>
      <c r="AE274" s="96" t="str">
        <f t="shared" si="108"/>
        <v/>
      </c>
      <c r="AF274" s="124" t="str">
        <f t="shared" si="109"/>
        <v/>
      </c>
      <c r="AG274" s="2"/>
      <c r="AH274" s="2"/>
      <c r="AI274" s="2"/>
      <c r="AJ274" s="2"/>
      <c r="AK274" s="2"/>
      <c r="AL274" s="2"/>
    </row>
    <row r="275" spans="1:38" x14ac:dyDescent="0.2">
      <c r="A275" s="45"/>
      <c r="B275" s="43" t="str">
        <f t="shared" si="112"/>
        <v/>
      </c>
      <c r="C275" s="96" t="str">
        <f t="shared" si="111"/>
        <v/>
      </c>
      <c r="D275" s="44" t="str">
        <f t="shared" si="113"/>
        <v/>
      </c>
      <c r="E275" s="52"/>
      <c r="F275" s="63" t="str">
        <f t="shared" si="114"/>
        <v/>
      </c>
      <c r="G275" s="56" t="str">
        <f t="shared" si="115"/>
        <v/>
      </c>
      <c r="H275" s="42"/>
      <c r="I275" s="2" t="str">
        <f t="shared" si="116"/>
        <v/>
      </c>
      <c r="J275" s="54" t="str">
        <f t="shared" si="103"/>
        <v/>
      </c>
      <c r="K275" s="55" t="str">
        <f t="shared" si="117"/>
        <v/>
      </c>
      <c r="L275" s="63" t="str">
        <f t="shared" si="118"/>
        <v/>
      </c>
      <c r="M275" s="96" t="str">
        <f t="shared" si="104"/>
        <v/>
      </c>
      <c r="N275" s="96" t="str">
        <f>IF(A275="","",IF(A275=Expiry,0,EXP(-q*Q275)*_xlfn.NORM.S.DIST(Y275,0)/(sigma*SQRT(Q275))*I275*Mult/100))</f>
        <v/>
      </c>
      <c r="O275" s="96" t="str">
        <f>IF(A275="","",IF(A275=Expiry,0,D275*E275*E275*EXP(-q*Q275)*_xlfn.NORM.S.DIST(Y275,0)*SQRT(Q275)/100))</f>
        <v/>
      </c>
      <c r="P275" s="69" t="str">
        <f>IF(A275="","",IF(A275=Expiry,0,AK275*I275*Mult*((-EXP(-q*Q275)*E275*_xlfn.NORM.S.DIST(Y275,0)*sigma/(2*SQRT(Q275))-r_dom*K*EXP(-r_dom*Q275)*_xlfn.NORM.S.DIST(Z275,1)+q*E275*EXP(-q*Q275)*_xlfn.NORM.S.DIST(Y275,1))/365)))</f>
        <v/>
      </c>
      <c r="Q275" s="83" t="str">
        <f t="shared" si="119"/>
        <v/>
      </c>
      <c r="R275" s="38"/>
      <c r="S275" s="68" t="str">
        <f t="shared" si="120"/>
        <v/>
      </c>
      <c r="T275" s="69" t="str">
        <f t="shared" si="121"/>
        <v/>
      </c>
      <c r="U275" s="70" t="str">
        <f t="shared" si="122"/>
        <v/>
      </c>
      <c r="V275" s="72" t="str">
        <f t="shared" si="123"/>
        <v/>
      </c>
      <c r="W275" s="2" t="str">
        <f t="shared" si="110"/>
        <v/>
      </c>
      <c r="X275" s="2" t="str">
        <f t="shared" si="105"/>
        <v/>
      </c>
      <c r="Y275" s="35" t="str">
        <f t="shared" ca="1" si="124"/>
        <v/>
      </c>
      <c r="Z275" s="36" t="str">
        <f t="shared" ca="1" si="125"/>
        <v/>
      </c>
      <c r="AA275" s="70" t="str">
        <f t="shared" si="126"/>
        <v/>
      </c>
      <c r="AB275" s="2"/>
      <c r="AC275" s="94" t="str">
        <f t="shared" si="106"/>
        <v/>
      </c>
      <c r="AD275" s="95" t="str">
        <f t="shared" si="107"/>
        <v/>
      </c>
      <c r="AE275" s="96" t="str">
        <f t="shared" si="108"/>
        <v/>
      </c>
      <c r="AF275" s="124" t="str">
        <f t="shared" si="109"/>
        <v/>
      </c>
      <c r="AG275" s="2"/>
      <c r="AH275" s="2"/>
      <c r="AI275" s="2"/>
      <c r="AJ275" s="2"/>
      <c r="AK275" s="2"/>
      <c r="AL275" s="2"/>
    </row>
    <row r="276" spans="1:38" x14ac:dyDescent="0.2">
      <c r="A276" s="45"/>
      <c r="B276" s="43" t="str">
        <f t="shared" si="112"/>
        <v/>
      </c>
      <c r="C276" s="96" t="str">
        <f t="shared" si="111"/>
        <v/>
      </c>
      <c r="D276" s="44" t="str">
        <f t="shared" si="113"/>
        <v/>
      </c>
      <c r="E276" s="52"/>
      <c r="F276" s="63" t="str">
        <f t="shared" si="114"/>
        <v/>
      </c>
      <c r="G276" s="56" t="str">
        <f t="shared" si="115"/>
        <v/>
      </c>
      <c r="H276" s="42"/>
      <c r="I276" s="2" t="str">
        <f t="shared" si="116"/>
        <v/>
      </c>
      <c r="J276" s="54" t="str">
        <f t="shared" si="103"/>
        <v/>
      </c>
      <c r="K276" s="55" t="str">
        <f t="shared" si="117"/>
        <v/>
      </c>
      <c r="L276" s="63" t="str">
        <f t="shared" si="118"/>
        <v/>
      </c>
      <c r="M276" s="96" t="str">
        <f t="shared" si="104"/>
        <v/>
      </c>
      <c r="N276" s="96" t="str">
        <f>IF(A276="","",IF(A276=Expiry,0,EXP(-q*Q276)*_xlfn.NORM.S.DIST(Y276,0)/(sigma*SQRT(Q276))*I276*Mult/100))</f>
        <v/>
      </c>
      <c r="O276" s="96" t="str">
        <f>IF(A276="","",IF(A276=Expiry,0,D276*E276*E276*EXP(-q*Q276)*_xlfn.NORM.S.DIST(Y276,0)*SQRT(Q276)/100))</f>
        <v/>
      </c>
      <c r="P276" s="69" t="str">
        <f>IF(A276="","",IF(A276=Expiry,0,AK276*I276*Mult*((-EXP(-q*Q276)*E276*_xlfn.NORM.S.DIST(Y276,0)*sigma/(2*SQRT(Q276))-r_dom*K*EXP(-r_dom*Q276)*_xlfn.NORM.S.DIST(Z276,1)+q*E276*EXP(-q*Q276)*_xlfn.NORM.S.DIST(Y276,1))/365)))</f>
        <v/>
      </c>
      <c r="Q276" s="83" t="str">
        <f t="shared" si="119"/>
        <v/>
      </c>
      <c r="R276" s="38"/>
      <c r="S276" s="68" t="str">
        <f t="shared" si="120"/>
        <v/>
      </c>
      <c r="T276" s="69" t="str">
        <f t="shared" si="121"/>
        <v/>
      </c>
      <c r="U276" s="70" t="str">
        <f t="shared" si="122"/>
        <v/>
      </c>
      <c r="V276" s="72" t="str">
        <f t="shared" si="123"/>
        <v/>
      </c>
      <c r="W276" s="2" t="str">
        <f t="shared" si="110"/>
        <v/>
      </c>
      <c r="X276" s="2" t="str">
        <f t="shared" si="105"/>
        <v/>
      </c>
      <c r="Y276" s="35" t="str">
        <f t="shared" ca="1" si="124"/>
        <v/>
      </c>
      <c r="Z276" s="36" t="str">
        <f t="shared" ca="1" si="125"/>
        <v/>
      </c>
      <c r="AA276" s="70" t="str">
        <f t="shared" si="126"/>
        <v/>
      </c>
      <c r="AB276" s="2"/>
      <c r="AC276" s="94" t="str">
        <f t="shared" si="106"/>
        <v/>
      </c>
      <c r="AD276" s="95" t="str">
        <f t="shared" si="107"/>
        <v/>
      </c>
      <c r="AE276" s="96" t="str">
        <f t="shared" si="108"/>
        <v/>
      </c>
      <c r="AF276" s="124" t="str">
        <f t="shared" si="109"/>
        <v/>
      </c>
      <c r="AG276" s="2"/>
      <c r="AH276" s="2"/>
      <c r="AI276" s="2"/>
      <c r="AJ276" s="2"/>
      <c r="AK276" s="2"/>
      <c r="AL276" s="2"/>
    </row>
    <row r="277" spans="1:38" x14ac:dyDescent="0.2">
      <c r="A277" s="45"/>
      <c r="B277" s="43" t="str">
        <f t="shared" si="112"/>
        <v/>
      </c>
      <c r="C277" s="96" t="str">
        <f t="shared" si="111"/>
        <v/>
      </c>
      <c r="D277" s="44" t="str">
        <f t="shared" si="113"/>
        <v/>
      </c>
      <c r="E277" s="52"/>
      <c r="F277" s="63" t="str">
        <f t="shared" si="114"/>
        <v/>
      </c>
      <c r="G277" s="56" t="str">
        <f t="shared" si="115"/>
        <v/>
      </c>
      <c r="H277" s="42"/>
      <c r="I277" s="2" t="str">
        <f t="shared" si="116"/>
        <v/>
      </c>
      <c r="J277" s="54" t="str">
        <f t="shared" si="103"/>
        <v/>
      </c>
      <c r="K277" s="55" t="str">
        <f t="shared" si="117"/>
        <v/>
      </c>
      <c r="L277" s="63" t="str">
        <f t="shared" si="118"/>
        <v/>
      </c>
      <c r="M277" s="96" t="str">
        <f t="shared" si="104"/>
        <v/>
      </c>
      <c r="N277" s="96" t="str">
        <f>IF(A277="","",IF(A277=Expiry,0,EXP(-q*Q277)*_xlfn.NORM.S.DIST(Y277,0)/(sigma*SQRT(Q277))*I277*Mult/100))</f>
        <v/>
      </c>
      <c r="O277" s="96" t="str">
        <f>IF(A277="","",IF(A277=Expiry,0,D277*E277*E277*EXP(-q*Q277)*_xlfn.NORM.S.DIST(Y277,0)*SQRT(Q277)/100))</f>
        <v/>
      </c>
      <c r="P277" s="69" t="str">
        <f>IF(A277="","",IF(A277=Expiry,0,AK277*I277*Mult*((-EXP(-q*Q277)*E277*_xlfn.NORM.S.DIST(Y277,0)*sigma/(2*SQRT(Q277))-r_dom*K*EXP(-r_dom*Q277)*_xlfn.NORM.S.DIST(Z277,1)+q*E277*EXP(-q*Q277)*_xlfn.NORM.S.DIST(Y277,1))/365)))</f>
        <v/>
      </c>
      <c r="Q277" s="83" t="str">
        <f t="shared" si="119"/>
        <v/>
      </c>
      <c r="R277" s="38"/>
      <c r="S277" s="68" t="str">
        <f t="shared" si="120"/>
        <v/>
      </c>
      <c r="T277" s="69" t="str">
        <f t="shared" si="121"/>
        <v/>
      </c>
      <c r="U277" s="70" t="str">
        <f t="shared" si="122"/>
        <v/>
      </c>
      <c r="V277" s="72" t="str">
        <f t="shared" si="123"/>
        <v/>
      </c>
      <c r="W277" s="2" t="str">
        <f t="shared" si="110"/>
        <v/>
      </c>
      <c r="X277" s="2" t="str">
        <f t="shared" si="105"/>
        <v/>
      </c>
      <c r="Y277" s="35" t="str">
        <f t="shared" ca="1" si="124"/>
        <v/>
      </c>
      <c r="Z277" s="36" t="str">
        <f t="shared" ca="1" si="125"/>
        <v/>
      </c>
      <c r="AA277" s="70" t="str">
        <f t="shared" si="126"/>
        <v/>
      </c>
      <c r="AB277" s="2"/>
      <c r="AC277" s="94" t="str">
        <f t="shared" si="106"/>
        <v/>
      </c>
      <c r="AD277" s="95" t="str">
        <f t="shared" si="107"/>
        <v/>
      </c>
      <c r="AE277" s="96" t="str">
        <f t="shared" si="108"/>
        <v/>
      </c>
      <c r="AF277" s="124" t="str">
        <f t="shared" si="109"/>
        <v/>
      </c>
      <c r="AG277" s="2"/>
      <c r="AH277" s="2"/>
      <c r="AI277" s="2"/>
      <c r="AJ277" s="2"/>
      <c r="AK277" s="2"/>
      <c r="AL277" s="2"/>
    </row>
    <row r="278" spans="1:38" x14ac:dyDescent="0.2">
      <c r="A278" s="45"/>
      <c r="B278" s="43" t="str">
        <f t="shared" si="112"/>
        <v/>
      </c>
      <c r="C278" s="96" t="str">
        <f t="shared" si="111"/>
        <v/>
      </c>
      <c r="D278" s="44" t="str">
        <f t="shared" si="113"/>
        <v/>
      </c>
      <c r="E278" s="52"/>
      <c r="F278" s="63" t="str">
        <f t="shared" si="114"/>
        <v/>
      </c>
      <c r="G278" s="56" t="str">
        <f t="shared" si="115"/>
        <v/>
      </c>
      <c r="H278" s="42"/>
      <c r="I278" s="2" t="str">
        <f t="shared" si="116"/>
        <v/>
      </c>
      <c r="J278" s="54" t="str">
        <f t="shared" si="103"/>
        <v/>
      </c>
      <c r="K278" s="55" t="str">
        <f t="shared" si="117"/>
        <v/>
      </c>
      <c r="L278" s="63" t="str">
        <f t="shared" si="118"/>
        <v/>
      </c>
      <c r="M278" s="96" t="str">
        <f t="shared" si="104"/>
        <v/>
      </c>
      <c r="N278" s="96" t="str">
        <f>IF(A278="","",IF(A278=Expiry,0,EXP(-q*Q278)*_xlfn.NORM.S.DIST(Y278,0)/(sigma*SQRT(Q278))*I278*Mult/100))</f>
        <v/>
      </c>
      <c r="O278" s="96" t="str">
        <f>IF(A278="","",IF(A278=Expiry,0,D278*E278*E278*EXP(-q*Q278)*_xlfn.NORM.S.DIST(Y278,0)*SQRT(Q278)/100))</f>
        <v/>
      </c>
      <c r="P278" s="69" t="str">
        <f>IF(A278="","",IF(A278=Expiry,0,AK278*I278*Mult*((-EXP(-q*Q278)*E278*_xlfn.NORM.S.DIST(Y278,0)*sigma/(2*SQRT(Q278))-r_dom*K*EXP(-r_dom*Q278)*_xlfn.NORM.S.DIST(Z278,1)+q*E278*EXP(-q*Q278)*_xlfn.NORM.S.DIST(Y278,1))/365)))</f>
        <v/>
      </c>
      <c r="Q278" s="83" t="str">
        <f t="shared" si="119"/>
        <v/>
      </c>
      <c r="R278" s="38"/>
      <c r="S278" s="68" t="str">
        <f t="shared" si="120"/>
        <v/>
      </c>
      <c r="T278" s="69" t="str">
        <f t="shared" si="121"/>
        <v/>
      </c>
      <c r="U278" s="70" t="str">
        <f t="shared" si="122"/>
        <v/>
      </c>
      <c r="V278" s="72" t="str">
        <f t="shared" si="123"/>
        <v/>
      </c>
      <c r="W278" s="2" t="str">
        <f t="shared" si="110"/>
        <v/>
      </c>
      <c r="X278" s="2" t="str">
        <f t="shared" si="105"/>
        <v/>
      </c>
      <c r="Y278" s="35" t="str">
        <f t="shared" ca="1" si="124"/>
        <v/>
      </c>
      <c r="Z278" s="36" t="str">
        <f t="shared" ca="1" si="125"/>
        <v/>
      </c>
      <c r="AA278" s="70" t="str">
        <f t="shared" si="126"/>
        <v/>
      </c>
      <c r="AB278" s="2"/>
      <c r="AC278" s="94" t="str">
        <f t="shared" si="106"/>
        <v/>
      </c>
      <c r="AD278" s="95" t="str">
        <f t="shared" si="107"/>
        <v/>
      </c>
      <c r="AE278" s="96" t="str">
        <f t="shared" si="108"/>
        <v/>
      </c>
      <c r="AF278" s="124" t="str">
        <f t="shared" si="109"/>
        <v/>
      </c>
      <c r="AG278" s="2"/>
      <c r="AH278" s="2"/>
      <c r="AI278" s="2"/>
      <c r="AJ278" s="2"/>
      <c r="AK278" s="2"/>
      <c r="AL278" s="2"/>
    </row>
    <row r="279" spans="1:38" x14ac:dyDescent="0.2">
      <c r="A279" s="45"/>
      <c r="B279" s="43" t="str">
        <f t="shared" si="112"/>
        <v/>
      </c>
      <c r="C279" s="96" t="str">
        <f t="shared" si="111"/>
        <v/>
      </c>
      <c r="D279" s="44" t="str">
        <f t="shared" si="113"/>
        <v/>
      </c>
      <c r="E279" s="52"/>
      <c r="F279" s="63" t="str">
        <f t="shared" si="114"/>
        <v/>
      </c>
      <c r="G279" s="56" t="str">
        <f t="shared" si="115"/>
        <v/>
      </c>
      <c r="H279" s="42"/>
      <c r="I279" s="2" t="str">
        <f t="shared" si="116"/>
        <v/>
      </c>
      <c r="J279" s="54" t="str">
        <f t="shared" si="103"/>
        <v/>
      </c>
      <c r="K279" s="55" t="str">
        <f t="shared" si="117"/>
        <v/>
      </c>
      <c r="L279" s="63" t="str">
        <f t="shared" si="118"/>
        <v/>
      </c>
      <c r="M279" s="96" t="str">
        <f t="shared" si="104"/>
        <v/>
      </c>
      <c r="N279" s="96" t="str">
        <f>IF(A279="","",IF(A279=Expiry,0,EXP(-q*Q279)*_xlfn.NORM.S.DIST(Y279,0)/(sigma*SQRT(Q279))*I279*Mult/100))</f>
        <v/>
      </c>
      <c r="O279" s="96" t="str">
        <f>IF(A279="","",IF(A279=Expiry,0,D279*E279*E279*EXP(-q*Q279)*_xlfn.NORM.S.DIST(Y279,0)*SQRT(Q279)/100))</f>
        <v/>
      </c>
      <c r="P279" s="69" t="str">
        <f>IF(A279="","",IF(A279=Expiry,0,AK279*I279*Mult*((-EXP(-q*Q279)*E279*_xlfn.NORM.S.DIST(Y279,0)*sigma/(2*SQRT(Q279))-r_dom*K*EXP(-r_dom*Q279)*_xlfn.NORM.S.DIST(Z279,1)+q*E279*EXP(-q*Q279)*_xlfn.NORM.S.DIST(Y279,1))/365)))</f>
        <v/>
      </c>
      <c r="Q279" s="83" t="str">
        <f t="shared" si="119"/>
        <v/>
      </c>
      <c r="R279" s="38"/>
      <c r="S279" s="68" t="str">
        <f t="shared" si="120"/>
        <v/>
      </c>
      <c r="T279" s="69" t="str">
        <f t="shared" si="121"/>
        <v/>
      </c>
      <c r="U279" s="70" t="str">
        <f t="shared" si="122"/>
        <v/>
      </c>
      <c r="V279" s="72" t="str">
        <f t="shared" si="123"/>
        <v/>
      </c>
      <c r="W279" s="2" t="str">
        <f t="shared" si="110"/>
        <v/>
      </c>
      <c r="X279" s="2" t="str">
        <f t="shared" si="105"/>
        <v/>
      </c>
      <c r="Y279" s="35" t="str">
        <f t="shared" ca="1" si="124"/>
        <v/>
      </c>
      <c r="Z279" s="36" t="str">
        <f t="shared" ca="1" si="125"/>
        <v/>
      </c>
      <c r="AA279" s="70" t="str">
        <f t="shared" si="126"/>
        <v/>
      </c>
      <c r="AB279" s="2"/>
      <c r="AC279" s="94" t="str">
        <f t="shared" si="106"/>
        <v/>
      </c>
      <c r="AD279" s="95" t="str">
        <f t="shared" si="107"/>
        <v/>
      </c>
      <c r="AE279" s="96" t="str">
        <f t="shared" si="108"/>
        <v/>
      </c>
      <c r="AF279" s="124" t="str">
        <f t="shared" si="109"/>
        <v/>
      </c>
      <c r="AG279" s="2"/>
      <c r="AH279" s="2"/>
      <c r="AI279" s="2"/>
      <c r="AJ279" s="2"/>
      <c r="AK279" s="2"/>
      <c r="AL279" s="2"/>
    </row>
    <row r="280" spans="1:38" x14ac:dyDescent="0.2">
      <c r="A280" s="45"/>
      <c r="B280" s="43" t="str">
        <f t="shared" si="112"/>
        <v/>
      </c>
      <c r="C280" s="96" t="str">
        <f t="shared" si="111"/>
        <v/>
      </c>
      <c r="D280" s="44" t="str">
        <f t="shared" si="113"/>
        <v/>
      </c>
      <c r="E280" s="52"/>
      <c r="F280" s="63" t="str">
        <f t="shared" si="114"/>
        <v/>
      </c>
      <c r="G280" s="56" t="str">
        <f t="shared" si="115"/>
        <v/>
      </c>
      <c r="H280" s="42"/>
      <c r="I280" s="2" t="str">
        <f t="shared" si="116"/>
        <v/>
      </c>
      <c r="J280" s="54" t="str">
        <f t="shared" si="103"/>
        <v/>
      </c>
      <c r="K280" s="55" t="str">
        <f t="shared" si="117"/>
        <v/>
      </c>
      <c r="L280" s="63" t="str">
        <f t="shared" si="118"/>
        <v/>
      </c>
      <c r="M280" s="96" t="str">
        <f t="shared" si="104"/>
        <v/>
      </c>
      <c r="N280" s="96" t="str">
        <f>IF(A280="","",IF(A280=Expiry,0,EXP(-q*Q280)*_xlfn.NORM.S.DIST(Y280,0)/(sigma*SQRT(Q280))*I280*Mult/100))</f>
        <v/>
      </c>
      <c r="O280" s="96" t="str">
        <f>IF(A280="","",IF(A280=Expiry,0,D280*E280*E280*EXP(-q*Q280)*_xlfn.NORM.S.DIST(Y280,0)*SQRT(Q280)/100))</f>
        <v/>
      </c>
      <c r="P280" s="69" t="str">
        <f>IF(A280="","",IF(A280=Expiry,0,AK280*I280*Mult*((-EXP(-q*Q280)*E280*_xlfn.NORM.S.DIST(Y280,0)*sigma/(2*SQRT(Q280))-r_dom*K*EXP(-r_dom*Q280)*_xlfn.NORM.S.DIST(Z280,1)+q*E280*EXP(-q*Q280)*_xlfn.NORM.S.DIST(Y280,1))/365)))</f>
        <v/>
      </c>
      <c r="Q280" s="83" t="str">
        <f t="shared" si="119"/>
        <v/>
      </c>
      <c r="R280" s="38"/>
      <c r="S280" s="68" t="str">
        <f t="shared" si="120"/>
        <v/>
      </c>
      <c r="T280" s="69" t="str">
        <f t="shared" si="121"/>
        <v/>
      </c>
      <c r="U280" s="70" t="str">
        <f t="shared" si="122"/>
        <v/>
      </c>
      <c r="V280" s="72" t="str">
        <f t="shared" si="123"/>
        <v/>
      </c>
      <c r="W280" s="2" t="str">
        <f t="shared" si="110"/>
        <v/>
      </c>
      <c r="X280" s="2" t="str">
        <f t="shared" si="105"/>
        <v/>
      </c>
      <c r="Y280" s="35" t="str">
        <f t="shared" ca="1" si="124"/>
        <v/>
      </c>
      <c r="Z280" s="36" t="str">
        <f t="shared" ca="1" si="125"/>
        <v/>
      </c>
      <c r="AA280" s="70" t="str">
        <f t="shared" si="126"/>
        <v/>
      </c>
      <c r="AB280" s="2"/>
      <c r="AC280" s="94" t="str">
        <f t="shared" si="106"/>
        <v/>
      </c>
      <c r="AD280" s="95" t="str">
        <f t="shared" si="107"/>
        <v/>
      </c>
      <c r="AE280" s="96" t="str">
        <f t="shared" si="108"/>
        <v/>
      </c>
      <c r="AF280" s="124" t="str">
        <f t="shared" si="109"/>
        <v/>
      </c>
      <c r="AG280" s="2"/>
      <c r="AH280" s="2"/>
      <c r="AI280" s="2"/>
      <c r="AJ280" s="2"/>
      <c r="AK280" s="2"/>
      <c r="AL280" s="2"/>
    </row>
    <row r="281" spans="1:38" x14ac:dyDescent="0.2">
      <c r="A281" s="45"/>
      <c r="B281" s="43" t="str">
        <f t="shared" si="112"/>
        <v/>
      </c>
      <c r="C281" s="96" t="str">
        <f t="shared" si="111"/>
        <v/>
      </c>
      <c r="D281" s="44" t="str">
        <f t="shared" si="113"/>
        <v/>
      </c>
      <c r="E281" s="52"/>
      <c r="F281" s="63" t="str">
        <f t="shared" si="114"/>
        <v/>
      </c>
      <c r="G281" s="56" t="str">
        <f t="shared" si="115"/>
        <v/>
      </c>
      <c r="H281" s="42"/>
      <c r="I281" s="2" t="str">
        <f t="shared" si="116"/>
        <v/>
      </c>
      <c r="J281" s="54" t="str">
        <f t="shared" si="103"/>
        <v/>
      </c>
      <c r="K281" s="55" t="str">
        <f t="shared" si="117"/>
        <v/>
      </c>
      <c r="L281" s="63" t="str">
        <f t="shared" si="118"/>
        <v/>
      </c>
      <c r="M281" s="96" t="str">
        <f t="shared" si="104"/>
        <v/>
      </c>
      <c r="N281" s="96" t="str">
        <f>IF(A281="","",IF(A281=Expiry,0,EXP(-q*Q281)*_xlfn.NORM.S.DIST(Y281,0)/(sigma*SQRT(Q281))*I281*Mult/100))</f>
        <v/>
      </c>
      <c r="O281" s="96" t="str">
        <f>IF(A281="","",IF(A281=Expiry,0,D281*E281*E281*EXP(-q*Q281)*_xlfn.NORM.S.DIST(Y281,0)*SQRT(Q281)/100))</f>
        <v/>
      </c>
      <c r="P281" s="69" t="str">
        <f>IF(A281="","",IF(A281=Expiry,0,AK281*I281*Mult*((-EXP(-q*Q281)*E281*_xlfn.NORM.S.DIST(Y281,0)*sigma/(2*SQRT(Q281))-r_dom*K*EXP(-r_dom*Q281)*_xlfn.NORM.S.DIST(Z281,1)+q*E281*EXP(-q*Q281)*_xlfn.NORM.S.DIST(Y281,1))/365)))</f>
        <v/>
      </c>
      <c r="Q281" s="83" t="str">
        <f t="shared" si="119"/>
        <v/>
      </c>
      <c r="R281" s="38"/>
      <c r="S281" s="68" t="str">
        <f t="shared" si="120"/>
        <v/>
      </c>
      <c r="T281" s="69" t="str">
        <f t="shared" si="121"/>
        <v/>
      </c>
      <c r="U281" s="70" t="str">
        <f t="shared" si="122"/>
        <v/>
      </c>
      <c r="V281" s="72" t="str">
        <f t="shared" si="123"/>
        <v/>
      </c>
      <c r="W281" s="2" t="str">
        <f t="shared" si="110"/>
        <v/>
      </c>
      <c r="X281" s="2" t="str">
        <f t="shared" si="105"/>
        <v/>
      </c>
      <c r="Y281" s="35" t="str">
        <f t="shared" ca="1" si="124"/>
        <v/>
      </c>
      <c r="Z281" s="36" t="str">
        <f t="shared" ca="1" si="125"/>
        <v/>
      </c>
      <c r="AA281" s="70" t="str">
        <f t="shared" si="126"/>
        <v/>
      </c>
      <c r="AB281" s="2"/>
      <c r="AC281" s="94" t="str">
        <f t="shared" si="106"/>
        <v/>
      </c>
      <c r="AD281" s="95" t="str">
        <f t="shared" si="107"/>
        <v/>
      </c>
      <c r="AE281" s="96" t="str">
        <f t="shared" si="108"/>
        <v/>
      </c>
      <c r="AF281" s="124" t="str">
        <f t="shared" si="109"/>
        <v/>
      </c>
      <c r="AG281" s="2"/>
      <c r="AH281" s="2"/>
      <c r="AI281" s="2"/>
      <c r="AJ281" s="2"/>
      <c r="AK281" s="2"/>
      <c r="AL281" s="2"/>
    </row>
    <row r="282" spans="1:38" x14ac:dyDescent="0.2">
      <c r="A282" s="45"/>
      <c r="B282" s="43" t="str">
        <f t="shared" si="112"/>
        <v/>
      </c>
      <c r="C282" s="96" t="str">
        <f t="shared" si="111"/>
        <v/>
      </c>
      <c r="D282" s="44" t="str">
        <f t="shared" si="113"/>
        <v/>
      </c>
      <c r="E282" s="52"/>
      <c r="F282" s="63" t="str">
        <f t="shared" si="114"/>
        <v/>
      </c>
      <c r="G282" s="56" t="str">
        <f t="shared" si="115"/>
        <v/>
      </c>
      <c r="H282" s="42"/>
      <c r="I282" s="2" t="str">
        <f t="shared" si="116"/>
        <v/>
      </c>
      <c r="J282" s="54" t="str">
        <f t="shared" si="103"/>
        <v/>
      </c>
      <c r="K282" s="55" t="str">
        <f t="shared" si="117"/>
        <v/>
      </c>
      <c r="L282" s="63" t="str">
        <f t="shared" si="118"/>
        <v/>
      </c>
      <c r="M282" s="96" t="str">
        <f t="shared" si="104"/>
        <v/>
      </c>
      <c r="N282" s="96" t="str">
        <f>IF(A282="","",IF(A282=Expiry,0,EXP(-q*Q282)*_xlfn.NORM.S.DIST(Y282,0)/(sigma*SQRT(Q282))*I282*Mult/100))</f>
        <v/>
      </c>
      <c r="O282" s="96" t="str">
        <f>IF(A282="","",IF(A282=Expiry,0,D282*E282*E282*EXP(-q*Q282)*_xlfn.NORM.S.DIST(Y282,0)*SQRT(Q282)/100))</f>
        <v/>
      </c>
      <c r="P282" s="69" t="str">
        <f>IF(A282="","",IF(A282=Expiry,0,AK282*I282*Mult*((-EXP(-q*Q282)*E282*_xlfn.NORM.S.DIST(Y282,0)*sigma/(2*SQRT(Q282))-r_dom*K*EXP(-r_dom*Q282)*_xlfn.NORM.S.DIST(Z282,1)+q*E282*EXP(-q*Q282)*_xlfn.NORM.S.DIST(Y282,1))/365)))</f>
        <v/>
      </c>
      <c r="Q282" s="83" t="str">
        <f t="shared" si="119"/>
        <v/>
      </c>
      <c r="R282" s="38"/>
      <c r="S282" s="68" t="str">
        <f t="shared" si="120"/>
        <v/>
      </c>
      <c r="T282" s="69" t="str">
        <f t="shared" si="121"/>
        <v/>
      </c>
      <c r="U282" s="70" t="str">
        <f t="shared" si="122"/>
        <v/>
      </c>
      <c r="V282" s="72" t="str">
        <f t="shared" si="123"/>
        <v/>
      </c>
      <c r="W282" s="2" t="str">
        <f t="shared" si="110"/>
        <v/>
      </c>
      <c r="X282" s="2" t="str">
        <f t="shared" si="105"/>
        <v/>
      </c>
      <c r="Y282" s="35" t="str">
        <f t="shared" ca="1" si="124"/>
        <v/>
      </c>
      <c r="Z282" s="36" t="str">
        <f t="shared" ca="1" si="125"/>
        <v/>
      </c>
      <c r="AA282" s="70" t="str">
        <f t="shared" si="126"/>
        <v/>
      </c>
      <c r="AB282" s="2"/>
      <c r="AC282" s="94" t="str">
        <f t="shared" si="106"/>
        <v/>
      </c>
      <c r="AD282" s="95" t="str">
        <f t="shared" si="107"/>
        <v/>
      </c>
      <c r="AE282" s="96" t="str">
        <f t="shared" si="108"/>
        <v/>
      </c>
      <c r="AF282" s="124" t="str">
        <f t="shared" si="109"/>
        <v/>
      </c>
      <c r="AG282" s="2"/>
      <c r="AH282" s="2"/>
      <c r="AI282" s="2"/>
      <c r="AJ282" s="2"/>
      <c r="AK282" s="2"/>
      <c r="AL282" s="2"/>
    </row>
    <row r="283" spans="1:38" x14ac:dyDescent="0.2">
      <c r="A283" s="45"/>
      <c r="B283" s="43" t="str">
        <f t="shared" si="112"/>
        <v/>
      </c>
      <c r="C283" s="96" t="str">
        <f t="shared" si="111"/>
        <v/>
      </c>
      <c r="D283" s="44" t="str">
        <f t="shared" si="113"/>
        <v/>
      </c>
      <c r="E283" s="52"/>
      <c r="F283" s="63" t="str">
        <f t="shared" si="114"/>
        <v/>
      </c>
      <c r="G283" s="56" t="str">
        <f t="shared" si="115"/>
        <v/>
      </c>
      <c r="H283" s="42"/>
      <c r="I283" s="2" t="str">
        <f t="shared" si="116"/>
        <v/>
      </c>
      <c r="J283" s="54" t="str">
        <f t="shared" si="103"/>
        <v/>
      </c>
      <c r="K283" s="55" t="str">
        <f t="shared" si="117"/>
        <v/>
      </c>
      <c r="L283" s="63" t="str">
        <f t="shared" si="118"/>
        <v/>
      </c>
      <c r="M283" s="96" t="str">
        <f t="shared" si="104"/>
        <v/>
      </c>
      <c r="N283" s="96" t="str">
        <f>IF(A283="","",IF(A283=Expiry,0,EXP(-q*Q283)*_xlfn.NORM.S.DIST(Y283,0)/(sigma*SQRT(Q283))*I283*Mult/100))</f>
        <v/>
      </c>
      <c r="O283" s="96" t="str">
        <f>IF(A283="","",IF(A283=Expiry,0,D283*E283*E283*EXP(-q*Q283)*_xlfn.NORM.S.DIST(Y283,0)*SQRT(Q283)/100))</f>
        <v/>
      </c>
      <c r="P283" s="69" t="str">
        <f>IF(A283="","",IF(A283=Expiry,0,AK283*I283*Mult*((-EXP(-q*Q283)*E283*_xlfn.NORM.S.DIST(Y283,0)*sigma/(2*SQRT(Q283))-r_dom*K*EXP(-r_dom*Q283)*_xlfn.NORM.S.DIST(Z283,1)+q*E283*EXP(-q*Q283)*_xlfn.NORM.S.DIST(Y283,1))/365)))</f>
        <v/>
      </c>
      <c r="Q283" s="83" t="str">
        <f t="shared" si="119"/>
        <v/>
      </c>
      <c r="R283" s="38"/>
      <c r="S283" s="68" t="str">
        <f t="shared" si="120"/>
        <v/>
      </c>
      <c r="T283" s="69" t="str">
        <f t="shared" si="121"/>
        <v/>
      </c>
      <c r="U283" s="70" t="str">
        <f t="shared" si="122"/>
        <v/>
      </c>
      <c r="V283" s="72" t="str">
        <f t="shared" si="123"/>
        <v/>
      </c>
      <c r="W283" s="2" t="str">
        <f t="shared" si="110"/>
        <v/>
      </c>
      <c r="X283" s="2" t="str">
        <f t="shared" si="105"/>
        <v/>
      </c>
      <c r="Y283" s="35" t="str">
        <f t="shared" ca="1" si="124"/>
        <v/>
      </c>
      <c r="Z283" s="36" t="str">
        <f t="shared" ca="1" si="125"/>
        <v/>
      </c>
      <c r="AA283" s="70" t="str">
        <f t="shared" si="126"/>
        <v/>
      </c>
      <c r="AB283" s="2"/>
      <c r="AC283" s="94" t="str">
        <f t="shared" si="106"/>
        <v/>
      </c>
      <c r="AD283" s="95" t="str">
        <f t="shared" si="107"/>
        <v/>
      </c>
      <c r="AE283" s="96" t="str">
        <f t="shared" si="108"/>
        <v/>
      </c>
      <c r="AF283" s="124" t="str">
        <f t="shared" si="109"/>
        <v/>
      </c>
      <c r="AG283" s="2"/>
      <c r="AH283" s="2"/>
      <c r="AI283" s="2"/>
      <c r="AJ283" s="2"/>
      <c r="AK283" s="2"/>
      <c r="AL283" s="2"/>
    </row>
    <row r="284" spans="1:38" x14ac:dyDescent="0.2">
      <c r="A284" s="45"/>
      <c r="B284" s="43" t="str">
        <f t="shared" si="112"/>
        <v/>
      </c>
      <c r="C284" s="96" t="str">
        <f t="shared" si="111"/>
        <v/>
      </c>
      <c r="D284" s="44" t="str">
        <f t="shared" si="113"/>
        <v/>
      </c>
      <c r="E284" s="52"/>
      <c r="F284" s="63" t="str">
        <f t="shared" si="114"/>
        <v/>
      </c>
      <c r="G284" s="56" t="str">
        <f t="shared" si="115"/>
        <v/>
      </c>
      <c r="H284" s="42"/>
      <c r="I284" s="2" t="str">
        <f t="shared" si="116"/>
        <v/>
      </c>
      <c r="J284" s="54" t="str">
        <f t="shared" si="103"/>
        <v/>
      </c>
      <c r="K284" s="55" t="str">
        <f t="shared" si="117"/>
        <v/>
      </c>
      <c r="L284" s="63" t="str">
        <f t="shared" si="118"/>
        <v/>
      </c>
      <c r="M284" s="96" t="str">
        <f t="shared" si="104"/>
        <v/>
      </c>
      <c r="N284" s="96" t="str">
        <f>IF(A284="","",IF(A284=Expiry,0,EXP(-q*Q284)*_xlfn.NORM.S.DIST(Y284,0)/(sigma*SQRT(Q284))*I284*Mult/100))</f>
        <v/>
      </c>
      <c r="O284" s="96" t="str">
        <f>IF(A284="","",IF(A284=Expiry,0,D284*E284*E284*EXP(-q*Q284)*_xlfn.NORM.S.DIST(Y284,0)*SQRT(Q284)/100))</f>
        <v/>
      </c>
      <c r="P284" s="69" t="str">
        <f>IF(A284="","",IF(A284=Expiry,0,AK284*I284*Mult*((-EXP(-q*Q284)*E284*_xlfn.NORM.S.DIST(Y284,0)*sigma/(2*SQRT(Q284))-r_dom*K*EXP(-r_dom*Q284)*_xlfn.NORM.S.DIST(Z284,1)+q*E284*EXP(-q*Q284)*_xlfn.NORM.S.DIST(Y284,1))/365)))</f>
        <v/>
      </c>
      <c r="Q284" s="83" t="str">
        <f t="shared" si="119"/>
        <v/>
      </c>
      <c r="R284" s="38"/>
      <c r="S284" s="68" t="str">
        <f t="shared" si="120"/>
        <v/>
      </c>
      <c r="T284" s="69" t="str">
        <f t="shared" si="121"/>
        <v/>
      </c>
      <c r="U284" s="70" t="str">
        <f t="shared" si="122"/>
        <v/>
      </c>
      <c r="V284" s="72" t="str">
        <f t="shared" si="123"/>
        <v/>
      </c>
      <c r="W284" s="2" t="str">
        <f t="shared" si="110"/>
        <v/>
      </c>
      <c r="X284" s="2" t="str">
        <f t="shared" si="105"/>
        <v/>
      </c>
      <c r="Y284" s="35" t="str">
        <f t="shared" ca="1" si="124"/>
        <v/>
      </c>
      <c r="Z284" s="36" t="str">
        <f t="shared" ca="1" si="125"/>
        <v/>
      </c>
      <c r="AA284" s="70" t="str">
        <f t="shared" si="126"/>
        <v/>
      </c>
      <c r="AB284" s="2"/>
      <c r="AC284" s="94" t="str">
        <f t="shared" si="106"/>
        <v/>
      </c>
      <c r="AD284" s="95" t="str">
        <f t="shared" si="107"/>
        <v/>
      </c>
      <c r="AE284" s="96" t="str">
        <f t="shared" si="108"/>
        <v/>
      </c>
      <c r="AF284" s="124" t="str">
        <f t="shared" si="109"/>
        <v/>
      </c>
      <c r="AG284" s="2"/>
      <c r="AH284" s="2"/>
      <c r="AI284" s="2"/>
      <c r="AJ284" s="2"/>
      <c r="AK284" s="2"/>
      <c r="AL284" s="2"/>
    </row>
    <row r="285" spans="1:38" x14ac:dyDescent="0.2">
      <c r="A285" s="45"/>
      <c r="B285" s="43" t="str">
        <f t="shared" si="112"/>
        <v/>
      </c>
      <c r="C285" s="96" t="str">
        <f t="shared" si="111"/>
        <v/>
      </c>
      <c r="D285" s="44" t="str">
        <f t="shared" si="113"/>
        <v/>
      </c>
      <c r="E285" s="52"/>
      <c r="F285" s="63" t="str">
        <f t="shared" si="114"/>
        <v/>
      </c>
      <c r="G285" s="56" t="str">
        <f t="shared" si="115"/>
        <v/>
      </c>
      <c r="H285" s="42"/>
      <c r="I285" s="2" t="str">
        <f t="shared" si="116"/>
        <v/>
      </c>
      <c r="J285" s="54" t="str">
        <f t="shared" si="103"/>
        <v/>
      </c>
      <c r="K285" s="55" t="str">
        <f t="shared" si="117"/>
        <v/>
      </c>
      <c r="L285" s="63" t="str">
        <f t="shared" si="118"/>
        <v/>
      </c>
      <c r="M285" s="96" t="str">
        <f t="shared" si="104"/>
        <v/>
      </c>
      <c r="N285" s="96" t="str">
        <f>IF(A285="","",IF(A285=Expiry,0,EXP(-q*Q285)*_xlfn.NORM.S.DIST(Y285,0)/(sigma*SQRT(Q285))*I285*Mult/100))</f>
        <v/>
      </c>
      <c r="O285" s="96" t="str">
        <f>IF(A285="","",IF(A285=Expiry,0,D285*E285*E285*EXP(-q*Q285)*_xlfn.NORM.S.DIST(Y285,0)*SQRT(Q285)/100))</f>
        <v/>
      </c>
      <c r="P285" s="69" t="str">
        <f>IF(A285="","",IF(A285=Expiry,0,AK285*I285*Mult*((-EXP(-q*Q285)*E285*_xlfn.NORM.S.DIST(Y285,0)*sigma/(2*SQRT(Q285))-r_dom*K*EXP(-r_dom*Q285)*_xlfn.NORM.S.DIST(Z285,1)+q*E285*EXP(-q*Q285)*_xlfn.NORM.S.DIST(Y285,1))/365)))</f>
        <v/>
      </c>
      <c r="Q285" s="83" t="str">
        <f t="shared" si="119"/>
        <v/>
      </c>
      <c r="R285" s="38"/>
      <c r="S285" s="68" t="str">
        <f t="shared" si="120"/>
        <v/>
      </c>
      <c r="T285" s="69" t="str">
        <f t="shared" si="121"/>
        <v/>
      </c>
      <c r="U285" s="70" t="str">
        <f t="shared" si="122"/>
        <v/>
      </c>
      <c r="V285" s="72" t="str">
        <f t="shared" si="123"/>
        <v/>
      </c>
      <c r="W285" s="2" t="str">
        <f t="shared" si="110"/>
        <v/>
      </c>
      <c r="X285" s="2" t="str">
        <f t="shared" si="105"/>
        <v/>
      </c>
      <c r="Y285" s="35" t="str">
        <f t="shared" ca="1" si="124"/>
        <v/>
      </c>
      <c r="Z285" s="36" t="str">
        <f t="shared" ca="1" si="125"/>
        <v/>
      </c>
      <c r="AA285" s="70" t="str">
        <f t="shared" si="126"/>
        <v/>
      </c>
      <c r="AB285" s="2"/>
      <c r="AC285" s="94" t="str">
        <f t="shared" si="106"/>
        <v/>
      </c>
      <c r="AD285" s="95" t="str">
        <f t="shared" si="107"/>
        <v/>
      </c>
      <c r="AE285" s="96" t="str">
        <f t="shared" si="108"/>
        <v/>
      </c>
      <c r="AF285" s="124" t="str">
        <f t="shared" si="109"/>
        <v/>
      </c>
      <c r="AG285" s="2"/>
      <c r="AH285" s="2"/>
      <c r="AI285" s="2"/>
      <c r="AJ285" s="2"/>
      <c r="AK285" s="2"/>
      <c r="AL285" s="2"/>
    </row>
    <row r="286" spans="1:38" x14ac:dyDescent="0.2">
      <c r="A286" s="45"/>
      <c r="B286" s="43" t="str">
        <f t="shared" si="112"/>
        <v/>
      </c>
      <c r="C286" s="96" t="str">
        <f t="shared" si="111"/>
        <v/>
      </c>
      <c r="D286" s="44" t="str">
        <f t="shared" si="113"/>
        <v/>
      </c>
      <c r="E286" s="52"/>
      <c r="F286" s="63" t="str">
        <f t="shared" si="114"/>
        <v/>
      </c>
      <c r="G286" s="56" t="str">
        <f t="shared" si="115"/>
        <v/>
      </c>
      <c r="H286" s="42"/>
      <c r="I286" s="2" t="str">
        <f t="shared" si="116"/>
        <v/>
      </c>
      <c r="J286" s="54" t="str">
        <f t="shared" si="103"/>
        <v/>
      </c>
      <c r="K286" s="55" t="str">
        <f t="shared" si="117"/>
        <v/>
      </c>
      <c r="L286" s="63" t="str">
        <f t="shared" si="118"/>
        <v/>
      </c>
      <c r="M286" s="96" t="str">
        <f t="shared" si="104"/>
        <v/>
      </c>
      <c r="N286" s="96" t="str">
        <f>IF(A286="","",IF(A286=Expiry,0,EXP(-q*Q286)*_xlfn.NORM.S.DIST(Y286,0)/(sigma*SQRT(Q286))*I286*Mult/100))</f>
        <v/>
      </c>
      <c r="O286" s="96" t="str">
        <f>IF(A286="","",IF(A286=Expiry,0,D286*E286*E286*EXP(-q*Q286)*_xlfn.NORM.S.DIST(Y286,0)*SQRT(Q286)/100))</f>
        <v/>
      </c>
      <c r="P286" s="69" t="str">
        <f>IF(A286="","",IF(A286=Expiry,0,AK286*I286*Mult*((-EXP(-q*Q286)*E286*_xlfn.NORM.S.DIST(Y286,0)*sigma/(2*SQRT(Q286))-r_dom*K*EXP(-r_dom*Q286)*_xlfn.NORM.S.DIST(Z286,1)+q*E286*EXP(-q*Q286)*_xlfn.NORM.S.DIST(Y286,1))/365)))</f>
        <v/>
      </c>
      <c r="Q286" s="83" t="str">
        <f t="shared" si="119"/>
        <v/>
      </c>
      <c r="R286" s="38"/>
      <c r="S286" s="68" t="str">
        <f t="shared" si="120"/>
        <v/>
      </c>
      <c r="T286" s="69" t="str">
        <f t="shared" si="121"/>
        <v/>
      </c>
      <c r="U286" s="70" t="str">
        <f t="shared" si="122"/>
        <v/>
      </c>
      <c r="V286" s="72" t="str">
        <f t="shared" si="123"/>
        <v/>
      </c>
      <c r="W286" s="2" t="str">
        <f t="shared" si="110"/>
        <v/>
      </c>
      <c r="X286" s="2" t="str">
        <f t="shared" si="105"/>
        <v/>
      </c>
      <c r="Y286" s="35" t="str">
        <f t="shared" ca="1" si="124"/>
        <v/>
      </c>
      <c r="Z286" s="36" t="str">
        <f t="shared" ca="1" si="125"/>
        <v/>
      </c>
      <c r="AA286" s="70" t="str">
        <f t="shared" si="126"/>
        <v/>
      </c>
      <c r="AB286" s="2"/>
      <c r="AC286" s="94" t="str">
        <f t="shared" si="106"/>
        <v/>
      </c>
      <c r="AD286" s="95" t="str">
        <f t="shared" si="107"/>
        <v/>
      </c>
      <c r="AE286" s="96" t="str">
        <f t="shared" si="108"/>
        <v/>
      </c>
      <c r="AF286" s="124" t="str">
        <f t="shared" si="109"/>
        <v/>
      </c>
      <c r="AG286" s="2"/>
      <c r="AH286" s="2"/>
      <c r="AI286" s="2"/>
      <c r="AJ286" s="2"/>
      <c r="AK286" s="2"/>
      <c r="AL286" s="2"/>
    </row>
    <row r="287" spans="1:38" x14ac:dyDescent="0.2">
      <c r="A287" s="45"/>
      <c r="B287" s="43" t="str">
        <f t="shared" si="112"/>
        <v/>
      </c>
      <c r="C287" s="96" t="str">
        <f t="shared" si="111"/>
        <v/>
      </c>
      <c r="D287" s="44" t="str">
        <f t="shared" si="113"/>
        <v/>
      </c>
      <c r="E287" s="52"/>
      <c r="F287" s="63" t="str">
        <f t="shared" si="114"/>
        <v/>
      </c>
      <c r="G287" s="56" t="str">
        <f t="shared" si="115"/>
        <v/>
      </c>
      <c r="H287" s="42"/>
      <c r="I287" s="2" t="str">
        <f t="shared" si="116"/>
        <v/>
      </c>
      <c r="J287" s="54" t="str">
        <f t="shared" si="103"/>
        <v/>
      </c>
      <c r="K287" s="55" t="str">
        <f t="shared" si="117"/>
        <v/>
      </c>
      <c r="L287" s="63" t="str">
        <f t="shared" si="118"/>
        <v/>
      </c>
      <c r="M287" s="96" t="str">
        <f t="shared" si="104"/>
        <v/>
      </c>
      <c r="N287" s="96" t="str">
        <f>IF(A287="","",IF(A287=Expiry,0,EXP(-q*Q287)*_xlfn.NORM.S.DIST(Y287,0)/(sigma*SQRT(Q287))*I287*Mult/100))</f>
        <v/>
      </c>
      <c r="O287" s="96" t="str">
        <f>IF(A287="","",IF(A287=Expiry,0,D287*E287*E287*EXP(-q*Q287)*_xlfn.NORM.S.DIST(Y287,0)*SQRT(Q287)/100))</f>
        <v/>
      </c>
      <c r="P287" s="69" t="str">
        <f>IF(A287="","",IF(A287=Expiry,0,AK287*I287*Mult*((-EXP(-q*Q287)*E287*_xlfn.NORM.S.DIST(Y287,0)*sigma/(2*SQRT(Q287))-r_dom*K*EXP(-r_dom*Q287)*_xlfn.NORM.S.DIST(Z287,1)+q*E287*EXP(-q*Q287)*_xlfn.NORM.S.DIST(Y287,1))/365)))</f>
        <v/>
      </c>
      <c r="Q287" s="83" t="str">
        <f t="shared" si="119"/>
        <v/>
      </c>
      <c r="R287" s="38"/>
      <c r="S287" s="68" t="str">
        <f t="shared" si="120"/>
        <v/>
      </c>
      <c r="T287" s="69" t="str">
        <f t="shared" si="121"/>
        <v/>
      </c>
      <c r="U287" s="70" t="str">
        <f t="shared" si="122"/>
        <v/>
      </c>
      <c r="V287" s="72" t="str">
        <f t="shared" si="123"/>
        <v/>
      </c>
      <c r="W287" s="2" t="str">
        <f t="shared" si="110"/>
        <v/>
      </c>
      <c r="X287" s="2" t="str">
        <f t="shared" si="105"/>
        <v/>
      </c>
      <c r="Y287" s="35" t="str">
        <f t="shared" ca="1" si="124"/>
        <v/>
      </c>
      <c r="Z287" s="36" t="str">
        <f t="shared" ca="1" si="125"/>
        <v/>
      </c>
      <c r="AA287" s="70" t="str">
        <f t="shared" si="126"/>
        <v/>
      </c>
      <c r="AB287" s="2"/>
      <c r="AC287" s="94" t="str">
        <f t="shared" si="106"/>
        <v/>
      </c>
      <c r="AD287" s="95" t="str">
        <f t="shared" si="107"/>
        <v/>
      </c>
      <c r="AE287" s="96" t="str">
        <f t="shared" si="108"/>
        <v/>
      </c>
      <c r="AF287" s="124" t="str">
        <f t="shared" si="109"/>
        <v/>
      </c>
      <c r="AG287" s="2"/>
      <c r="AH287" s="2"/>
      <c r="AI287" s="2"/>
      <c r="AJ287" s="2"/>
      <c r="AK287" s="2"/>
      <c r="AL287" s="2"/>
    </row>
    <row r="288" spans="1:38" x14ac:dyDescent="0.2">
      <c r="A288" s="45"/>
      <c r="B288" s="43" t="str">
        <f t="shared" si="112"/>
        <v/>
      </c>
      <c r="C288" s="96" t="str">
        <f t="shared" si="111"/>
        <v/>
      </c>
      <c r="D288" s="44" t="str">
        <f t="shared" si="113"/>
        <v/>
      </c>
      <c r="E288" s="52"/>
      <c r="F288" s="63" t="str">
        <f t="shared" si="114"/>
        <v/>
      </c>
      <c r="G288" s="56" t="str">
        <f t="shared" si="115"/>
        <v/>
      </c>
      <c r="H288" s="42"/>
      <c r="I288" s="2" t="str">
        <f t="shared" si="116"/>
        <v/>
      </c>
      <c r="J288" s="54" t="str">
        <f t="shared" si="103"/>
        <v/>
      </c>
      <c r="K288" s="55" t="str">
        <f t="shared" si="117"/>
        <v/>
      </c>
      <c r="L288" s="63" t="str">
        <f t="shared" si="118"/>
        <v/>
      </c>
      <c r="M288" s="96" t="str">
        <f t="shared" si="104"/>
        <v/>
      </c>
      <c r="N288" s="96" t="str">
        <f>IF(A288="","",IF(A288=Expiry,0,EXP(-q*Q288)*_xlfn.NORM.S.DIST(Y288,0)/(sigma*SQRT(Q288))*I288*Mult/100))</f>
        <v/>
      </c>
      <c r="O288" s="96" t="str">
        <f>IF(A288="","",IF(A288=Expiry,0,D288*E288*E288*EXP(-q*Q288)*_xlfn.NORM.S.DIST(Y288,0)*SQRT(Q288)/100))</f>
        <v/>
      </c>
      <c r="P288" s="69" t="str">
        <f>IF(A288="","",IF(A288=Expiry,0,AK288*I288*Mult*((-EXP(-q*Q288)*E288*_xlfn.NORM.S.DIST(Y288,0)*sigma/(2*SQRT(Q288))-r_dom*K*EXP(-r_dom*Q288)*_xlfn.NORM.S.DIST(Z288,1)+q*E288*EXP(-q*Q288)*_xlfn.NORM.S.DIST(Y288,1))/365)))</f>
        <v/>
      </c>
      <c r="Q288" s="83" t="str">
        <f t="shared" si="119"/>
        <v/>
      </c>
      <c r="R288" s="38"/>
      <c r="S288" s="68" t="str">
        <f t="shared" si="120"/>
        <v/>
      </c>
      <c r="T288" s="69" t="str">
        <f t="shared" si="121"/>
        <v/>
      </c>
      <c r="U288" s="70" t="str">
        <f t="shared" si="122"/>
        <v/>
      </c>
      <c r="V288" s="72" t="str">
        <f t="shared" si="123"/>
        <v/>
      </c>
      <c r="W288" s="2" t="str">
        <f t="shared" si="110"/>
        <v/>
      </c>
      <c r="X288" s="2" t="str">
        <f t="shared" si="105"/>
        <v/>
      </c>
      <c r="Y288" s="35" t="str">
        <f t="shared" ca="1" si="124"/>
        <v/>
      </c>
      <c r="Z288" s="36" t="str">
        <f t="shared" ca="1" si="125"/>
        <v/>
      </c>
      <c r="AA288" s="70" t="str">
        <f t="shared" si="126"/>
        <v/>
      </c>
      <c r="AB288" s="2"/>
      <c r="AC288" s="94" t="str">
        <f t="shared" si="106"/>
        <v/>
      </c>
      <c r="AD288" s="95" t="str">
        <f t="shared" si="107"/>
        <v/>
      </c>
      <c r="AE288" s="96" t="str">
        <f t="shared" si="108"/>
        <v/>
      </c>
      <c r="AF288" s="124" t="str">
        <f t="shared" si="109"/>
        <v/>
      </c>
      <c r="AG288" s="2"/>
      <c r="AH288" s="2"/>
      <c r="AI288" s="2"/>
      <c r="AJ288" s="2"/>
      <c r="AK288" s="2"/>
      <c r="AL288" s="2"/>
    </row>
    <row r="289" spans="1:38" x14ac:dyDescent="0.2">
      <c r="A289" s="45"/>
      <c r="B289" s="43" t="str">
        <f t="shared" si="112"/>
        <v/>
      </c>
      <c r="C289" s="96" t="str">
        <f t="shared" si="111"/>
        <v/>
      </c>
      <c r="D289" s="44" t="str">
        <f t="shared" si="113"/>
        <v/>
      </c>
      <c r="E289" s="52"/>
      <c r="F289" s="63" t="str">
        <f t="shared" si="114"/>
        <v/>
      </c>
      <c r="G289" s="56" t="str">
        <f t="shared" si="115"/>
        <v/>
      </c>
      <c r="H289" s="42"/>
      <c r="I289" s="2" t="str">
        <f t="shared" si="116"/>
        <v/>
      </c>
      <c r="J289" s="54" t="str">
        <f t="shared" si="103"/>
        <v/>
      </c>
      <c r="K289" s="55" t="str">
        <f t="shared" si="117"/>
        <v/>
      </c>
      <c r="L289" s="63" t="str">
        <f t="shared" si="118"/>
        <v/>
      </c>
      <c r="M289" s="96" t="str">
        <f t="shared" si="104"/>
        <v/>
      </c>
      <c r="N289" s="96" t="str">
        <f>IF(A289="","",IF(A289=Expiry,0,EXP(-q*Q289)*_xlfn.NORM.S.DIST(Y289,0)/(sigma*SQRT(Q289))*I289*Mult/100))</f>
        <v/>
      </c>
      <c r="O289" s="96" t="str">
        <f>IF(A289="","",IF(A289=Expiry,0,D289*E289*E289*EXP(-q*Q289)*_xlfn.NORM.S.DIST(Y289,0)*SQRT(Q289)/100))</f>
        <v/>
      </c>
      <c r="P289" s="69" t="str">
        <f>IF(A289="","",IF(A289=Expiry,0,AK289*I289*Mult*((-EXP(-q*Q289)*E289*_xlfn.NORM.S.DIST(Y289,0)*sigma/(2*SQRT(Q289))-r_dom*K*EXP(-r_dom*Q289)*_xlfn.NORM.S.DIST(Z289,1)+q*E289*EXP(-q*Q289)*_xlfn.NORM.S.DIST(Y289,1))/365)))</f>
        <v/>
      </c>
      <c r="Q289" s="83" t="str">
        <f t="shared" si="119"/>
        <v/>
      </c>
      <c r="R289" s="38"/>
      <c r="S289" s="68" t="str">
        <f t="shared" si="120"/>
        <v/>
      </c>
      <c r="T289" s="69" t="str">
        <f t="shared" si="121"/>
        <v/>
      </c>
      <c r="U289" s="70" t="str">
        <f t="shared" si="122"/>
        <v/>
      </c>
      <c r="V289" s="72" t="str">
        <f t="shared" si="123"/>
        <v/>
      </c>
      <c r="W289" s="2" t="str">
        <f t="shared" si="110"/>
        <v/>
      </c>
      <c r="X289" s="2" t="str">
        <f t="shared" si="105"/>
        <v/>
      </c>
      <c r="Y289" s="35" t="str">
        <f t="shared" ca="1" si="124"/>
        <v/>
      </c>
      <c r="Z289" s="36" t="str">
        <f t="shared" ca="1" si="125"/>
        <v/>
      </c>
      <c r="AA289" s="70" t="str">
        <f t="shared" si="126"/>
        <v/>
      </c>
      <c r="AB289" s="2"/>
      <c r="AC289" s="94" t="str">
        <f t="shared" si="106"/>
        <v/>
      </c>
      <c r="AD289" s="95" t="str">
        <f t="shared" si="107"/>
        <v/>
      </c>
      <c r="AE289" s="96" t="str">
        <f t="shared" si="108"/>
        <v/>
      </c>
      <c r="AF289" s="124" t="str">
        <f t="shared" si="109"/>
        <v/>
      </c>
      <c r="AG289" s="2"/>
      <c r="AH289" s="2"/>
      <c r="AI289" s="2"/>
      <c r="AJ289" s="2"/>
      <c r="AK289" s="2"/>
      <c r="AL289" s="2"/>
    </row>
    <row r="290" spans="1:38" x14ac:dyDescent="0.2">
      <c r="A290" s="45"/>
      <c r="B290" s="43" t="str">
        <f t="shared" si="112"/>
        <v/>
      </c>
      <c r="C290" s="96" t="str">
        <f t="shared" si="111"/>
        <v/>
      </c>
      <c r="D290" s="44" t="str">
        <f t="shared" si="113"/>
        <v/>
      </c>
      <c r="E290" s="52"/>
      <c r="F290" s="63" t="str">
        <f t="shared" si="114"/>
        <v/>
      </c>
      <c r="G290" s="56" t="str">
        <f t="shared" si="115"/>
        <v/>
      </c>
      <c r="H290" s="42"/>
      <c r="I290" s="2" t="str">
        <f t="shared" si="116"/>
        <v/>
      </c>
      <c r="J290" s="54" t="str">
        <f t="shared" si="103"/>
        <v/>
      </c>
      <c r="K290" s="55" t="str">
        <f t="shared" si="117"/>
        <v/>
      </c>
      <c r="L290" s="63" t="str">
        <f t="shared" si="118"/>
        <v/>
      </c>
      <c r="M290" s="96" t="str">
        <f t="shared" si="104"/>
        <v/>
      </c>
      <c r="N290" s="96" t="str">
        <f>IF(A290="","",IF(A290=Expiry,0,EXP(-q*Q290)*_xlfn.NORM.S.DIST(Y290,0)/(sigma*SQRT(Q290))*I290*Mult/100))</f>
        <v/>
      </c>
      <c r="O290" s="96" t="str">
        <f>IF(A290="","",IF(A290=Expiry,0,D290*E290*E290*EXP(-q*Q290)*_xlfn.NORM.S.DIST(Y290,0)*SQRT(Q290)/100))</f>
        <v/>
      </c>
      <c r="P290" s="69" t="str">
        <f>IF(A290="","",IF(A290=Expiry,0,AK290*I290*Mult*((-EXP(-q*Q290)*E290*_xlfn.NORM.S.DIST(Y290,0)*sigma/(2*SQRT(Q290))-r_dom*K*EXP(-r_dom*Q290)*_xlfn.NORM.S.DIST(Z290,1)+q*E290*EXP(-q*Q290)*_xlfn.NORM.S.DIST(Y290,1))/365)))</f>
        <v/>
      </c>
      <c r="Q290" s="83" t="str">
        <f t="shared" si="119"/>
        <v/>
      </c>
      <c r="R290" s="38"/>
      <c r="S290" s="68" t="str">
        <f t="shared" si="120"/>
        <v/>
      </c>
      <c r="T290" s="69" t="str">
        <f t="shared" si="121"/>
        <v/>
      </c>
      <c r="U290" s="70" t="str">
        <f t="shared" si="122"/>
        <v/>
      </c>
      <c r="V290" s="72" t="str">
        <f t="shared" si="123"/>
        <v/>
      </c>
      <c r="W290" s="2" t="str">
        <f t="shared" si="110"/>
        <v/>
      </c>
      <c r="X290" s="2" t="str">
        <f t="shared" si="105"/>
        <v/>
      </c>
      <c r="Y290" s="35" t="str">
        <f t="shared" ca="1" si="124"/>
        <v/>
      </c>
      <c r="Z290" s="36" t="str">
        <f t="shared" ca="1" si="125"/>
        <v/>
      </c>
      <c r="AA290" s="70" t="str">
        <f t="shared" si="126"/>
        <v/>
      </c>
      <c r="AB290" s="2"/>
      <c r="AC290" s="94" t="str">
        <f t="shared" si="106"/>
        <v/>
      </c>
      <c r="AD290" s="95" t="str">
        <f t="shared" si="107"/>
        <v/>
      </c>
      <c r="AE290" s="96" t="str">
        <f t="shared" si="108"/>
        <v/>
      </c>
      <c r="AF290" s="124" t="str">
        <f t="shared" si="109"/>
        <v/>
      </c>
      <c r="AG290" s="2"/>
      <c r="AH290" s="2"/>
      <c r="AI290" s="2"/>
      <c r="AJ290" s="2"/>
      <c r="AK290" s="2"/>
      <c r="AL290" s="2"/>
    </row>
    <row r="291" spans="1:38" x14ac:dyDescent="0.2">
      <c r="A291" s="45"/>
      <c r="B291" s="43" t="str">
        <f t="shared" si="112"/>
        <v/>
      </c>
      <c r="C291" s="96" t="str">
        <f t="shared" si="111"/>
        <v/>
      </c>
      <c r="D291" s="44" t="str">
        <f t="shared" si="113"/>
        <v/>
      </c>
      <c r="E291" s="52"/>
      <c r="F291" s="63" t="str">
        <f t="shared" si="114"/>
        <v/>
      </c>
      <c r="G291" s="56" t="str">
        <f t="shared" si="115"/>
        <v/>
      </c>
      <c r="H291" s="42"/>
      <c r="I291" s="2" t="str">
        <f t="shared" si="116"/>
        <v/>
      </c>
      <c r="J291" s="54" t="str">
        <f t="shared" si="103"/>
        <v/>
      </c>
      <c r="K291" s="55" t="str">
        <f t="shared" si="117"/>
        <v/>
      </c>
      <c r="L291" s="63" t="str">
        <f t="shared" si="118"/>
        <v/>
      </c>
      <c r="M291" s="96" t="str">
        <f t="shared" si="104"/>
        <v/>
      </c>
      <c r="N291" s="96" t="str">
        <f>IF(A291="","",IF(A291=Expiry,0,EXP(-q*Q291)*_xlfn.NORM.S.DIST(Y291,0)/(sigma*SQRT(Q291))*I291*Mult/100))</f>
        <v/>
      </c>
      <c r="O291" s="96" t="str">
        <f>IF(A291="","",IF(A291=Expiry,0,D291*E291*E291*EXP(-q*Q291)*_xlfn.NORM.S.DIST(Y291,0)*SQRT(Q291)/100))</f>
        <v/>
      </c>
      <c r="P291" s="69" t="str">
        <f>IF(A291="","",IF(A291=Expiry,0,AK291*I291*Mult*((-EXP(-q*Q291)*E291*_xlfn.NORM.S.DIST(Y291,0)*sigma/(2*SQRT(Q291))-r_dom*K*EXP(-r_dom*Q291)*_xlfn.NORM.S.DIST(Z291,1)+q*E291*EXP(-q*Q291)*_xlfn.NORM.S.DIST(Y291,1))/365)))</f>
        <v/>
      </c>
      <c r="Q291" s="83" t="str">
        <f t="shared" si="119"/>
        <v/>
      </c>
      <c r="R291" s="38"/>
      <c r="S291" s="68" t="str">
        <f t="shared" si="120"/>
        <v/>
      </c>
      <c r="T291" s="69" t="str">
        <f t="shared" si="121"/>
        <v/>
      </c>
      <c r="U291" s="70" t="str">
        <f t="shared" si="122"/>
        <v/>
      </c>
      <c r="V291" s="72" t="str">
        <f t="shared" si="123"/>
        <v/>
      </c>
      <c r="W291" s="2" t="str">
        <f t="shared" si="110"/>
        <v/>
      </c>
      <c r="X291" s="2" t="str">
        <f t="shared" si="105"/>
        <v/>
      </c>
      <c r="Y291" s="35" t="str">
        <f t="shared" ca="1" si="124"/>
        <v/>
      </c>
      <c r="Z291" s="36" t="str">
        <f t="shared" ca="1" si="125"/>
        <v/>
      </c>
      <c r="AA291" s="70" t="str">
        <f t="shared" si="126"/>
        <v/>
      </c>
      <c r="AB291" s="2"/>
      <c r="AC291" s="94" t="str">
        <f t="shared" si="106"/>
        <v/>
      </c>
      <c r="AD291" s="95" t="str">
        <f t="shared" si="107"/>
        <v/>
      </c>
      <c r="AE291" s="96" t="str">
        <f t="shared" si="108"/>
        <v/>
      </c>
      <c r="AF291" s="124" t="str">
        <f t="shared" si="109"/>
        <v/>
      </c>
      <c r="AG291" s="2"/>
      <c r="AH291" s="2"/>
      <c r="AI291" s="2"/>
      <c r="AJ291" s="2"/>
      <c r="AK291" s="2"/>
      <c r="AL291" s="2"/>
    </row>
    <row r="292" spans="1:38" x14ac:dyDescent="0.2">
      <c r="A292" s="45"/>
      <c r="B292" s="43" t="str">
        <f t="shared" si="112"/>
        <v/>
      </c>
      <c r="C292" s="96" t="str">
        <f t="shared" si="111"/>
        <v/>
      </c>
      <c r="D292" s="44" t="str">
        <f t="shared" si="113"/>
        <v/>
      </c>
      <c r="E292" s="52"/>
      <c r="F292" s="63" t="str">
        <f t="shared" si="114"/>
        <v/>
      </c>
      <c r="G292" s="56" t="str">
        <f t="shared" si="115"/>
        <v/>
      </c>
      <c r="H292" s="42"/>
      <c r="I292" s="2" t="str">
        <f t="shared" si="116"/>
        <v/>
      </c>
      <c r="J292" s="54" t="str">
        <f t="shared" ref="J292:J355" si="127">IF(CorP="C",AC292,AD292)</f>
        <v/>
      </c>
      <c r="K292" s="55" t="str">
        <f t="shared" si="117"/>
        <v/>
      </c>
      <c r="L292" s="63" t="str">
        <f t="shared" si="118"/>
        <v/>
      </c>
      <c r="M292" s="96" t="str">
        <f t="shared" ref="M292:M355" si="128">IF(CorP="C",AE292,AF292)</f>
        <v/>
      </c>
      <c r="N292" s="96" t="str">
        <f>IF(A292="","",IF(A292=Expiry,0,EXP(-q*Q292)*_xlfn.NORM.S.DIST(Y292,0)/(sigma*SQRT(Q292))*I292*Mult/100))</f>
        <v/>
      </c>
      <c r="O292" s="96" t="str">
        <f>IF(A292="","",IF(A292=Expiry,0,D292*E292*E292*EXP(-q*Q292)*_xlfn.NORM.S.DIST(Y292,0)*SQRT(Q292)/100))</f>
        <v/>
      </c>
      <c r="P292" s="69" t="str">
        <f>IF(A292="","",IF(A292=Expiry,0,AK292*I292*Mult*((-EXP(-q*Q292)*E292*_xlfn.NORM.S.DIST(Y292,0)*sigma/(2*SQRT(Q292))-r_dom*K*EXP(-r_dom*Q292)*_xlfn.NORM.S.DIST(Z292,1)+q*E292*EXP(-q*Q292)*_xlfn.NORM.S.DIST(Y292,1))/365)))</f>
        <v/>
      </c>
      <c r="Q292" s="83" t="str">
        <f t="shared" si="119"/>
        <v/>
      </c>
      <c r="R292" s="38"/>
      <c r="S292" s="68" t="str">
        <f t="shared" si="120"/>
        <v/>
      </c>
      <c r="T292" s="69" t="str">
        <f t="shared" si="121"/>
        <v/>
      </c>
      <c r="U292" s="70" t="str">
        <f t="shared" si="122"/>
        <v/>
      </c>
      <c r="V292" s="72" t="str">
        <f t="shared" si="123"/>
        <v/>
      </c>
      <c r="W292" s="2" t="str">
        <f t="shared" si="110"/>
        <v/>
      </c>
      <c r="X292" s="2" t="str">
        <f t="shared" ref="X292:X355" si="129">IF(A292="","",K)</f>
        <v/>
      </c>
      <c r="Y292" s="35" t="str">
        <f t="shared" ca="1" si="124"/>
        <v/>
      </c>
      <c r="Z292" s="36" t="str">
        <f t="shared" ca="1" si="125"/>
        <v/>
      </c>
      <c r="AA292" s="70" t="str">
        <f t="shared" si="126"/>
        <v/>
      </c>
      <c r="AB292" s="2"/>
      <c r="AC292" s="94" t="str">
        <f t="shared" ref="AC292:AC355" si="130">IF(A292="","",IF(A292=Expiry,MAX(E292-K,0),E292*EXP(-q*Q292)*_xlfn.NORM.S.DIST(Y292,1)-K*EXP(-r_dom*Q292)*_xlfn.NORM.S.DIST(Z292,1)))</f>
        <v/>
      </c>
      <c r="AD292" s="95" t="str">
        <f t="shared" ref="AD292:AD355" si="131">IF(A292="","",IF(A292=Expiry,MAX(K-E292,0),K*EXP(-r_dom*Q292)*_xlfn.NORM.S.DIST(-Z292,1)-E292*EXP(-q*Q292)*_xlfn.NORM.S.DIST(-Y292,1)))</f>
        <v/>
      </c>
      <c r="AE292" s="96" t="str">
        <f t="shared" ref="AE292:AE355" si="132">IF(A292="","",I292*Mult*IF(A292=Expiry,IF(E292&gt;K,1,0),EXP(-q*Q292)*_xlfn.NORM.S.DIST(Y292,1)))</f>
        <v/>
      </c>
      <c r="AF292" s="124" t="str">
        <f t="shared" ref="AF292:AF355" si="133">IF(A292="","",I292*Mult*IF(A292=Expiry,IF(E292&lt;K,-1,0),-EXP(-q*Q292)*_xlfn.NORM.S.DIST(-Y292,1)))</f>
        <v/>
      </c>
      <c r="AG292" s="2"/>
      <c r="AH292" s="2"/>
      <c r="AI292" s="2"/>
      <c r="AJ292" s="2"/>
      <c r="AK292" s="2"/>
      <c r="AL292" s="2"/>
    </row>
    <row r="293" spans="1:38" x14ac:dyDescent="0.2">
      <c r="A293" s="45"/>
      <c r="B293" s="43" t="str">
        <f t="shared" si="112"/>
        <v/>
      </c>
      <c r="C293" s="96" t="str">
        <f t="shared" si="111"/>
        <v/>
      </c>
      <c r="D293" s="44" t="str">
        <f t="shared" si="113"/>
        <v/>
      </c>
      <c r="E293" s="52"/>
      <c r="F293" s="63" t="str">
        <f t="shared" si="114"/>
        <v/>
      </c>
      <c r="G293" s="56" t="str">
        <f t="shared" si="115"/>
        <v/>
      </c>
      <c r="H293" s="42"/>
      <c r="I293" s="2" t="str">
        <f t="shared" si="116"/>
        <v/>
      </c>
      <c r="J293" s="54" t="str">
        <f t="shared" si="127"/>
        <v/>
      </c>
      <c r="K293" s="55" t="str">
        <f t="shared" si="117"/>
        <v/>
      </c>
      <c r="L293" s="63" t="str">
        <f t="shared" si="118"/>
        <v/>
      </c>
      <c r="M293" s="96" t="str">
        <f t="shared" si="128"/>
        <v/>
      </c>
      <c r="N293" s="96" t="str">
        <f>IF(A293="","",IF(A293=Expiry,0,EXP(-q*Q293)*_xlfn.NORM.S.DIST(Y293,0)/(sigma*SQRT(Q293))*I293*Mult/100))</f>
        <v/>
      </c>
      <c r="O293" s="96" t="str">
        <f>IF(A293="","",IF(A293=Expiry,0,D293*E293*E293*EXP(-q*Q293)*_xlfn.NORM.S.DIST(Y293,0)*SQRT(Q293)/100))</f>
        <v/>
      </c>
      <c r="P293" s="69" t="str">
        <f>IF(A293="","",IF(A293=Expiry,0,AK293*I293*Mult*((-EXP(-q*Q293)*E293*_xlfn.NORM.S.DIST(Y293,0)*sigma/(2*SQRT(Q293))-r_dom*K*EXP(-r_dom*Q293)*_xlfn.NORM.S.DIST(Z293,1)+q*E293*EXP(-q*Q293)*_xlfn.NORM.S.DIST(Y293,1))/365)))</f>
        <v/>
      </c>
      <c r="Q293" s="83" t="str">
        <f t="shared" si="119"/>
        <v/>
      </c>
      <c r="R293" s="38"/>
      <c r="S293" s="68" t="str">
        <f t="shared" si="120"/>
        <v/>
      </c>
      <c r="T293" s="69" t="str">
        <f t="shared" si="121"/>
        <v/>
      </c>
      <c r="U293" s="70" t="str">
        <f t="shared" si="122"/>
        <v/>
      </c>
      <c r="V293" s="72" t="str">
        <f t="shared" si="123"/>
        <v/>
      </c>
      <c r="W293" s="2" t="str">
        <f t="shared" ref="W293:W356" si="134">IF(A293="","",100)</f>
        <v/>
      </c>
      <c r="X293" s="2" t="str">
        <f t="shared" si="129"/>
        <v/>
      </c>
      <c r="Y293" s="35" t="str">
        <f t="shared" ca="1" si="124"/>
        <v/>
      </c>
      <c r="Z293" s="36" t="str">
        <f t="shared" ca="1" si="125"/>
        <v/>
      </c>
      <c r="AA293" s="70" t="str">
        <f t="shared" si="126"/>
        <v/>
      </c>
      <c r="AB293" s="2"/>
      <c r="AC293" s="94" t="str">
        <f t="shared" si="130"/>
        <v/>
      </c>
      <c r="AD293" s="95" t="str">
        <f t="shared" si="131"/>
        <v/>
      </c>
      <c r="AE293" s="96" t="str">
        <f t="shared" si="132"/>
        <v/>
      </c>
      <c r="AF293" s="124" t="str">
        <f t="shared" si="133"/>
        <v/>
      </c>
      <c r="AG293" s="2"/>
      <c r="AH293" s="2"/>
      <c r="AI293" s="2"/>
      <c r="AJ293" s="2"/>
      <c r="AK293" s="2"/>
      <c r="AL293" s="2"/>
    </row>
    <row r="294" spans="1:38" x14ac:dyDescent="0.2">
      <c r="A294" s="45"/>
      <c r="B294" s="43" t="str">
        <f t="shared" si="112"/>
        <v/>
      </c>
      <c r="C294" s="96" t="str">
        <f t="shared" ref="C294:C357" si="135">IF(A294="","",C293+B294)</f>
        <v/>
      </c>
      <c r="D294" s="44" t="str">
        <f t="shared" si="113"/>
        <v/>
      </c>
      <c r="E294" s="52"/>
      <c r="F294" s="63" t="str">
        <f t="shared" si="114"/>
        <v/>
      </c>
      <c r="G294" s="56" t="str">
        <f t="shared" si="115"/>
        <v/>
      </c>
      <c r="H294" s="42"/>
      <c r="I294" s="2" t="str">
        <f t="shared" si="116"/>
        <v/>
      </c>
      <c r="J294" s="54" t="str">
        <f t="shared" si="127"/>
        <v/>
      </c>
      <c r="K294" s="55" t="str">
        <f t="shared" si="117"/>
        <v/>
      </c>
      <c r="L294" s="63" t="str">
        <f t="shared" si="118"/>
        <v/>
      </c>
      <c r="M294" s="96" t="str">
        <f t="shared" si="128"/>
        <v/>
      </c>
      <c r="N294" s="96" t="str">
        <f>IF(A294="","",IF(A294=Expiry,0,EXP(-q*Q294)*_xlfn.NORM.S.DIST(Y294,0)/(sigma*SQRT(Q294))*I294*Mult/100))</f>
        <v/>
      </c>
      <c r="O294" s="96" t="str">
        <f>IF(A294="","",IF(A294=Expiry,0,D294*E294*E294*EXP(-q*Q294)*_xlfn.NORM.S.DIST(Y294,0)*SQRT(Q294)/100))</f>
        <v/>
      </c>
      <c r="P294" s="69" t="str">
        <f>IF(A294="","",IF(A294=Expiry,0,AK294*I294*Mult*((-EXP(-q*Q294)*E294*_xlfn.NORM.S.DIST(Y294,0)*sigma/(2*SQRT(Q294))-r_dom*K*EXP(-r_dom*Q294)*_xlfn.NORM.S.DIST(Z294,1)+q*E294*EXP(-q*Q294)*_xlfn.NORM.S.DIST(Y294,1))/365)))</f>
        <v/>
      </c>
      <c r="Q294" s="83" t="str">
        <f t="shared" si="119"/>
        <v/>
      </c>
      <c r="R294" s="38"/>
      <c r="S294" s="68" t="str">
        <f t="shared" si="120"/>
        <v/>
      </c>
      <c r="T294" s="69" t="str">
        <f t="shared" si="121"/>
        <v/>
      </c>
      <c r="U294" s="70" t="str">
        <f t="shared" si="122"/>
        <v/>
      </c>
      <c r="V294" s="72" t="str">
        <f t="shared" si="123"/>
        <v/>
      </c>
      <c r="W294" s="2" t="str">
        <f t="shared" si="134"/>
        <v/>
      </c>
      <c r="X294" s="2" t="str">
        <f t="shared" si="129"/>
        <v/>
      </c>
      <c r="Y294" s="35" t="str">
        <f t="shared" ca="1" si="124"/>
        <v/>
      </c>
      <c r="Z294" s="36" t="str">
        <f t="shared" ca="1" si="125"/>
        <v/>
      </c>
      <c r="AA294" s="70" t="str">
        <f t="shared" si="126"/>
        <v/>
      </c>
      <c r="AB294" s="2"/>
      <c r="AC294" s="94" t="str">
        <f t="shared" si="130"/>
        <v/>
      </c>
      <c r="AD294" s="95" t="str">
        <f t="shared" si="131"/>
        <v/>
      </c>
      <c r="AE294" s="96" t="str">
        <f t="shared" si="132"/>
        <v/>
      </c>
      <c r="AF294" s="124" t="str">
        <f t="shared" si="133"/>
        <v/>
      </c>
      <c r="AG294" s="2"/>
      <c r="AH294" s="2"/>
      <c r="AI294" s="2"/>
      <c r="AJ294" s="2"/>
      <c r="AK294" s="2"/>
      <c r="AL294" s="2"/>
    </row>
    <row r="295" spans="1:38" x14ac:dyDescent="0.2">
      <c r="A295" s="45"/>
      <c r="B295" s="43" t="str">
        <f t="shared" si="112"/>
        <v/>
      </c>
      <c r="C295" s="96" t="str">
        <f t="shared" si="135"/>
        <v/>
      </c>
      <c r="D295" s="44" t="str">
        <f t="shared" si="113"/>
        <v/>
      </c>
      <c r="E295" s="52"/>
      <c r="F295" s="63" t="str">
        <f t="shared" si="114"/>
        <v/>
      </c>
      <c r="G295" s="56" t="str">
        <f t="shared" si="115"/>
        <v/>
      </c>
      <c r="H295" s="42"/>
      <c r="I295" s="2" t="str">
        <f t="shared" si="116"/>
        <v/>
      </c>
      <c r="J295" s="54" t="str">
        <f t="shared" si="127"/>
        <v/>
      </c>
      <c r="K295" s="55" t="str">
        <f t="shared" si="117"/>
        <v/>
      </c>
      <c r="L295" s="63" t="str">
        <f t="shared" si="118"/>
        <v/>
      </c>
      <c r="M295" s="96" t="str">
        <f t="shared" si="128"/>
        <v/>
      </c>
      <c r="N295" s="96" t="str">
        <f>IF(A295="","",IF(A295=Expiry,0,EXP(-q*Q295)*_xlfn.NORM.S.DIST(Y295,0)/(sigma*SQRT(Q295))*I295*Mult/100))</f>
        <v/>
      </c>
      <c r="O295" s="96" t="str">
        <f>IF(A295="","",IF(A295=Expiry,0,D295*E295*E295*EXP(-q*Q295)*_xlfn.NORM.S.DIST(Y295,0)*SQRT(Q295)/100))</f>
        <v/>
      </c>
      <c r="P295" s="69" t="str">
        <f>IF(A295="","",IF(A295=Expiry,0,AK295*I295*Mult*((-EXP(-q*Q295)*E295*_xlfn.NORM.S.DIST(Y295,0)*sigma/(2*SQRT(Q295))-r_dom*K*EXP(-r_dom*Q295)*_xlfn.NORM.S.DIST(Z295,1)+q*E295*EXP(-q*Q295)*_xlfn.NORM.S.DIST(Y295,1))/365)))</f>
        <v/>
      </c>
      <c r="Q295" s="83" t="str">
        <f t="shared" si="119"/>
        <v/>
      </c>
      <c r="R295" s="38"/>
      <c r="S295" s="68" t="str">
        <f t="shared" si="120"/>
        <v/>
      </c>
      <c r="T295" s="69" t="str">
        <f t="shared" si="121"/>
        <v/>
      </c>
      <c r="U295" s="70" t="str">
        <f t="shared" si="122"/>
        <v/>
      </c>
      <c r="V295" s="72" t="str">
        <f t="shared" si="123"/>
        <v/>
      </c>
      <c r="W295" s="2" t="str">
        <f t="shared" si="134"/>
        <v/>
      </c>
      <c r="X295" s="2" t="str">
        <f t="shared" si="129"/>
        <v/>
      </c>
      <c r="Y295" s="35" t="str">
        <f t="shared" ca="1" si="124"/>
        <v/>
      </c>
      <c r="Z295" s="36" t="str">
        <f t="shared" ca="1" si="125"/>
        <v/>
      </c>
      <c r="AA295" s="70" t="str">
        <f t="shared" si="126"/>
        <v/>
      </c>
      <c r="AB295" s="2"/>
      <c r="AC295" s="94" t="str">
        <f t="shared" si="130"/>
        <v/>
      </c>
      <c r="AD295" s="95" t="str">
        <f t="shared" si="131"/>
        <v/>
      </c>
      <c r="AE295" s="96" t="str">
        <f t="shared" si="132"/>
        <v/>
      </c>
      <c r="AF295" s="124" t="str">
        <f t="shared" si="133"/>
        <v/>
      </c>
      <c r="AG295" s="2"/>
      <c r="AH295" s="2"/>
      <c r="AI295" s="2"/>
      <c r="AJ295" s="2"/>
      <c r="AK295" s="2"/>
      <c r="AL295" s="2"/>
    </row>
    <row r="296" spans="1:38" x14ac:dyDescent="0.2">
      <c r="A296" s="45"/>
      <c r="B296" s="43" t="str">
        <f t="shared" si="112"/>
        <v/>
      </c>
      <c r="C296" s="96" t="str">
        <f t="shared" si="135"/>
        <v/>
      </c>
      <c r="D296" s="44" t="str">
        <f t="shared" si="113"/>
        <v/>
      </c>
      <c r="E296" s="52"/>
      <c r="F296" s="63" t="str">
        <f t="shared" si="114"/>
        <v/>
      </c>
      <c r="G296" s="56" t="str">
        <f t="shared" si="115"/>
        <v/>
      </c>
      <c r="H296" s="42"/>
      <c r="I296" s="2" t="str">
        <f t="shared" si="116"/>
        <v/>
      </c>
      <c r="J296" s="54" t="str">
        <f t="shared" si="127"/>
        <v/>
      </c>
      <c r="K296" s="55" t="str">
        <f t="shared" si="117"/>
        <v/>
      </c>
      <c r="L296" s="63" t="str">
        <f t="shared" si="118"/>
        <v/>
      </c>
      <c r="M296" s="96" t="str">
        <f t="shared" si="128"/>
        <v/>
      </c>
      <c r="N296" s="96" t="str">
        <f>IF(A296="","",IF(A296=Expiry,0,EXP(-q*Q296)*_xlfn.NORM.S.DIST(Y296,0)/(sigma*SQRT(Q296))*I296*Mult/100))</f>
        <v/>
      </c>
      <c r="O296" s="96" t="str">
        <f>IF(A296="","",IF(A296=Expiry,0,D296*E296*E296*EXP(-q*Q296)*_xlfn.NORM.S.DIST(Y296,0)*SQRT(Q296)/100))</f>
        <v/>
      </c>
      <c r="P296" s="69" t="str">
        <f>IF(A296="","",IF(A296=Expiry,0,AK296*I296*Mult*((-EXP(-q*Q296)*E296*_xlfn.NORM.S.DIST(Y296,0)*sigma/(2*SQRT(Q296))-r_dom*K*EXP(-r_dom*Q296)*_xlfn.NORM.S.DIST(Z296,1)+q*E296*EXP(-q*Q296)*_xlfn.NORM.S.DIST(Y296,1))/365)))</f>
        <v/>
      </c>
      <c r="Q296" s="83" t="str">
        <f t="shared" si="119"/>
        <v/>
      </c>
      <c r="R296" s="38"/>
      <c r="S296" s="68" t="str">
        <f t="shared" si="120"/>
        <v/>
      </c>
      <c r="T296" s="69" t="str">
        <f t="shared" si="121"/>
        <v/>
      </c>
      <c r="U296" s="70" t="str">
        <f t="shared" si="122"/>
        <v/>
      </c>
      <c r="V296" s="72" t="str">
        <f t="shared" si="123"/>
        <v/>
      </c>
      <c r="W296" s="2" t="str">
        <f t="shared" si="134"/>
        <v/>
      </c>
      <c r="X296" s="2" t="str">
        <f t="shared" si="129"/>
        <v/>
      </c>
      <c r="Y296" s="35" t="str">
        <f t="shared" ca="1" si="124"/>
        <v/>
      </c>
      <c r="Z296" s="36" t="str">
        <f t="shared" ca="1" si="125"/>
        <v/>
      </c>
      <c r="AA296" s="70" t="str">
        <f t="shared" si="126"/>
        <v/>
      </c>
      <c r="AB296" s="2"/>
      <c r="AC296" s="94" t="str">
        <f t="shared" si="130"/>
        <v/>
      </c>
      <c r="AD296" s="95" t="str">
        <f t="shared" si="131"/>
        <v/>
      </c>
      <c r="AE296" s="96" t="str">
        <f t="shared" si="132"/>
        <v/>
      </c>
      <c r="AF296" s="124" t="str">
        <f t="shared" si="133"/>
        <v/>
      </c>
      <c r="AG296" s="2"/>
      <c r="AH296" s="2"/>
      <c r="AI296" s="2"/>
      <c r="AJ296" s="2"/>
      <c r="AK296" s="2"/>
      <c r="AL296" s="2"/>
    </row>
    <row r="297" spans="1:38" x14ac:dyDescent="0.2">
      <c r="A297" s="45"/>
      <c r="B297" s="43" t="str">
        <f t="shared" si="112"/>
        <v/>
      </c>
      <c r="C297" s="96" t="str">
        <f t="shared" si="135"/>
        <v/>
      </c>
      <c r="D297" s="44" t="str">
        <f t="shared" si="113"/>
        <v/>
      </c>
      <c r="E297" s="52"/>
      <c r="F297" s="63" t="str">
        <f t="shared" si="114"/>
        <v/>
      </c>
      <c r="G297" s="56" t="str">
        <f t="shared" si="115"/>
        <v/>
      </c>
      <c r="H297" s="42"/>
      <c r="I297" s="2" t="str">
        <f t="shared" si="116"/>
        <v/>
      </c>
      <c r="J297" s="54" t="str">
        <f t="shared" si="127"/>
        <v/>
      </c>
      <c r="K297" s="55" t="str">
        <f t="shared" si="117"/>
        <v/>
      </c>
      <c r="L297" s="63" t="str">
        <f t="shared" si="118"/>
        <v/>
      </c>
      <c r="M297" s="96" t="str">
        <f t="shared" si="128"/>
        <v/>
      </c>
      <c r="N297" s="96" t="str">
        <f>IF(A297="","",IF(A297=Expiry,0,EXP(-q*Q297)*_xlfn.NORM.S.DIST(Y297,0)/(sigma*SQRT(Q297))*I297*Mult/100))</f>
        <v/>
      </c>
      <c r="O297" s="96" t="str">
        <f>IF(A297="","",IF(A297=Expiry,0,D297*E297*E297*EXP(-q*Q297)*_xlfn.NORM.S.DIST(Y297,0)*SQRT(Q297)/100))</f>
        <v/>
      </c>
      <c r="P297" s="69" t="str">
        <f>IF(A297="","",IF(A297=Expiry,0,AK297*I297*Mult*((-EXP(-q*Q297)*E297*_xlfn.NORM.S.DIST(Y297,0)*sigma/(2*SQRT(Q297))-r_dom*K*EXP(-r_dom*Q297)*_xlfn.NORM.S.DIST(Z297,1)+q*E297*EXP(-q*Q297)*_xlfn.NORM.S.DIST(Y297,1))/365)))</f>
        <v/>
      </c>
      <c r="Q297" s="83" t="str">
        <f t="shared" si="119"/>
        <v/>
      </c>
      <c r="R297" s="38"/>
      <c r="S297" s="68" t="str">
        <f t="shared" si="120"/>
        <v/>
      </c>
      <c r="T297" s="69" t="str">
        <f t="shared" si="121"/>
        <v/>
      </c>
      <c r="U297" s="70" t="str">
        <f t="shared" si="122"/>
        <v/>
      </c>
      <c r="V297" s="72" t="str">
        <f t="shared" si="123"/>
        <v/>
      </c>
      <c r="W297" s="2" t="str">
        <f t="shared" si="134"/>
        <v/>
      </c>
      <c r="X297" s="2" t="str">
        <f t="shared" si="129"/>
        <v/>
      </c>
      <c r="Y297" s="35" t="str">
        <f t="shared" ca="1" si="124"/>
        <v/>
      </c>
      <c r="Z297" s="36" t="str">
        <f t="shared" ca="1" si="125"/>
        <v/>
      </c>
      <c r="AA297" s="70" t="str">
        <f t="shared" si="126"/>
        <v/>
      </c>
      <c r="AB297" s="2"/>
      <c r="AC297" s="94" t="str">
        <f t="shared" si="130"/>
        <v/>
      </c>
      <c r="AD297" s="95" t="str">
        <f t="shared" si="131"/>
        <v/>
      </c>
      <c r="AE297" s="96" t="str">
        <f t="shared" si="132"/>
        <v/>
      </c>
      <c r="AF297" s="124" t="str">
        <f t="shared" si="133"/>
        <v/>
      </c>
      <c r="AG297" s="2"/>
      <c r="AH297" s="2"/>
      <c r="AI297" s="2"/>
      <c r="AJ297" s="2"/>
      <c r="AK297" s="2"/>
      <c r="AL297" s="2"/>
    </row>
    <row r="298" spans="1:38" x14ac:dyDescent="0.2">
      <c r="A298" s="45"/>
      <c r="B298" s="43" t="str">
        <f t="shared" si="112"/>
        <v/>
      </c>
      <c r="C298" s="96" t="str">
        <f t="shared" si="135"/>
        <v/>
      </c>
      <c r="D298" s="44" t="str">
        <f t="shared" si="113"/>
        <v/>
      </c>
      <c r="E298" s="52"/>
      <c r="F298" s="63" t="str">
        <f t="shared" si="114"/>
        <v/>
      </c>
      <c r="G298" s="56" t="str">
        <f t="shared" si="115"/>
        <v/>
      </c>
      <c r="H298" s="42"/>
      <c r="I298" s="2" t="str">
        <f t="shared" si="116"/>
        <v/>
      </c>
      <c r="J298" s="54" t="str">
        <f t="shared" si="127"/>
        <v/>
      </c>
      <c r="K298" s="55" t="str">
        <f t="shared" si="117"/>
        <v/>
      </c>
      <c r="L298" s="63" t="str">
        <f t="shared" si="118"/>
        <v/>
      </c>
      <c r="M298" s="96" t="str">
        <f t="shared" si="128"/>
        <v/>
      </c>
      <c r="N298" s="96" t="str">
        <f>IF(A298="","",IF(A298=Expiry,0,EXP(-q*Q298)*_xlfn.NORM.S.DIST(Y298,0)/(sigma*SQRT(Q298))*I298*Mult/100))</f>
        <v/>
      </c>
      <c r="O298" s="96" t="str">
        <f>IF(A298="","",IF(A298=Expiry,0,D298*E298*E298*EXP(-q*Q298)*_xlfn.NORM.S.DIST(Y298,0)*SQRT(Q298)/100))</f>
        <v/>
      </c>
      <c r="P298" s="69" t="str">
        <f>IF(A298="","",IF(A298=Expiry,0,AK298*I298*Mult*((-EXP(-q*Q298)*E298*_xlfn.NORM.S.DIST(Y298,0)*sigma/(2*SQRT(Q298))-r_dom*K*EXP(-r_dom*Q298)*_xlfn.NORM.S.DIST(Z298,1)+q*E298*EXP(-q*Q298)*_xlfn.NORM.S.DIST(Y298,1))/365)))</f>
        <v/>
      </c>
      <c r="Q298" s="83" t="str">
        <f t="shared" si="119"/>
        <v/>
      </c>
      <c r="R298" s="38"/>
      <c r="S298" s="68" t="str">
        <f t="shared" si="120"/>
        <v/>
      </c>
      <c r="T298" s="69" t="str">
        <f t="shared" si="121"/>
        <v/>
      </c>
      <c r="U298" s="70" t="str">
        <f t="shared" si="122"/>
        <v/>
      </c>
      <c r="V298" s="72" t="str">
        <f t="shared" si="123"/>
        <v/>
      </c>
      <c r="W298" s="2" t="str">
        <f t="shared" si="134"/>
        <v/>
      </c>
      <c r="X298" s="2" t="str">
        <f t="shared" si="129"/>
        <v/>
      </c>
      <c r="Y298" s="35" t="str">
        <f t="shared" ca="1" si="124"/>
        <v/>
      </c>
      <c r="Z298" s="36" t="str">
        <f t="shared" ca="1" si="125"/>
        <v/>
      </c>
      <c r="AA298" s="70" t="str">
        <f t="shared" si="126"/>
        <v/>
      </c>
      <c r="AB298" s="2"/>
      <c r="AC298" s="94" t="str">
        <f t="shared" si="130"/>
        <v/>
      </c>
      <c r="AD298" s="95" t="str">
        <f t="shared" si="131"/>
        <v/>
      </c>
      <c r="AE298" s="96" t="str">
        <f t="shared" si="132"/>
        <v/>
      </c>
      <c r="AF298" s="124" t="str">
        <f t="shared" si="133"/>
        <v/>
      </c>
      <c r="AG298" s="2"/>
      <c r="AH298" s="2"/>
      <c r="AI298" s="2"/>
      <c r="AJ298" s="2"/>
      <c r="AK298" s="2"/>
      <c r="AL298" s="2"/>
    </row>
    <row r="299" spans="1:38" x14ac:dyDescent="0.2">
      <c r="A299" s="45"/>
      <c r="B299" s="43" t="str">
        <f t="shared" si="112"/>
        <v/>
      </c>
      <c r="C299" s="96" t="str">
        <f t="shared" si="135"/>
        <v/>
      </c>
      <c r="D299" s="44" t="str">
        <f t="shared" si="113"/>
        <v/>
      </c>
      <c r="E299" s="52"/>
      <c r="F299" s="63" t="str">
        <f t="shared" si="114"/>
        <v/>
      </c>
      <c r="G299" s="56" t="str">
        <f t="shared" si="115"/>
        <v/>
      </c>
      <c r="H299" s="42"/>
      <c r="I299" s="2" t="str">
        <f t="shared" si="116"/>
        <v/>
      </c>
      <c r="J299" s="54" t="str">
        <f t="shared" si="127"/>
        <v/>
      </c>
      <c r="K299" s="55" t="str">
        <f t="shared" si="117"/>
        <v/>
      </c>
      <c r="L299" s="63" t="str">
        <f t="shared" si="118"/>
        <v/>
      </c>
      <c r="M299" s="96" t="str">
        <f t="shared" si="128"/>
        <v/>
      </c>
      <c r="N299" s="96" t="str">
        <f>IF(A299="","",IF(A299=Expiry,0,EXP(-q*Q299)*_xlfn.NORM.S.DIST(Y299,0)/(sigma*SQRT(Q299))*I299*Mult/100))</f>
        <v/>
      </c>
      <c r="O299" s="96" t="str">
        <f>IF(A299="","",IF(A299=Expiry,0,D299*E299*E299*EXP(-q*Q299)*_xlfn.NORM.S.DIST(Y299,0)*SQRT(Q299)/100))</f>
        <v/>
      </c>
      <c r="P299" s="69" t="str">
        <f>IF(A299="","",IF(A299=Expiry,0,AK299*I299*Mult*((-EXP(-q*Q299)*E299*_xlfn.NORM.S.DIST(Y299,0)*sigma/(2*SQRT(Q299))-r_dom*K*EXP(-r_dom*Q299)*_xlfn.NORM.S.DIST(Z299,1)+q*E299*EXP(-q*Q299)*_xlfn.NORM.S.DIST(Y299,1))/365)))</f>
        <v/>
      </c>
      <c r="Q299" s="83" t="str">
        <f t="shared" si="119"/>
        <v/>
      </c>
      <c r="R299" s="38"/>
      <c r="S299" s="68" t="str">
        <f t="shared" si="120"/>
        <v/>
      </c>
      <c r="T299" s="69" t="str">
        <f t="shared" si="121"/>
        <v/>
      </c>
      <c r="U299" s="70" t="str">
        <f t="shared" si="122"/>
        <v/>
      </c>
      <c r="V299" s="72" t="str">
        <f t="shared" si="123"/>
        <v/>
      </c>
      <c r="W299" s="2" t="str">
        <f t="shared" si="134"/>
        <v/>
      </c>
      <c r="X299" s="2" t="str">
        <f t="shared" si="129"/>
        <v/>
      </c>
      <c r="Y299" s="35" t="str">
        <f t="shared" ca="1" si="124"/>
        <v/>
      </c>
      <c r="Z299" s="36" t="str">
        <f t="shared" ca="1" si="125"/>
        <v/>
      </c>
      <c r="AA299" s="70" t="str">
        <f t="shared" si="126"/>
        <v/>
      </c>
      <c r="AB299" s="2"/>
      <c r="AC299" s="94" t="str">
        <f t="shared" si="130"/>
        <v/>
      </c>
      <c r="AD299" s="95" t="str">
        <f t="shared" si="131"/>
        <v/>
      </c>
      <c r="AE299" s="96" t="str">
        <f t="shared" si="132"/>
        <v/>
      </c>
      <c r="AF299" s="124" t="str">
        <f t="shared" si="133"/>
        <v/>
      </c>
      <c r="AG299" s="2"/>
      <c r="AH299" s="2"/>
      <c r="AI299" s="2"/>
      <c r="AJ299" s="2"/>
      <c r="AK299" s="2"/>
      <c r="AL299" s="2"/>
    </row>
    <row r="300" spans="1:38" x14ac:dyDescent="0.2">
      <c r="A300" s="45"/>
      <c r="B300" s="43" t="str">
        <f t="shared" si="112"/>
        <v/>
      </c>
      <c r="C300" s="96" t="str">
        <f t="shared" si="135"/>
        <v/>
      </c>
      <c r="D300" s="44" t="str">
        <f t="shared" si="113"/>
        <v/>
      </c>
      <c r="E300" s="52"/>
      <c r="F300" s="63" t="str">
        <f t="shared" si="114"/>
        <v/>
      </c>
      <c r="G300" s="56" t="str">
        <f t="shared" si="115"/>
        <v/>
      </c>
      <c r="H300" s="42"/>
      <c r="I300" s="2" t="str">
        <f t="shared" si="116"/>
        <v/>
      </c>
      <c r="J300" s="54" t="str">
        <f t="shared" si="127"/>
        <v/>
      </c>
      <c r="K300" s="55" t="str">
        <f t="shared" si="117"/>
        <v/>
      </c>
      <c r="L300" s="63" t="str">
        <f t="shared" si="118"/>
        <v/>
      </c>
      <c r="M300" s="96" t="str">
        <f t="shared" si="128"/>
        <v/>
      </c>
      <c r="N300" s="96" t="str">
        <f>IF(A300="","",IF(A300=Expiry,0,EXP(-q*Q300)*_xlfn.NORM.S.DIST(Y300,0)/(sigma*SQRT(Q300))*I300*Mult/100))</f>
        <v/>
      </c>
      <c r="O300" s="96" t="str">
        <f>IF(A300="","",IF(A300=Expiry,0,D300*E300*E300*EXP(-q*Q300)*_xlfn.NORM.S.DIST(Y300,0)*SQRT(Q300)/100))</f>
        <v/>
      </c>
      <c r="P300" s="69" t="str">
        <f>IF(A300="","",IF(A300=Expiry,0,AK300*I300*Mult*((-EXP(-q*Q300)*E300*_xlfn.NORM.S.DIST(Y300,0)*sigma/(2*SQRT(Q300))-r_dom*K*EXP(-r_dom*Q300)*_xlfn.NORM.S.DIST(Z300,1)+q*E300*EXP(-q*Q300)*_xlfn.NORM.S.DIST(Y300,1))/365)))</f>
        <v/>
      </c>
      <c r="Q300" s="83" t="str">
        <f t="shared" si="119"/>
        <v/>
      </c>
      <c r="R300" s="38"/>
      <c r="S300" s="68" t="str">
        <f t="shared" si="120"/>
        <v/>
      </c>
      <c r="T300" s="69" t="str">
        <f t="shared" si="121"/>
        <v/>
      </c>
      <c r="U300" s="70" t="str">
        <f t="shared" si="122"/>
        <v/>
      </c>
      <c r="V300" s="72" t="str">
        <f t="shared" si="123"/>
        <v/>
      </c>
      <c r="W300" s="2" t="str">
        <f t="shared" si="134"/>
        <v/>
      </c>
      <c r="X300" s="2" t="str">
        <f t="shared" si="129"/>
        <v/>
      </c>
      <c r="Y300" s="35" t="str">
        <f t="shared" ca="1" si="124"/>
        <v/>
      </c>
      <c r="Z300" s="36" t="str">
        <f t="shared" ca="1" si="125"/>
        <v/>
      </c>
      <c r="AA300" s="70" t="str">
        <f t="shared" si="126"/>
        <v/>
      </c>
      <c r="AB300" s="2"/>
      <c r="AC300" s="94" t="str">
        <f t="shared" si="130"/>
        <v/>
      </c>
      <c r="AD300" s="95" t="str">
        <f t="shared" si="131"/>
        <v/>
      </c>
      <c r="AE300" s="96" t="str">
        <f t="shared" si="132"/>
        <v/>
      </c>
      <c r="AF300" s="124" t="str">
        <f t="shared" si="133"/>
        <v/>
      </c>
      <c r="AG300" s="2"/>
      <c r="AH300" s="2"/>
      <c r="AI300" s="2"/>
      <c r="AJ300" s="2"/>
      <c r="AK300" s="2"/>
      <c r="AL300" s="2"/>
    </row>
    <row r="301" spans="1:38" x14ac:dyDescent="0.2">
      <c r="A301" s="45"/>
      <c r="B301" s="43" t="str">
        <f t="shared" si="112"/>
        <v/>
      </c>
      <c r="C301" s="96" t="str">
        <f t="shared" si="135"/>
        <v/>
      </c>
      <c r="D301" s="44" t="str">
        <f t="shared" si="113"/>
        <v/>
      </c>
      <c r="E301" s="52"/>
      <c r="F301" s="63" t="str">
        <f t="shared" si="114"/>
        <v/>
      </c>
      <c r="G301" s="56" t="str">
        <f t="shared" si="115"/>
        <v/>
      </c>
      <c r="H301" s="42"/>
      <c r="I301" s="2" t="str">
        <f t="shared" si="116"/>
        <v/>
      </c>
      <c r="J301" s="54" t="str">
        <f t="shared" si="127"/>
        <v/>
      </c>
      <c r="K301" s="55" t="str">
        <f t="shared" si="117"/>
        <v/>
      </c>
      <c r="L301" s="63" t="str">
        <f t="shared" si="118"/>
        <v/>
      </c>
      <c r="M301" s="96" t="str">
        <f t="shared" si="128"/>
        <v/>
      </c>
      <c r="N301" s="96" t="str">
        <f>IF(A301="","",IF(A301=Expiry,0,EXP(-q*Q301)*_xlfn.NORM.S.DIST(Y301,0)/(sigma*SQRT(Q301))*I301*Mult/100))</f>
        <v/>
      </c>
      <c r="O301" s="96" t="str">
        <f>IF(A301="","",IF(A301=Expiry,0,D301*E301*E301*EXP(-q*Q301)*_xlfn.NORM.S.DIST(Y301,0)*SQRT(Q301)/100))</f>
        <v/>
      </c>
      <c r="P301" s="69" t="str">
        <f>IF(A301="","",IF(A301=Expiry,0,AK301*I301*Mult*((-EXP(-q*Q301)*E301*_xlfn.NORM.S.DIST(Y301,0)*sigma/(2*SQRT(Q301))-r_dom*K*EXP(-r_dom*Q301)*_xlfn.NORM.S.DIST(Z301,1)+q*E301*EXP(-q*Q301)*_xlfn.NORM.S.DIST(Y301,1))/365)))</f>
        <v/>
      </c>
      <c r="Q301" s="83" t="str">
        <f t="shared" si="119"/>
        <v/>
      </c>
      <c r="R301" s="38"/>
      <c r="S301" s="68" t="str">
        <f t="shared" si="120"/>
        <v/>
      </c>
      <c r="T301" s="69" t="str">
        <f t="shared" si="121"/>
        <v/>
      </c>
      <c r="U301" s="70" t="str">
        <f t="shared" si="122"/>
        <v/>
      </c>
      <c r="V301" s="72" t="str">
        <f t="shared" si="123"/>
        <v/>
      </c>
      <c r="W301" s="2" t="str">
        <f t="shared" si="134"/>
        <v/>
      </c>
      <c r="X301" s="2" t="str">
        <f t="shared" si="129"/>
        <v/>
      </c>
      <c r="Y301" s="35" t="str">
        <f t="shared" ca="1" si="124"/>
        <v/>
      </c>
      <c r="Z301" s="36" t="str">
        <f t="shared" ca="1" si="125"/>
        <v/>
      </c>
      <c r="AA301" s="70" t="str">
        <f t="shared" si="126"/>
        <v/>
      </c>
      <c r="AB301" s="2"/>
      <c r="AC301" s="94" t="str">
        <f t="shared" si="130"/>
        <v/>
      </c>
      <c r="AD301" s="95" t="str">
        <f t="shared" si="131"/>
        <v/>
      </c>
      <c r="AE301" s="96" t="str">
        <f t="shared" si="132"/>
        <v/>
      </c>
      <c r="AF301" s="124" t="str">
        <f t="shared" si="133"/>
        <v/>
      </c>
      <c r="AG301" s="2"/>
      <c r="AH301" s="2"/>
      <c r="AI301" s="2"/>
      <c r="AJ301" s="2"/>
      <c r="AK301" s="2"/>
      <c r="AL301" s="2"/>
    </row>
    <row r="302" spans="1:38" x14ac:dyDescent="0.2">
      <c r="A302" s="45"/>
      <c r="B302" s="43" t="str">
        <f t="shared" si="112"/>
        <v/>
      </c>
      <c r="C302" s="96" t="str">
        <f t="shared" si="135"/>
        <v/>
      </c>
      <c r="D302" s="44" t="str">
        <f t="shared" si="113"/>
        <v/>
      </c>
      <c r="E302" s="52"/>
      <c r="F302" s="63" t="str">
        <f t="shared" si="114"/>
        <v/>
      </c>
      <c r="G302" s="56" t="str">
        <f t="shared" si="115"/>
        <v/>
      </c>
      <c r="H302" s="42"/>
      <c r="I302" s="2" t="str">
        <f t="shared" si="116"/>
        <v/>
      </c>
      <c r="J302" s="54" t="str">
        <f t="shared" si="127"/>
        <v/>
      </c>
      <c r="K302" s="55" t="str">
        <f t="shared" si="117"/>
        <v/>
      </c>
      <c r="L302" s="63" t="str">
        <f t="shared" si="118"/>
        <v/>
      </c>
      <c r="M302" s="96" t="str">
        <f t="shared" si="128"/>
        <v/>
      </c>
      <c r="N302" s="96" t="str">
        <f>IF(A302="","",IF(A302=Expiry,0,EXP(-q*Q302)*_xlfn.NORM.S.DIST(Y302,0)/(sigma*SQRT(Q302))*I302*Mult/100))</f>
        <v/>
      </c>
      <c r="O302" s="96" t="str">
        <f>IF(A302="","",IF(A302=Expiry,0,D302*E302*E302*EXP(-q*Q302)*_xlfn.NORM.S.DIST(Y302,0)*SQRT(Q302)/100))</f>
        <v/>
      </c>
      <c r="P302" s="69" t="str">
        <f>IF(A302="","",IF(A302=Expiry,0,AK302*I302*Mult*((-EXP(-q*Q302)*E302*_xlfn.NORM.S.DIST(Y302,0)*sigma/(2*SQRT(Q302))-r_dom*K*EXP(-r_dom*Q302)*_xlfn.NORM.S.DIST(Z302,1)+q*E302*EXP(-q*Q302)*_xlfn.NORM.S.DIST(Y302,1))/365)))</f>
        <v/>
      </c>
      <c r="Q302" s="83" t="str">
        <f t="shared" si="119"/>
        <v/>
      </c>
      <c r="R302" s="38"/>
      <c r="S302" s="68" t="str">
        <f t="shared" si="120"/>
        <v/>
      </c>
      <c r="T302" s="69" t="str">
        <f t="shared" si="121"/>
        <v/>
      </c>
      <c r="U302" s="70" t="str">
        <f t="shared" si="122"/>
        <v/>
      </c>
      <c r="V302" s="72" t="str">
        <f t="shared" si="123"/>
        <v/>
      </c>
      <c r="W302" s="2" t="str">
        <f t="shared" si="134"/>
        <v/>
      </c>
      <c r="X302" s="2" t="str">
        <f t="shared" si="129"/>
        <v/>
      </c>
      <c r="Y302" s="35" t="str">
        <f t="shared" ca="1" si="124"/>
        <v/>
      </c>
      <c r="Z302" s="36" t="str">
        <f t="shared" ca="1" si="125"/>
        <v/>
      </c>
      <c r="AA302" s="70" t="str">
        <f t="shared" si="126"/>
        <v/>
      </c>
      <c r="AB302" s="2"/>
      <c r="AC302" s="94" t="str">
        <f t="shared" si="130"/>
        <v/>
      </c>
      <c r="AD302" s="95" t="str">
        <f t="shared" si="131"/>
        <v/>
      </c>
      <c r="AE302" s="96" t="str">
        <f t="shared" si="132"/>
        <v/>
      </c>
      <c r="AF302" s="124" t="str">
        <f t="shared" si="133"/>
        <v/>
      </c>
      <c r="AG302" s="2"/>
      <c r="AH302" s="2"/>
      <c r="AI302" s="2"/>
      <c r="AJ302" s="2"/>
      <c r="AK302" s="2"/>
      <c r="AL302" s="2"/>
    </row>
    <row r="303" spans="1:38" x14ac:dyDescent="0.2">
      <c r="A303" s="45"/>
      <c r="B303" s="43" t="str">
        <f t="shared" si="112"/>
        <v/>
      </c>
      <c r="C303" s="96" t="str">
        <f t="shared" si="135"/>
        <v/>
      </c>
      <c r="D303" s="44" t="str">
        <f t="shared" si="113"/>
        <v/>
      </c>
      <c r="E303" s="52"/>
      <c r="F303" s="63" t="str">
        <f t="shared" si="114"/>
        <v/>
      </c>
      <c r="G303" s="56" t="str">
        <f t="shared" si="115"/>
        <v/>
      </c>
      <c r="H303" s="42"/>
      <c r="I303" s="2" t="str">
        <f t="shared" si="116"/>
        <v/>
      </c>
      <c r="J303" s="54" t="str">
        <f t="shared" si="127"/>
        <v/>
      </c>
      <c r="K303" s="55" t="str">
        <f t="shared" si="117"/>
        <v/>
      </c>
      <c r="L303" s="63" t="str">
        <f t="shared" si="118"/>
        <v/>
      </c>
      <c r="M303" s="96" t="str">
        <f t="shared" si="128"/>
        <v/>
      </c>
      <c r="N303" s="96" t="str">
        <f>IF(A303="","",IF(A303=Expiry,0,EXP(-q*Q303)*_xlfn.NORM.S.DIST(Y303,0)/(sigma*SQRT(Q303))*I303*Mult/100))</f>
        <v/>
      </c>
      <c r="O303" s="96" t="str">
        <f>IF(A303="","",IF(A303=Expiry,0,D303*E303*E303*EXP(-q*Q303)*_xlfn.NORM.S.DIST(Y303,0)*SQRT(Q303)/100))</f>
        <v/>
      </c>
      <c r="P303" s="69" t="str">
        <f>IF(A303="","",IF(A303=Expiry,0,AK303*I303*Mult*((-EXP(-q*Q303)*E303*_xlfn.NORM.S.DIST(Y303,0)*sigma/(2*SQRT(Q303))-r_dom*K*EXP(-r_dom*Q303)*_xlfn.NORM.S.DIST(Z303,1)+q*E303*EXP(-q*Q303)*_xlfn.NORM.S.DIST(Y303,1))/365)))</f>
        <v/>
      </c>
      <c r="Q303" s="83" t="str">
        <f t="shared" si="119"/>
        <v/>
      </c>
      <c r="R303" s="38"/>
      <c r="S303" s="68" t="str">
        <f t="shared" si="120"/>
        <v/>
      </c>
      <c r="T303" s="69" t="str">
        <f t="shared" si="121"/>
        <v/>
      </c>
      <c r="U303" s="70" t="str">
        <f t="shared" si="122"/>
        <v/>
      </c>
      <c r="V303" s="72" t="str">
        <f t="shared" si="123"/>
        <v/>
      </c>
      <c r="W303" s="2" t="str">
        <f t="shared" si="134"/>
        <v/>
      </c>
      <c r="X303" s="2" t="str">
        <f t="shared" si="129"/>
        <v/>
      </c>
      <c r="Y303" s="35" t="str">
        <f t="shared" ca="1" si="124"/>
        <v/>
      </c>
      <c r="Z303" s="36" t="str">
        <f t="shared" ca="1" si="125"/>
        <v/>
      </c>
      <c r="AA303" s="70" t="str">
        <f t="shared" si="126"/>
        <v/>
      </c>
      <c r="AB303" s="2"/>
      <c r="AC303" s="94" t="str">
        <f t="shared" si="130"/>
        <v/>
      </c>
      <c r="AD303" s="95" t="str">
        <f t="shared" si="131"/>
        <v/>
      </c>
      <c r="AE303" s="96" t="str">
        <f t="shared" si="132"/>
        <v/>
      </c>
      <c r="AF303" s="124" t="str">
        <f t="shared" si="133"/>
        <v/>
      </c>
      <c r="AG303" s="2"/>
      <c r="AH303" s="2"/>
      <c r="AI303" s="2"/>
      <c r="AJ303" s="2"/>
      <c r="AK303" s="2"/>
      <c r="AL303" s="2"/>
    </row>
    <row r="304" spans="1:38" x14ac:dyDescent="0.2">
      <c r="A304" s="45"/>
      <c r="B304" s="43" t="str">
        <f t="shared" si="112"/>
        <v/>
      </c>
      <c r="C304" s="96" t="str">
        <f t="shared" si="135"/>
        <v/>
      </c>
      <c r="D304" s="44" t="str">
        <f t="shared" si="113"/>
        <v/>
      </c>
      <c r="E304" s="52"/>
      <c r="F304" s="63" t="str">
        <f t="shared" si="114"/>
        <v/>
      </c>
      <c r="G304" s="56" t="str">
        <f t="shared" si="115"/>
        <v/>
      </c>
      <c r="H304" s="42"/>
      <c r="I304" s="2" t="str">
        <f t="shared" si="116"/>
        <v/>
      </c>
      <c r="J304" s="54" t="str">
        <f t="shared" si="127"/>
        <v/>
      </c>
      <c r="K304" s="55" t="str">
        <f t="shared" si="117"/>
        <v/>
      </c>
      <c r="L304" s="63" t="str">
        <f t="shared" si="118"/>
        <v/>
      </c>
      <c r="M304" s="96" t="str">
        <f t="shared" si="128"/>
        <v/>
      </c>
      <c r="N304" s="96" t="str">
        <f>IF(A304="","",IF(A304=Expiry,0,EXP(-q*Q304)*_xlfn.NORM.S.DIST(Y304,0)/(sigma*SQRT(Q304))*I304*Mult/100))</f>
        <v/>
      </c>
      <c r="O304" s="96" t="str">
        <f>IF(A304="","",IF(A304=Expiry,0,D304*E304*E304*EXP(-q*Q304)*_xlfn.NORM.S.DIST(Y304,0)*SQRT(Q304)/100))</f>
        <v/>
      </c>
      <c r="P304" s="69" t="str">
        <f>IF(A304="","",IF(A304=Expiry,0,AK304*I304*Mult*((-EXP(-q*Q304)*E304*_xlfn.NORM.S.DIST(Y304,0)*sigma/(2*SQRT(Q304))-r_dom*K*EXP(-r_dom*Q304)*_xlfn.NORM.S.DIST(Z304,1)+q*E304*EXP(-q*Q304)*_xlfn.NORM.S.DIST(Y304,1))/365)))</f>
        <v/>
      </c>
      <c r="Q304" s="83" t="str">
        <f t="shared" si="119"/>
        <v/>
      </c>
      <c r="R304" s="38"/>
      <c r="S304" s="68" t="str">
        <f t="shared" si="120"/>
        <v/>
      </c>
      <c r="T304" s="69" t="str">
        <f t="shared" si="121"/>
        <v/>
      </c>
      <c r="U304" s="70" t="str">
        <f t="shared" si="122"/>
        <v/>
      </c>
      <c r="V304" s="72" t="str">
        <f t="shared" si="123"/>
        <v/>
      </c>
      <c r="W304" s="2" t="str">
        <f t="shared" si="134"/>
        <v/>
      </c>
      <c r="X304" s="2" t="str">
        <f t="shared" si="129"/>
        <v/>
      </c>
      <c r="Y304" s="35" t="str">
        <f t="shared" ca="1" si="124"/>
        <v/>
      </c>
      <c r="Z304" s="36" t="str">
        <f t="shared" ca="1" si="125"/>
        <v/>
      </c>
      <c r="AA304" s="70" t="str">
        <f t="shared" si="126"/>
        <v/>
      </c>
      <c r="AB304" s="2"/>
      <c r="AC304" s="94" t="str">
        <f t="shared" si="130"/>
        <v/>
      </c>
      <c r="AD304" s="95" t="str">
        <f t="shared" si="131"/>
        <v/>
      </c>
      <c r="AE304" s="96" t="str">
        <f t="shared" si="132"/>
        <v/>
      </c>
      <c r="AF304" s="124" t="str">
        <f t="shared" si="133"/>
        <v/>
      </c>
      <c r="AG304" s="2"/>
      <c r="AH304" s="2"/>
      <c r="AI304" s="2"/>
      <c r="AJ304" s="2"/>
      <c r="AK304" s="2"/>
      <c r="AL304" s="2"/>
    </row>
    <row r="305" spans="1:38" x14ac:dyDescent="0.2">
      <c r="A305" s="45"/>
      <c r="B305" s="43" t="str">
        <f t="shared" si="112"/>
        <v/>
      </c>
      <c r="C305" s="96" t="str">
        <f t="shared" si="135"/>
        <v/>
      </c>
      <c r="D305" s="44" t="str">
        <f t="shared" si="113"/>
        <v/>
      </c>
      <c r="E305" s="52"/>
      <c r="F305" s="63" t="str">
        <f t="shared" si="114"/>
        <v/>
      </c>
      <c r="G305" s="56" t="str">
        <f t="shared" si="115"/>
        <v/>
      </c>
      <c r="H305" s="42"/>
      <c r="I305" s="2" t="str">
        <f t="shared" si="116"/>
        <v/>
      </c>
      <c r="J305" s="54" t="str">
        <f t="shared" si="127"/>
        <v/>
      </c>
      <c r="K305" s="55" t="str">
        <f t="shared" si="117"/>
        <v/>
      </c>
      <c r="L305" s="63" t="str">
        <f t="shared" si="118"/>
        <v/>
      </c>
      <c r="M305" s="96" t="str">
        <f t="shared" si="128"/>
        <v/>
      </c>
      <c r="N305" s="96" t="str">
        <f>IF(A305="","",IF(A305=Expiry,0,EXP(-q*Q305)*_xlfn.NORM.S.DIST(Y305,0)/(sigma*SQRT(Q305))*I305*Mult/100))</f>
        <v/>
      </c>
      <c r="O305" s="96" t="str">
        <f>IF(A305="","",IF(A305=Expiry,0,D305*E305*E305*EXP(-q*Q305)*_xlfn.NORM.S.DIST(Y305,0)*SQRT(Q305)/100))</f>
        <v/>
      </c>
      <c r="P305" s="69" t="str">
        <f>IF(A305="","",IF(A305=Expiry,0,AK305*I305*Mult*((-EXP(-q*Q305)*E305*_xlfn.NORM.S.DIST(Y305,0)*sigma/(2*SQRT(Q305))-r_dom*K*EXP(-r_dom*Q305)*_xlfn.NORM.S.DIST(Z305,1)+q*E305*EXP(-q*Q305)*_xlfn.NORM.S.DIST(Y305,1))/365)))</f>
        <v/>
      </c>
      <c r="Q305" s="83" t="str">
        <f t="shared" si="119"/>
        <v/>
      </c>
      <c r="R305" s="38"/>
      <c r="S305" s="68" t="str">
        <f t="shared" si="120"/>
        <v/>
      </c>
      <c r="T305" s="69" t="str">
        <f t="shared" si="121"/>
        <v/>
      </c>
      <c r="U305" s="70" t="str">
        <f t="shared" si="122"/>
        <v/>
      </c>
      <c r="V305" s="72" t="str">
        <f t="shared" si="123"/>
        <v/>
      </c>
      <c r="W305" s="2" t="str">
        <f t="shared" si="134"/>
        <v/>
      </c>
      <c r="X305" s="2" t="str">
        <f t="shared" si="129"/>
        <v/>
      </c>
      <c r="Y305" s="35" t="str">
        <f t="shared" ca="1" si="124"/>
        <v/>
      </c>
      <c r="Z305" s="36" t="str">
        <f t="shared" ca="1" si="125"/>
        <v/>
      </c>
      <c r="AA305" s="70" t="str">
        <f t="shared" si="126"/>
        <v/>
      </c>
      <c r="AB305" s="2"/>
      <c r="AC305" s="94" t="str">
        <f t="shared" si="130"/>
        <v/>
      </c>
      <c r="AD305" s="95" t="str">
        <f t="shared" si="131"/>
        <v/>
      </c>
      <c r="AE305" s="96" t="str">
        <f t="shared" si="132"/>
        <v/>
      </c>
      <c r="AF305" s="124" t="str">
        <f t="shared" si="133"/>
        <v/>
      </c>
      <c r="AG305" s="2"/>
      <c r="AH305" s="2"/>
      <c r="AI305" s="2"/>
      <c r="AJ305" s="2"/>
      <c r="AK305" s="2"/>
      <c r="AL305" s="2"/>
    </row>
    <row r="306" spans="1:38" x14ac:dyDescent="0.2">
      <c r="A306" s="45"/>
      <c r="B306" s="43" t="str">
        <f t="shared" ref="B306:B369" si="136">IF(A306="","",-(M306+C305))</f>
        <v/>
      </c>
      <c r="C306" s="96" t="str">
        <f t="shared" si="135"/>
        <v/>
      </c>
      <c r="D306" s="44" t="str">
        <f t="shared" ref="D306:D369" si="137">IF(A306="","",C306*E306)</f>
        <v/>
      </c>
      <c r="E306" s="52"/>
      <c r="F306" s="63" t="str">
        <f t="shared" ref="F306:F369" si="138">IF(A306="","",C305*(E306-E305))</f>
        <v/>
      </c>
      <c r="G306" s="56" t="str">
        <f t="shared" ref="G306:G369" si="139">IF(H306="","",J306)</f>
        <v/>
      </c>
      <c r="H306" s="42"/>
      <c r="I306" s="2" t="str">
        <f t="shared" ref="I306:I369" si="140">IF(A306="","",I305+H306)</f>
        <v/>
      </c>
      <c r="J306" s="54" t="str">
        <f t="shared" si="127"/>
        <v/>
      </c>
      <c r="K306" s="55" t="str">
        <f t="shared" ref="K306:K369" si="141">IF(I306="","",I306*Mult*J306)</f>
        <v/>
      </c>
      <c r="L306" s="63" t="str">
        <f t="shared" ref="L306:L369" si="142">IF(A306="","",Mult*(IFERROR(0,H306*(G306-J306))+(I306-H306)*(J306-J305)))</f>
        <v/>
      </c>
      <c r="M306" s="96" t="str">
        <f t="shared" si="128"/>
        <v/>
      </c>
      <c r="N306" s="96" t="str">
        <f>IF(A306="","",IF(A306=Expiry,0,EXP(-q*Q306)*_xlfn.NORM.S.DIST(Y306,0)/(sigma*SQRT(Q306))*I306*Mult/100))</f>
        <v/>
      </c>
      <c r="O306" s="96" t="str">
        <f>IF(A306="","",IF(A306=Expiry,0,D306*E306*E306*EXP(-q*Q306)*_xlfn.NORM.S.DIST(Y306,0)*SQRT(Q306)/100))</f>
        <v/>
      </c>
      <c r="P306" s="69" t="str">
        <f>IF(A306="","",IF(A306=Expiry,0,AK306*I306*Mult*((-EXP(-q*Q306)*E306*_xlfn.NORM.S.DIST(Y306,0)*sigma/(2*SQRT(Q306))-r_dom*K*EXP(-r_dom*Q306)*_xlfn.NORM.S.DIST(Z306,1)+q*E306*EXP(-q*Q306)*_xlfn.NORM.S.DIST(Y306,1))/365)))</f>
        <v/>
      </c>
      <c r="Q306" s="83" t="str">
        <f t="shared" ref="Q306:Q369" si="143">IF(A306="","",IF(OR(A306="",Expiry&lt;=A306),0,(Expiry-A306)/365))</f>
        <v/>
      </c>
      <c r="R306" s="38"/>
      <c r="S306" s="68" t="str">
        <f t="shared" ref="S306:S369" si="144">IF(A306="","",F306+L306)</f>
        <v/>
      </c>
      <c r="T306" s="69" t="str">
        <f t="shared" ref="T306:T369" si="145">IF(A306="","",T305+S306)</f>
        <v/>
      </c>
      <c r="U306" s="70" t="str">
        <f t="shared" ref="U306:U369" si="146">IF(A306="","",LN(T306/T305))</f>
        <v/>
      </c>
      <c r="V306" s="72" t="str">
        <f t="shared" ref="V306:V369" si="147">IF(A306="","",V305*EXP(U306))</f>
        <v/>
      </c>
      <c r="W306" s="2" t="str">
        <f t="shared" si="134"/>
        <v/>
      </c>
      <c r="X306" s="2" t="str">
        <f t="shared" si="129"/>
        <v/>
      </c>
      <c r="Y306" s="35" t="str">
        <f t="shared" ref="Y306:Y369" ca="1" si="148">IF(OR(A306="",A306=Expiry),"",((LN(E306/K)+(r_dom-q+sigma^2/2)*Q306))/(sigma*SQRT(Q306)))</f>
        <v/>
      </c>
      <c r="Z306" s="36" t="str">
        <f t="shared" ref="Z306:Z369" ca="1" si="149">IF(OR(A306="",A306=Expiry),"",Y306-sigma*SQRT(Q306))</f>
        <v/>
      </c>
      <c r="AA306" s="70" t="str">
        <f t="shared" ref="AA306:AA369" si="150">IF(A306="","",LN(E306/E305))</f>
        <v/>
      </c>
      <c r="AB306" s="2"/>
      <c r="AC306" s="94" t="str">
        <f t="shared" si="130"/>
        <v/>
      </c>
      <c r="AD306" s="95" t="str">
        <f t="shared" si="131"/>
        <v/>
      </c>
      <c r="AE306" s="96" t="str">
        <f t="shared" si="132"/>
        <v/>
      </c>
      <c r="AF306" s="124" t="str">
        <f t="shared" si="133"/>
        <v/>
      </c>
      <c r="AG306" s="2"/>
      <c r="AH306" s="2"/>
      <c r="AI306" s="2"/>
      <c r="AJ306" s="2"/>
      <c r="AK306" s="2"/>
      <c r="AL306" s="2"/>
    </row>
    <row r="307" spans="1:38" x14ac:dyDescent="0.2">
      <c r="A307" s="45"/>
      <c r="B307" s="43" t="str">
        <f t="shared" si="136"/>
        <v/>
      </c>
      <c r="C307" s="96" t="str">
        <f t="shared" si="135"/>
        <v/>
      </c>
      <c r="D307" s="44" t="str">
        <f t="shared" si="137"/>
        <v/>
      </c>
      <c r="E307" s="52"/>
      <c r="F307" s="63" t="str">
        <f t="shared" si="138"/>
        <v/>
      </c>
      <c r="G307" s="56" t="str">
        <f t="shared" si="139"/>
        <v/>
      </c>
      <c r="H307" s="42"/>
      <c r="I307" s="2" t="str">
        <f t="shared" si="140"/>
        <v/>
      </c>
      <c r="J307" s="54" t="str">
        <f t="shared" si="127"/>
        <v/>
      </c>
      <c r="K307" s="55" t="str">
        <f t="shared" si="141"/>
        <v/>
      </c>
      <c r="L307" s="63" t="str">
        <f t="shared" si="142"/>
        <v/>
      </c>
      <c r="M307" s="96" t="str">
        <f t="shared" si="128"/>
        <v/>
      </c>
      <c r="N307" s="96" t="str">
        <f>IF(A307="","",IF(A307=Expiry,0,EXP(-q*Q307)*_xlfn.NORM.S.DIST(Y307,0)/(sigma*SQRT(Q307))*I307*Mult/100))</f>
        <v/>
      </c>
      <c r="O307" s="96" t="str">
        <f>IF(A307="","",IF(A307=Expiry,0,D307*E307*E307*EXP(-q*Q307)*_xlfn.NORM.S.DIST(Y307,0)*SQRT(Q307)/100))</f>
        <v/>
      </c>
      <c r="P307" s="69" t="str">
        <f>IF(A307="","",IF(A307=Expiry,0,AK307*I307*Mult*((-EXP(-q*Q307)*E307*_xlfn.NORM.S.DIST(Y307,0)*sigma/(2*SQRT(Q307))-r_dom*K*EXP(-r_dom*Q307)*_xlfn.NORM.S.DIST(Z307,1)+q*E307*EXP(-q*Q307)*_xlfn.NORM.S.DIST(Y307,1))/365)))</f>
        <v/>
      </c>
      <c r="Q307" s="83" t="str">
        <f t="shared" si="143"/>
        <v/>
      </c>
      <c r="R307" s="38"/>
      <c r="S307" s="68" t="str">
        <f t="shared" si="144"/>
        <v/>
      </c>
      <c r="T307" s="69" t="str">
        <f t="shared" si="145"/>
        <v/>
      </c>
      <c r="U307" s="70" t="str">
        <f t="shared" si="146"/>
        <v/>
      </c>
      <c r="V307" s="72" t="str">
        <f t="shared" si="147"/>
        <v/>
      </c>
      <c r="W307" s="2" t="str">
        <f t="shared" si="134"/>
        <v/>
      </c>
      <c r="X307" s="2" t="str">
        <f t="shared" si="129"/>
        <v/>
      </c>
      <c r="Y307" s="35" t="str">
        <f t="shared" ca="1" si="148"/>
        <v/>
      </c>
      <c r="Z307" s="36" t="str">
        <f t="shared" ca="1" si="149"/>
        <v/>
      </c>
      <c r="AA307" s="70" t="str">
        <f t="shared" si="150"/>
        <v/>
      </c>
      <c r="AB307" s="2"/>
      <c r="AC307" s="94" t="str">
        <f t="shared" si="130"/>
        <v/>
      </c>
      <c r="AD307" s="95" t="str">
        <f t="shared" si="131"/>
        <v/>
      </c>
      <c r="AE307" s="96" t="str">
        <f t="shared" si="132"/>
        <v/>
      </c>
      <c r="AF307" s="124" t="str">
        <f t="shared" si="133"/>
        <v/>
      </c>
      <c r="AG307" s="2"/>
      <c r="AH307" s="2"/>
      <c r="AI307" s="2"/>
      <c r="AJ307" s="2"/>
      <c r="AK307" s="2"/>
      <c r="AL307" s="2"/>
    </row>
    <row r="308" spans="1:38" x14ac:dyDescent="0.2">
      <c r="A308" s="45"/>
      <c r="B308" s="43" t="str">
        <f t="shared" si="136"/>
        <v/>
      </c>
      <c r="C308" s="96" t="str">
        <f t="shared" si="135"/>
        <v/>
      </c>
      <c r="D308" s="44" t="str">
        <f t="shared" si="137"/>
        <v/>
      </c>
      <c r="E308" s="52"/>
      <c r="F308" s="63" t="str">
        <f t="shared" si="138"/>
        <v/>
      </c>
      <c r="G308" s="56" t="str">
        <f t="shared" si="139"/>
        <v/>
      </c>
      <c r="H308" s="42"/>
      <c r="I308" s="2" t="str">
        <f t="shared" si="140"/>
        <v/>
      </c>
      <c r="J308" s="54" t="str">
        <f t="shared" si="127"/>
        <v/>
      </c>
      <c r="K308" s="55" t="str">
        <f t="shared" si="141"/>
        <v/>
      </c>
      <c r="L308" s="63" t="str">
        <f t="shared" si="142"/>
        <v/>
      </c>
      <c r="M308" s="96" t="str">
        <f t="shared" si="128"/>
        <v/>
      </c>
      <c r="N308" s="96" t="str">
        <f>IF(A308="","",IF(A308=Expiry,0,EXP(-q*Q308)*_xlfn.NORM.S.DIST(Y308,0)/(sigma*SQRT(Q308))*I308*Mult/100))</f>
        <v/>
      </c>
      <c r="O308" s="96" t="str">
        <f>IF(A308="","",IF(A308=Expiry,0,D308*E308*E308*EXP(-q*Q308)*_xlfn.NORM.S.DIST(Y308,0)*SQRT(Q308)/100))</f>
        <v/>
      </c>
      <c r="P308" s="69" t="str">
        <f>IF(A308="","",IF(A308=Expiry,0,AK308*I308*Mult*((-EXP(-q*Q308)*E308*_xlfn.NORM.S.DIST(Y308,0)*sigma/(2*SQRT(Q308))-r_dom*K*EXP(-r_dom*Q308)*_xlfn.NORM.S.DIST(Z308,1)+q*E308*EXP(-q*Q308)*_xlfn.NORM.S.DIST(Y308,1))/365)))</f>
        <v/>
      </c>
      <c r="Q308" s="83" t="str">
        <f t="shared" si="143"/>
        <v/>
      </c>
      <c r="R308" s="38"/>
      <c r="S308" s="68" t="str">
        <f t="shared" si="144"/>
        <v/>
      </c>
      <c r="T308" s="69" t="str">
        <f t="shared" si="145"/>
        <v/>
      </c>
      <c r="U308" s="70" t="str">
        <f t="shared" si="146"/>
        <v/>
      </c>
      <c r="V308" s="72" t="str">
        <f t="shared" si="147"/>
        <v/>
      </c>
      <c r="W308" s="2" t="str">
        <f t="shared" si="134"/>
        <v/>
      </c>
      <c r="X308" s="2" t="str">
        <f t="shared" si="129"/>
        <v/>
      </c>
      <c r="Y308" s="35" t="str">
        <f t="shared" ca="1" si="148"/>
        <v/>
      </c>
      <c r="Z308" s="36" t="str">
        <f t="shared" ca="1" si="149"/>
        <v/>
      </c>
      <c r="AA308" s="70" t="str">
        <f t="shared" si="150"/>
        <v/>
      </c>
      <c r="AB308" s="2"/>
      <c r="AC308" s="94" t="str">
        <f t="shared" si="130"/>
        <v/>
      </c>
      <c r="AD308" s="95" t="str">
        <f t="shared" si="131"/>
        <v/>
      </c>
      <c r="AE308" s="96" t="str">
        <f t="shared" si="132"/>
        <v/>
      </c>
      <c r="AF308" s="124" t="str">
        <f t="shared" si="133"/>
        <v/>
      </c>
      <c r="AG308" s="2"/>
      <c r="AH308" s="2"/>
      <c r="AI308" s="2"/>
      <c r="AJ308" s="2"/>
      <c r="AK308" s="2"/>
      <c r="AL308" s="2"/>
    </row>
    <row r="309" spans="1:38" x14ac:dyDescent="0.2">
      <c r="A309" s="45"/>
      <c r="B309" s="43" t="str">
        <f t="shared" si="136"/>
        <v/>
      </c>
      <c r="C309" s="96" t="str">
        <f t="shared" si="135"/>
        <v/>
      </c>
      <c r="D309" s="44" t="str">
        <f t="shared" si="137"/>
        <v/>
      </c>
      <c r="E309" s="52"/>
      <c r="F309" s="63" t="str">
        <f t="shared" si="138"/>
        <v/>
      </c>
      <c r="G309" s="56" t="str">
        <f t="shared" si="139"/>
        <v/>
      </c>
      <c r="H309" s="42"/>
      <c r="I309" s="2" t="str">
        <f t="shared" si="140"/>
        <v/>
      </c>
      <c r="J309" s="54" t="str">
        <f t="shared" si="127"/>
        <v/>
      </c>
      <c r="K309" s="55" t="str">
        <f t="shared" si="141"/>
        <v/>
      </c>
      <c r="L309" s="63" t="str">
        <f t="shared" si="142"/>
        <v/>
      </c>
      <c r="M309" s="96" t="str">
        <f t="shared" si="128"/>
        <v/>
      </c>
      <c r="N309" s="96" t="str">
        <f>IF(A309="","",IF(A309=Expiry,0,EXP(-q*Q309)*_xlfn.NORM.S.DIST(Y309,0)/(sigma*SQRT(Q309))*I309*Mult/100))</f>
        <v/>
      </c>
      <c r="O309" s="96" t="str">
        <f>IF(A309="","",IF(A309=Expiry,0,D309*E309*E309*EXP(-q*Q309)*_xlfn.NORM.S.DIST(Y309,0)*SQRT(Q309)/100))</f>
        <v/>
      </c>
      <c r="P309" s="69" t="str">
        <f>IF(A309="","",IF(A309=Expiry,0,AK309*I309*Mult*((-EXP(-q*Q309)*E309*_xlfn.NORM.S.DIST(Y309,0)*sigma/(2*SQRT(Q309))-r_dom*K*EXP(-r_dom*Q309)*_xlfn.NORM.S.DIST(Z309,1)+q*E309*EXP(-q*Q309)*_xlfn.NORM.S.DIST(Y309,1))/365)))</f>
        <v/>
      </c>
      <c r="Q309" s="83" t="str">
        <f t="shared" si="143"/>
        <v/>
      </c>
      <c r="R309" s="38"/>
      <c r="S309" s="68" t="str">
        <f t="shared" si="144"/>
        <v/>
      </c>
      <c r="T309" s="69" t="str">
        <f t="shared" si="145"/>
        <v/>
      </c>
      <c r="U309" s="70" t="str">
        <f t="shared" si="146"/>
        <v/>
      </c>
      <c r="V309" s="72" t="str">
        <f t="shared" si="147"/>
        <v/>
      </c>
      <c r="W309" s="2" t="str">
        <f t="shared" si="134"/>
        <v/>
      </c>
      <c r="X309" s="2" t="str">
        <f t="shared" si="129"/>
        <v/>
      </c>
      <c r="Y309" s="35" t="str">
        <f t="shared" ca="1" si="148"/>
        <v/>
      </c>
      <c r="Z309" s="36" t="str">
        <f t="shared" ca="1" si="149"/>
        <v/>
      </c>
      <c r="AA309" s="70" t="str">
        <f t="shared" si="150"/>
        <v/>
      </c>
      <c r="AB309" s="2"/>
      <c r="AC309" s="94" t="str">
        <f t="shared" si="130"/>
        <v/>
      </c>
      <c r="AD309" s="95" t="str">
        <f t="shared" si="131"/>
        <v/>
      </c>
      <c r="AE309" s="96" t="str">
        <f t="shared" si="132"/>
        <v/>
      </c>
      <c r="AF309" s="124" t="str">
        <f t="shared" si="133"/>
        <v/>
      </c>
      <c r="AG309" s="2"/>
      <c r="AH309" s="2"/>
      <c r="AI309" s="2"/>
      <c r="AJ309" s="2"/>
      <c r="AK309" s="2"/>
      <c r="AL309" s="2"/>
    </row>
    <row r="310" spans="1:38" x14ac:dyDescent="0.2">
      <c r="A310" s="45"/>
      <c r="B310" s="43" t="str">
        <f t="shared" si="136"/>
        <v/>
      </c>
      <c r="C310" s="96" t="str">
        <f t="shared" si="135"/>
        <v/>
      </c>
      <c r="D310" s="44" t="str">
        <f t="shared" si="137"/>
        <v/>
      </c>
      <c r="E310" s="52"/>
      <c r="F310" s="63" t="str">
        <f t="shared" si="138"/>
        <v/>
      </c>
      <c r="G310" s="56" t="str">
        <f t="shared" si="139"/>
        <v/>
      </c>
      <c r="H310" s="42"/>
      <c r="I310" s="2" t="str">
        <f t="shared" si="140"/>
        <v/>
      </c>
      <c r="J310" s="54" t="str">
        <f t="shared" si="127"/>
        <v/>
      </c>
      <c r="K310" s="55" t="str">
        <f t="shared" si="141"/>
        <v/>
      </c>
      <c r="L310" s="63" t="str">
        <f t="shared" si="142"/>
        <v/>
      </c>
      <c r="M310" s="96" t="str">
        <f t="shared" si="128"/>
        <v/>
      </c>
      <c r="N310" s="96" t="str">
        <f>IF(A310="","",IF(A310=Expiry,0,EXP(-q*Q310)*_xlfn.NORM.S.DIST(Y310,0)/(sigma*SQRT(Q310))*I310*Mult/100))</f>
        <v/>
      </c>
      <c r="O310" s="96" t="str">
        <f>IF(A310="","",IF(A310=Expiry,0,D310*E310*E310*EXP(-q*Q310)*_xlfn.NORM.S.DIST(Y310,0)*SQRT(Q310)/100))</f>
        <v/>
      </c>
      <c r="P310" s="69" t="str">
        <f>IF(A310="","",IF(A310=Expiry,0,AK310*I310*Mult*((-EXP(-q*Q310)*E310*_xlfn.NORM.S.DIST(Y310,0)*sigma/(2*SQRT(Q310))-r_dom*K*EXP(-r_dom*Q310)*_xlfn.NORM.S.DIST(Z310,1)+q*E310*EXP(-q*Q310)*_xlfn.NORM.S.DIST(Y310,1))/365)))</f>
        <v/>
      </c>
      <c r="Q310" s="83" t="str">
        <f t="shared" si="143"/>
        <v/>
      </c>
      <c r="R310" s="38"/>
      <c r="S310" s="68" t="str">
        <f t="shared" si="144"/>
        <v/>
      </c>
      <c r="T310" s="69" t="str">
        <f t="shared" si="145"/>
        <v/>
      </c>
      <c r="U310" s="70" t="str">
        <f t="shared" si="146"/>
        <v/>
      </c>
      <c r="V310" s="72" t="str">
        <f t="shared" si="147"/>
        <v/>
      </c>
      <c r="W310" s="2" t="str">
        <f t="shared" si="134"/>
        <v/>
      </c>
      <c r="X310" s="2" t="str">
        <f t="shared" si="129"/>
        <v/>
      </c>
      <c r="Y310" s="35" t="str">
        <f t="shared" ca="1" si="148"/>
        <v/>
      </c>
      <c r="Z310" s="36" t="str">
        <f t="shared" ca="1" si="149"/>
        <v/>
      </c>
      <c r="AA310" s="70" t="str">
        <f t="shared" si="150"/>
        <v/>
      </c>
      <c r="AB310" s="2"/>
      <c r="AC310" s="94" t="str">
        <f t="shared" si="130"/>
        <v/>
      </c>
      <c r="AD310" s="95" t="str">
        <f t="shared" si="131"/>
        <v/>
      </c>
      <c r="AE310" s="96" t="str">
        <f t="shared" si="132"/>
        <v/>
      </c>
      <c r="AF310" s="124" t="str">
        <f t="shared" si="133"/>
        <v/>
      </c>
      <c r="AG310" s="2"/>
      <c r="AH310" s="2"/>
      <c r="AI310" s="2"/>
      <c r="AJ310" s="2"/>
      <c r="AK310" s="2"/>
      <c r="AL310" s="2"/>
    </row>
    <row r="311" spans="1:38" x14ac:dyDescent="0.2">
      <c r="A311" s="45"/>
      <c r="B311" s="43" t="str">
        <f t="shared" si="136"/>
        <v/>
      </c>
      <c r="C311" s="96" t="str">
        <f t="shared" si="135"/>
        <v/>
      </c>
      <c r="D311" s="44" t="str">
        <f t="shared" si="137"/>
        <v/>
      </c>
      <c r="E311" s="52"/>
      <c r="F311" s="63" t="str">
        <f t="shared" si="138"/>
        <v/>
      </c>
      <c r="G311" s="56" t="str">
        <f t="shared" si="139"/>
        <v/>
      </c>
      <c r="H311" s="42"/>
      <c r="I311" s="2" t="str">
        <f t="shared" si="140"/>
        <v/>
      </c>
      <c r="J311" s="54" t="str">
        <f t="shared" si="127"/>
        <v/>
      </c>
      <c r="K311" s="55" t="str">
        <f t="shared" si="141"/>
        <v/>
      </c>
      <c r="L311" s="63" t="str">
        <f t="shared" si="142"/>
        <v/>
      </c>
      <c r="M311" s="96" t="str">
        <f t="shared" si="128"/>
        <v/>
      </c>
      <c r="N311" s="96" t="str">
        <f>IF(A311="","",IF(A311=Expiry,0,EXP(-q*Q311)*_xlfn.NORM.S.DIST(Y311,0)/(sigma*SQRT(Q311))*I311*Mult/100))</f>
        <v/>
      </c>
      <c r="O311" s="96" t="str">
        <f>IF(A311="","",IF(A311=Expiry,0,D311*E311*E311*EXP(-q*Q311)*_xlfn.NORM.S.DIST(Y311,0)*SQRT(Q311)/100))</f>
        <v/>
      </c>
      <c r="P311" s="69" t="str">
        <f>IF(A311="","",IF(A311=Expiry,0,AK311*I311*Mult*((-EXP(-q*Q311)*E311*_xlfn.NORM.S.DIST(Y311,0)*sigma/(2*SQRT(Q311))-r_dom*K*EXP(-r_dom*Q311)*_xlfn.NORM.S.DIST(Z311,1)+q*E311*EXP(-q*Q311)*_xlfn.NORM.S.DIST(Y311,1))/365)))</f>
        <v/>
      </c>
      <c r="Q311" s="83" t="str">
        <f t="shared" si="143"/>
        <v/>
      </c>
      <c r="R311" s="38"/>
      <c r="S311" s="68" t="str">
        <f t="shared" si="144"/>
        <v/>
      </c>
      <c r="T311" s="69" t="str">
        <f t="shared" si="145"/>
        <v/>
      </c>
      <c r="U311" s="70" t="str">
        <f t="shared" si="146"/>
        <v/>
      </c>
      <c r="V311" s="72" t="str">
        <f t="shared" si="147"/>
        <v/>
      </c>
      <c r="W311" s="2" t="str">
        <f t="shared" si="134"/>
        <v/>
      </c>
      <c r="X311" s="2" t="str">
        <f t="shared" si="129"/>
        <v/>
      </c>
      <c r="Y311" s="35" t="str">
        <f t="shared" ca="1" si="148"/>
        <v/>
      </c>
      <c r="Z311" s="36" t="str">
        <f t="shared" ca="1" si="149"/>
        <v/>
      </c>
      <c r="AA311" s="70" t="str">
        <f t="shared" si="150"/>
        <v/>
      </c>
      <c r="AB311" s="2"/>
      <c r="AC311" s="94" t="str">
        <f t="shared" si="130"/>
        <v/>
      </c>
      <c r="AD311" s="95" t="str">
        <f t="shared" si="131"/>
        <v/>
      </c>
      <c r="AE311" s="96" t="str">
        <f t="shared" si="132"/>
        <v/>
      </c>
      <c r="AF311" s="124" t="str">
        <f t="shared" si="133"/>
        <v/>
      </c>
      <c r="AG311" s="2"/>
      <c r="AH311" s="2"/>
      <c r="AI311" s="2"/>
      <c r="AJ311" s="2"/>
      <c r="AK311" s="2"/>
      <c r="AL311" s="2"/>
    </row>
    <row r="312" spans="1:38" x14ac:dyDescent="0.2">
      <c r="A312" s="45"/>
      <c r="B312" s="43" t="str">
        <f t="shared" si="136"/>
        <v/>
      </c>
      <c r="C312" s="96" t="str">
        <f t="shared" si="135"/>
        <v/>
      </c>
      <c r="D312" s="44" t="str">
        <f t="shared" si="137"/>
        <v/>
      </c>
      <c r="E312" s="52"/>
      <c r="F312" s="63" t="str">
        <f t="shared" si="138"/>
        <v/>
      </c>
      <c r="G312" s="56" t="str">
        <f t="shared" si="139"/>
        <v/>
      </c>
      <c r="H312" s="42"/>
      <c r="I312" s="2" t="str">
        <f t="shared" si="140"/>
        <v/>
      </c>
      <c r="J312" s="54" t="str">
        <f t="shared" si="127"/>
        <v/>
      </c>
      <c r="K312" s="55" t="str">
        <f t="shared" si="141"/>
        <v/>
      </c>
      <c r="L312" s="63" t="str">
        <f t="shared" si="142"/>
        <v/>
      </c>
      <c r="M312" s="96" t="str">
        <f t="shared" si="128"/>
        <v/>
      </c>
      <c r="N312" s="96" t="str">
        <f>IF(A312="","",IF(A312=Expiry,0,EXP(-q*Q312)*_xlfn.NORM.S.DIST(Y312,0)/(sigma*SQRT(Q312))*I312*Mult/100))</f>
        <v/>
      </c>
      <c r="O312" s="96" t="str">
        <f>IF(A312="","",IF(A312=Expiry,0,D312*E312*E312*EXP(-q*Q312)*_xlfn.NORM.S.DIST(Y312,0)*SQRT(Q312)/100))</f>
        <v/>
      </c>
      <c r="P312" s="69" t="str">
        <f>IF(A312="","",IF(A312=Expiry,0,AK312*I312*Mult*((-EXP(-q*Q312)*E312*_xlfn.NORM.S.DIST(Y312,0)*sigma/(2*SQRT(Q312))-r_dom*K*EXP(-r_dom*Q312)*_xlfn.NORM.S.DIST(Z312,1)+q*E312*EXP(-q*Q312)*_xlfn.NORM.S.DIST(Y312,1))/365)))</f>
        <v/>
      </c>
      <c r="Q312" s="83" t="str">
        <f t="shared" si="143"/>
        <v/>
      </c>
      <c r="R312" s="38"/>
      <c r="S312" s="68" t="str">
        <f t="shared" si="144"/>
        <v/>
      </c>
      <c r="T312" s="69" t="str">
        <f t="shared" si="145"/>
        <v/>
      </c>
      <c r="U312" s="70" t="str">
        <f t="shared" si="146"/>
        <v/>
      </c>
      <c r="V312" s="72" t="str">
        <f t="shared" si="147"/>
        <v/>
      </c>
      <c r="W312" s="2" t="str">
        <f t="shared" si="134"/>
        <v/>
      </c>
      <c r="X312" s="2" t="str">
        <f t="shared" si="129"/>
        <v/>
      </c>
      <c r="Y312" s="35" t="str">
        <f t="shared" ca="1" si="148"/>
        <v/>
      </c>
      <c r="Z312" s="36" t="str">
        <f t="shared" ca="1" si="149"/>
        <v/>
      </c>
      <c r="AA312" s="70" t="str">
        <f t="shared" si="150"/>
        <v/>
      </c>
      <c r="AB312" s="2"/>
      <c r="AC312" s="94" t="str">
        <f t="shared" si="130"/>
        <v/>
      </c>
      <c r="AD312" s="95" t="str">
        <f t="shared" si="131"/>
        <v/>
      </c>
      <c r="AE312" s="96" t="str">
        <f t="shared" si="132"/>
        <v/>
      </c>
      <c r="AF312" s="124" t="str">
        <f t="shared" si="133"/>
        <v/>
      </c>
      <c r="AG312" s="2"/>
      <c r="AH312" s="2"/>
      <c r="AI312" s="2"/>
      <c r="AJ312" s="2"/>
      <c r="AK312" s="2"/>
      <c r="AL312" s="2"/>
    </row>
    <row r="313" spans="1:38" x14ac:dyDescent="0.2">
      <c r="A313" s="45"/>
      <c r="B313" s="43" t="str">
        <f t="shared" si="136"/>
        <v/>
      </c>
      <c r="C313" s="96" t="str">
        <f t="shared" si="135"/>
        <v/>
      </c>
      <c r="D313" s="44" t="str">
        <f t="shared" si="137"/>
        <v/>
      </c>
      <c r="E313" s="52"/>
      <c r="F313" s="63" t="str">
        <f t="shared" si="138"/>
        <v/>
      </c>
      <c r="G313" s="56" t="str">
        <f t="shared" si="139"/>
        <v/>
      </c>
      <c r="H313" s="42"/>
      <c r="I313" s="2" t="str">
        <f t="shared" si="140"/>
        <v/>
      </c>
      <c r="J313" s="54" t="str">
        <f t="shared" si="127"/>
        <v/>
      </c>
      <c r="K313" s="55" t="str">
        <f t="shared" si="141"/>
        <v/>
      </c>
      <c r="L313" s="63" t="str">
        <f t="shared" si="142"/>
        <v/>
      </c>
      <c r="M313" s="96" t="str">
        <f t="shared" si="128"/>
        <v/>
      </c>
      <c r="N313" s="96" t="str">
        <f>IF(A313="","",IF(A313=Expiry,0,EXP(-q*Q313)*_xlfn.NORM.S.DIST(Y313,0)/(sigma*SQRT(Q313))*I313*Mult/100))</f>
        <v/>
      </c>
      <c r="O313" s="96" t="str">
        <f>IF(A313="","",IF(A313=Expiry,0,D313*E313*E313*EXP(-q*Q313)*_xlfn.NORM.S.DIST(Y313,0)*SQRT(Q313)/100))</f>
        <v/>
      </c>
      <c r="P313" s="69" t="str">
        <f>IF(A313="","",IF(A313=Expiry,0,AK313*I313*Mult*((-EXP(-q*Q313)*E313*_xlfn.NORM.S.DIST(Y313,0)*sigma/(2*SQRT(Q313))-r_dom*K*EXP(-r_dom*Q313)*_xlfn.NORM.S.DIST(Z313,1)+q*E313*EXP(-q*Q313)*_xlfn.NORM.S.DIST(Y313,1))/365)))</f>
        <v/>
      </c>
      <c r="Q313" s="83" t="str">
        <f t="shared" si="143"/>
        <v/>
      </c>
      <c r="R313" s="38"/>
      <c r="S313" s="68" t="str">
        <f t="shared" si="144"/>
        <v/>
      </c>
      <c r="T313" s="69" t="str">
        <f t="shared" si="145"/>
        <v/>
      </c>
      <c r="U313" s="70" t="str">
        <f t="shared" si="146"/>
        <v/>
      </c>
      <c r="V313" s="72" t="str">
        <f t="shared" si="147"/>
        <v/>
      </c>
      <c r="W313" s="2" t="str">
        <f t="shared" si="134"/>
        <v/>
      </c>
      <c r="X313" s="2" t="str">
        <f t="shared" si="129"/>
        <v/>
      </c>
      <c r="Y313" s="35" t="str">
        <f t="shared" ca="1" si="148"/>
        <v/>
      </c>
      <c r="Z313" s="36" t="str">
        <f t="shared" ca="1" si="149"/>
        <v/>
      </c>
      <c r="AA313" s="70" t="str">
        <f t="shared" si="150"/>
        <v/>
      </c>
      <c r="AB313" s="2"/>
      <c r="AC313" s="94" t="str">
        <f t="shared" si="130"/>
        <v/>
      </c>
      <c r="AD313" s="95" t="str">
        <f t="shared" si="131"/>
        <v/>
      </c>
      <c r="AE313" s="96" t="str">
        <f t="shared" si="132"/>
        <v/>
      </c>
      <c r="AF313" s="124" t="str">
        <f t="shared" si="133"/>
        <v/>
      </c>
      <c r="AG313" s="2"/>
      <c r="AH313" s="2"/>
      <c r="AI313" s="2"/>
      <c r="AJ313" s="2"/>
      <c r="AK313" s="2"/>
      <c r="AL313" s="2"/>
    </row>
    <row r="314" spans="1:38" x14ac:dyDescent="0.2">
      <c r="A314" s="45"/>
      <c r="B314" s="43" t="str">
        <f t="shared" si="136"/>
        <v/>
      </c>
      <c r="C314" s="96" t="str">
        <f t="shared" si="135"/>
        <v/>
      </c>
      <c r="D314" s="44" t="str">
        <f t="shared" si="137"/>
        <v/>
      </c>
      <c r="E314" s="52"/>
      <c r="F314" s="63" t="str">
        <f t="shared" si="138"/>
        <v/>
      </c>
      <c r="G314" s="56" t="str">
        <f t="shared" si="139"/>
        <v/>
      </c>
      <c r="H314" s="42"/>
      <c r="I314" s="2" t="str">
        <f t="shared" si="140"/>
        <v/>
      </c>
      <c r="J314" s="54" t="str">
        <f t="shared" si="127"/>
        <v/>
      </c>
      <c r="K314" s="55" t="str">
        <f t="shared" si="141"/>
        <v/>
      </c>
      <c r="L314" s="63" t="str">
        <f t="shared" si="142"/>
        <v/>
      </c>
      <c r="M314" s="96" t="str">
        <f t="shared" si="128"/>
        <v/>
      </c>
      <c r="N314" s="96" t="str">
        <f>IF(A314="","",IF(A314=Expiry,0,EXP(-q*Q314)*_xlfn.NORM.S.DIST(Y314,0)/(sigma*SQRT(Q314))*I314*Mult/100))</f>
        <v/>
      </c>
      <c r="O314" s="96" t="str">
        <f>IF(A314="","",IF(A314=Expiry,0,D314*E314*E314*EXP(-q*Q314)*_xlfn.NORM.S.DIST(Y314,0)*SQRT(Q314)/100))</f>
        <v/>
      </c>
      <c r="P314" s="69" t="str">
        <f>IF(A314="","",IF(A314=Expiry,0,AK314*I314*Mult*((-EXP(-q*Q314)*E314*_xlfn.NORM.S.DIST(Y314,0)*sigma/(2*SQRT(Q314))-r_dom*K*EXP(-r_dom*Q314)*_xlfn.NORM.S.DIST(Z314,1)+q*E314*EXP(-q*Q314)*_xlfn.NORM.S.DIST(Y314,1))/365)))</f>
        <v/>
      </c>
      <c r="Q314" s="83" t="str">
        <f t="shared" si="143"/>
        <v/>
      </c>
      <c r="R314" s="38"/>
      <c r="S314" s="68" t="str">
        <f t="shared" si="144"/>
        <v/>
      </c>
      <c r="T314" s="69" t="str">
        <f t="shared" si="145"/>
        <v/>
      </c>
      <c r="U314" s="70" t="str">
        <f t="shared" si="146"/>
        <v/>
      </c>
      <c r="V314" s="72" t="str">
        <f t="shared" si="147"/>
        <v/>
      </c>
      <c r="W314" s="2" t="str">
        <f t="shared" si="134"/>
        <v/>
      </c>
      <c r="X314" s="2" t="str">
        <f t="shared" si="129"/>
        <v/>
      </c>
      <c r="Y314" s="35" t="str">
        <f t="shared" ca="1" si="148"/>
        <v/>
      </c>
      <c r="Z314" s="36" t="str">
        <f t="shared" ca="1" si="149"/>
        <v/>
      </c>
      <c r="AA314" s="70" t="str">
        <f t="shared" si="150"/>
        <v/>
      </c>
      <c r="AB314" s="2"/>
      <c r="AC314" s="94" t="str">
        <f t="shared" si="130"/>
        <v/>
      </c>
      <c r="AD314" s="95" t="str">
        <f t="shared" si="131"/>
        <v/>
      </c>
      <c r="AE314" s="96" t="str">
        <f t="shared" si="132"/>
        <v/>
      </c>
      <c r="AF314" s="124" t="str">
        <f t="shared" si="133"/>
        <v/>
      </c>
      <c r="AG314" s="2"/>
      <c r="AH314" s="2"/>
      <c r="AI314" s="2"/>
      <c r="AJ314" s="2"/>
      <c r="AK314" s="2"/>
      <c r="AL314" s="2"/>
    </row>
    <row r="315" spans="1:38" x14ac:dyDescent="0.2">
      <c r="A315" s="45"/>
      <c r="B315" s="43" t="str">
        <f t="shared" si="136"/>
        <v/>
      </c>
      <c r="C315" s="96" t="str">
        <f t="shared" si="135"/>
        <v/>
      </c>
      <c r="D315" s="44" t="str">
        <f t="shared" si="137"/>
        <v/>
      </c>
      <c r="E315" s="52"/>
      <c r="F315" s="63" t="str">
        <f t="shared" si="138"/>
        <v/>
      </c>
      <c r="G315" s="56" t="str">
        <f t="shared" si="139"/>
        <v/>
      </c>
      <c r="H315" s="42"/>
      <c r="I315" s="2" t="str">
        <f t="shared" si="140"/>
        <v/>
      </c>
      <c r="J315" s="54" t="str">
        <f t="shared" si="127"/>
        <v/>
      </c>
      <c r="K315" s="55" t="str">
        <f t="shared" si="141"/>
        <v/>
      </c>
      <c r="L315" s="63" t="str">
        <f t="shared" si="142"/>
        <v/>
      </c>
      <c r="M315" s="96" t="str">
        <f t="shared" si="128"/>
        <v/>
      </c>
      <c r="N315" s="96" t="str">
        <f>IF(A315="","",IF(A315=Expiry,0,EXP(-q*Q315)*_xlfn.NORM.S.DIST(Y315,0)/(sigma*SQRT(Q315))*I315*Mult/100))</f>
        <v/>
      </c>
      <c r="O315" s="96" t="str">
        <f>IF(A315="","",IF(A315=Expiry,0,D315*E315*E315*EXP(-q*Q315)*_xlfn.NORM.S.DIST(Y315,0)*SQRT(Q315)/100))</f>
        <v/>
      </c>
      <c r="P315" s="69" t="str">
        <f>IF(A315="","",IF(A315=Expiry,0,AK315*I315*Mult*((-EXP(-q*Q315)*E315*_xlfn.NORM.S.DIST(Y315,0)*sigma/(2*SQRT(Q315))-r_dom*K*EXP(-r_dom*Q315)*_xlfn.NORM.S.DIST(Z315,1)+q*E315*EXP(-q*Q315)*_xlfn.NORM.S.DIST(Y315,1))/365)))</f>
        <v/>
      </c>
      <c r="Q315" s="83" t="str">
        <f t="shared" si="143"/>
        <v/>
      </c>
      <c r="R315" s="38"/>
      <c r="S315" s="68" t="str">
        <f t="shared" si="144"/>
        <v/>
      </c>
      <c r="T315" s="69" t="str">
        <f t="shared" si="145"/>
        <v/>
      </c>
      <c r="U315" s="70" t="str">
        <f t="shared" si="146"/>
        <v/>
      </c>
      <c r="V315" s="72" t="str">
        <f t="shared" si="147"/>
        <v/>
      </c>
      <c r="W315" s="2" t="str">
        <f t="shared" si="134"/>
        <v/>
      </c>
      <c r="X315" s="2" t="str">
        <f t="shared" si="129"/>
        <v/>
      </c>
      <c r="Y315" s="35" t="str">
        <f t="shared" ca="1" si="148"/>
        <v/>
      </c>
      <c r="Z315" s="36" t="str">
        <f t="shared" ca="1" si="149"/>
        <v/>
      </c>
      <c r="AA315" s="70" t="str">
        <f t="shared" si="150"/>
        <v/>
      </c>
      <c r="AB315" s="2"/>
      <c r="AC315" s="94" t="str">
        <f t="shared" si="130"/>
        <v/>
      </c>
      <c r="AD315" s="95" t="str">
        <f t="shared" si="131"/>
        <v/>
      </c>
      <c r="AE315" s="96" t="str">
        <f t="shared" si="132"/>
        <v/>
      </c>
      <c r="AF315" s="124" t="str">
        <f t="shared" si="133"/>
        <v/>
      </c>
      <c r="AG315" s="2"/>
      <c r="AH315" s="2"/>
      <c r="AI315" s="2"/>
      <c r="AJ315" s="2"/>
      <c r="AK315" s="2"/>
      <c r="AL315" s="2"/>
    </row>
    <row r="316" spans="1:38" x14ac:dyDescent="0.2">
      <c r="A316" s="45"/>
      <c r="B316" s="43" t="str">
        <f t="shared" si="136"/>
        <v/>
      </c>
      <c r="C316" s="96" t="str">
        <f t="shared" si="135"/>
        <v/>
      </c>
      <c r="D316" s="44" t="str">
        <f t="shared" si="137"/>
        <v/>
      </c>
      <c r="E316" s="52"/>
      <c r="F316" s="63" t="str">
        <f t="shared" si="138"/>
        <v/>
      </c>
      <c r="G316" s="56" t="str">
        <f t="shared" si="139"/>
        <v/>
      </c>
      <c r="H316" s="42"/>
      <c r="I316" s="2" t="str">
        <f t="shared" si="140"/>
        <v/>
      </c>
      <c r="J316" s="54" t="str">
        <f t="shared" si="127"/>
        <v/>
      </c>
      <c r="K316" s="55" t="str">
        <f t="shared" si="141"/>
        <v/>
      </c>
      <c r="L316" s="63" t="str">
        <f t="shared" si="142"/>
        <v/>
      </c>
      <c r="M316" s="96" t="str">
        <f t="shared" si="128"/>
        <v/>
      </c>
      <c r="N316" s="96" t="str">
        <f>IF(A316="","",IF(A316=Expiry,0,EXP(-q*Q316)*_xlfn.NORM.S.DIST(Y316,0)/(sigma*SQRT(Q316))*I316*Mult/100))</f>
        <v/>
      </c>
      <c r="O316" s="96" t="str">
        <f>IF(A316="","",IF(A316=Expiry,0,D316*E316*E316*EXP(-q*Q316)*_xlfn.NORM.S.DIST(Y316,0)*SQRT(Q316)/100))</f>
        <v/>
      </c>
      <c r="P316" s="69" t="str">
        <f>IF(A316="","",IF(A316=Expiry,0,AK316*I316*Mult*((-EXP(-q*Q316)*E316*_xlfn.NORM.S.DIST(Y316,0)*sigma/(2*SQRT(Q316))-r_dom*K*EXP(-r_dom*Q316)*_xlfn.NORM.S.DIST(Z316,1)+q*E316*EXP(-q*Q316)*_xlfn.NORM.S.DIST(Y316,1))/365)))</f>
        <v/>
      </c>
      <c r="Q316" s="83" t="str">
        <f t="shared" si="143"/>
        <v/>
      </c>
      <c r="R316" s="38"/>
      <c r="S316" s="68" t="str">
        <f t="shared" si="144"/>
        <v/>
      </c>
      <c r="T316" s="69" t="str">
        <f t="shared" si="145"/>
        <v/>
      </c>
      <c r="U316" s="70" t="str">
        <f t="shared" si="146"/>
        <v/>
      </c>
      <c r="V316" s="72" t="str">
        <f t="shared" si="147"/>
        <v/>
      </c>
      <c r="W316" s="2" t="str">
        <f t="shared" si="134"/>
        <v/>
      </c>
      <c r="X316" s="2" t="str">
        <f t="shared" si="129"/>
        <v/>
      </c>
      <c r="Y316" s="35" t="str">
        <f t="shared" ca="1" si="148"/>
        <v/>
      </c>
      <c r="Z316" s="36" t="str">
        <f t="shared" ca="1" si="149"/>
        <v/>
      </c>
      <c r="AA316" s="70" t="str">
        <f t="shared" si="150"/>
        <v/>
      </c>
      <c r="AB316" s="2"/>
      <c r="AC316" s="94" t="str">
        <f t="shared" si="130"/>
        <v/>
      </c>
      <c r="AD316" s="95" t="str">
        <f t="shared" si="131"/>
        <v/>
      </c>
      <c r="AE316" s="96" t="str">
        <f t="shared" si="132"/>
        <v/>
      </c>
      <c r="AF316" s="124" t="str">
        <f t="shared" si="133"/>
        <v/>
      </c>
      <c r="AG316" s="2"/>
      <c r="AH316" s="2"/>
      <c r="AI316" s="2"/>
      <c r="AJ316" s="2"/>
      <c r="AK316" s="2"/>
      <c r="AL316" s="2"/>
    </row>
    <row r="317" spans="1:38" x14ac:dyDescent="0.2">
      <c r="A317" s="45"/>
      <c r="B317" s="43" t="str">
        <f t="shared" si="136"/>
        <v/>
      </c>
      <c r="C317" s="96" t="str">
        <f t="shared" si="135"/>
        <v/>
      </c>
      <c r="D317" s="44" t="str">
        <f t="shared" si="137"/>
        <v/>
      </c>
      <c r="E317" s="52"/>
      <c r="F317" s="63" t="str">
        <f t="shared" si="138"/>
        <v/>
      </c>
      <c r="G317" s="56" t="str">
        <f t="shared" si="139"/>
        <v/>
      </c>
      <c r="H317" s="42"/>
      <c r="I317" s="2" t="str">
        <f t="shared" si="140"/>
        <v/>
      </c>
      <c r="J317" s="54" t="str">
        <f t="shared" si="127"/>
        <v/>
      </c>
      <c r="K317" s="55" t="str">
        <f t="shared" si="141"/>
        <v/>
      </c>
      <c r="L317" s="63" t="str">
        <f t="shared" si="142"/>
        <v/>
      </c>
      <c r="M317" s="96" t="str">
        <f t="shared" si="128"/>
        <v/>
      </c>
      <c r="N317" s="96" t="str">
        <f>IF(A317="","",IF(A317=Expiry,0,EXP(-q*Q317)*_xlfn.NORM.S.DIST(Y317,0)/(sigma*SQRT(Q317))*I317*Mult/100))</f>
        <v/>
      </c>
      <c r="O317" s="96" t="str">
        <f>IF(A317="","",IF(A317=Expiry,0,D317*E317*E317*EXP(-q*Q317)*_xlfn.NORM.S.DIST(Y317,0)*SQRT(Q317)/100))</f>
        <v/>
      </c>
      <c r="P317" s="69" t="str">
        <f>IF(A317="","",IF(A317=Expiry,0,AK317*I317*Mult*((-EXP(-q*Q317)*E317*_xlfn.NORM.S.DIST(Y317,0)*sigma/(2*SQRT(Q317))-r_dom*K*EXP(-r_dom*Q317)*_xlfn.NORM.S.DIST(Z317,1)+q*E317*EXP(-q*Q317)*_xlfn.NORM.S.DIST(Y317,1))/365)))</f>
        <v/>
      </c>
      <c r="Q317" s="83" t="str">
        <f t="shared" si="143"/>
        <v/>
      </c>
      <c r="R317" s="38"/>
      <c r="S317" s="68" t="str">
        <f t="shared" si="144"/>
        <v/>
      </c>
      <c r="T317" s="69" t="str">
        <f t="shared" si="145"/>
        <v/>
      </c>
      <c r="U317" s="70" t="str">
        <f t="shared" si="146"/>
        <v/>
      </c>
      <c r="V317" s="72" t="str">
        <f t="shared" si="147"/>
        <v/>
      </c>
      <c r="W317" s="2" t="str">
        <f t="shared" si="134"/>
        <v/>
      </c>
      <c r="X317" s="2" t="str">
        <f t="shared" si="129"/>
        <v/>
      </c>
      <c r="Y317" s="35" t="str">
        <f t="shared" ca="1" si="148"/>
        <v/>
      </c>
      <c r="Z317" s="36" t="str">
        <f t="shared" ca="1" si="149"/>
        <v/>
      </c>
      <c r="AA317" s="70" t="str">
        <f t="shared" si="150"/>
        <v/>
      </c>
      <c r="AB317" s="2"/>
      <c r="AC317" s="94" t="str">
        <f t="shared" si="130"/>
        <v/>
      </c>
      <c r="AD317" s="95" t="str">
        <f t="shared" si="131"/>
        <v/>
      </c>
      <c r="AE317" s="96" t="str">
        <f t="shared" si="132"/>
        <v/>
      </c>
      <c r="AF317" s="124" t="str">
        <f t="shared" si="133"/>
        <v/>
      </c>
      <c r="AG317" s="2"/>
      <c r="AH317" s="2"/>
      <c r="AI317" s="2"/>
      <c r="AJ317" s="2"/>
      <c r="AK317" s="2"/>
      <c r="AL317" s="2"/>
    </row>
    <row r="318" spans="1:38" x14ac:dyDescent="0.2">
      <c r="A318" s="45"/>
      <c r="B318" s="43" t="str">
        <f t="shared" si="136"/>
        <v/>
      </c>
      <c r="C318" s="96" t="str">
        <f t="shared" si="135"/>
        <v/>
      </c>
      <c r="D318" s="44" t="str">
        <f t="shared" si="137"/>
        <v/>
      </c>
      <c r="E318" s="52"/>
      <c r="F318" s="63" t="str">
        <f t="shared" si="138"/>
        <v/>
      </c>
      <c r="G318" s="56" t="str">
        <f t="shared" si="139"/>
        <v/>
      </c>
      <c r="H318" s="42"/>
      <c r="I318" s="2" t="str">
        <f t="shared" si="140"/>
        <v/>
      </c>
      <c r="J318" s="54" t="str">
        <f t="shared" si="127"/>
        <v/>
      </c>
      <c r="K318" s="55" t="str">
        <f t="shared" si="141"/>
        <v/>
      </c>
      <c r="L318" s="63" t="str">
        <f t="shared" si="142"/>
        <v/>
      </c>
      <c r="M318" s="96" t="str">
        <f t="shared" si="128"/>
        <v/>
      </c>
      <c r="N318" s="96" t="str">
        <f>IF(A318="","",IF(A318=Expiry,0,EXP(-q*Q318)*_xlfn.NORM.S.DIST(Y318,0)/(sigma*SQRT(Q318))*I318*Mult/100))</f>
        <v/>
      </c>
      <c r="O318" s="96" t="str">
        <f>IF(A318="","",IF(A318=Expiry,0,D318*E318*E318*EXP(-q*Q318)*_xlfn.NORM.S.DIST(Y318,0)*SQRT(Q318)/100))</f>
        <v/>
      </c>
      <c r="P318" s="69" t="str">
        <f>IF(A318="","",IF(A318=Expiry,0,AK318*I318*Mult*((-EXP(-q*Q318)*E318*_xlfn.NORM.S.DIST(Y318,0)*sigma/(2*SQRT(Q318))-r_dom*K*EXP(-r_dom*Q318)*_xlfn.NORM.S.DIST(Z318,1)+q*E318*EXP(-q*Q318)*_xlfn.NORM.S.DIST(Y318,1))/365)))</f>
        <v/>
      </c>
      <c r="Q318" s="83" t="str">
        <f t="shared" si="143"/>
        <v/>
      </c>
      <c r="R318" s="38"/>
      <c r="S318" s="68" t="str">
        <f t="shared" si="144"/>
        <v/>
      </c>
      <c r="T318" s="69" t="str">
        <f t="shared" si="145"/>
        <v/>
      </c>
      <c r="U318" s="70" t="str">
        <f t="shared" si="146"/>
        <v/>
      </c>
      <c r="V318" s="72" t="str">
        <f t="shared" si="147"/>
        <v/>
      </c>
      <c r="W318" s="2" t="str">
        <f t="shared" si="134"/>
        <v/>
      </c>
      <c r="X318" s="2" t="str">
        <f t="shared" si="129"/>
        <v/>
      </c>
      <c r="Y318" s="35" t="str">
        <f t="shared" ca="1" si="148"/>
        <v/>
      </c>
      <c r="Z318" s="36" t="str">
        <f t="shared" ca="1" si="149"/>
        <v/>
      </c>
      <c r="AA318" s="70" t="str">
        <f t="shared" si="150"/>
        <v/>
      </c>
      <c r="AB318" s="2"/>
      <c r="AC318" s="94" t="str">
        <f t="shared" si="130"/>
        <v/>
      </c>
      <c r="AD318" s="95" t="str">
        <f t="shared" si="131"/>
        <v/>
      </c>
      <c r="AE318" s="96" t="str">
        <f t="shared" si="132"/>
        <v/>
      </c>
      <c r="AF318" s="124" t="str">
        <f t="shared" si="133"/>
        <v/>
      </c>
      <c r="AG318" s="2"/>
      <c r="AH318" s="2"/>
      <c r="AI318" s="2"/>
      <c r="AJ318" s="2"/>
      <c r="AK318" s="2"/>
      <c r="AL318" s="2"/>
    </row>
    <row r="319" spans="1:38" x14ac:dyDescent="0.2">
      <c r="A319" s="45"/>
      <c r="B319" s="43" t="str">
        <f t="shared" si="136"/>
        <v/>
      </c>
      <c r="C319" s="96" t="str">
        <f t="shared" si="135"/>
        <v/>
      </c>
      <c r="D319" s="44" t="str">
        <f t="shared" si="137"/>
        <v/>
      </c>
      <c r="E319" s="52"/>
      <c r="F319" s="63" t="str">
        <f t="shared" si="138"/>
        <v/>
      </c>
      <c r="G319" s="56" t="str">
        <f t="shared" si="139"/>
        <v/>
      </c>
      <c r="H319" s="42"/>
      <c r="I319" s="2" t="str">
        <f t="shared" si="140"/>
        <v/>
      </c>
      <c r="J319" s="54" t="str">
        <f t="shared" si="127"/>
        <v/>
      </c>
      <c r="K319" s="55" t="str">
        <f t="shared" si="141"/>
        <v/>
      </c>
      <c r="L319" s="63" t="str">
        <f t="shared" si="142"/>
        <v/>
      </c>
      <c r="M319" s="96" t="str">
        <f t="shared" si="128"/>
        <v/>
      </c>
      <c r="N319" s="96" t="str">
        <f>IF(A319="","",IF(A319=Expiry,0,EXP(-q*Q319)*_xlfn.NORM.S.DIST(Y319,0)/(sigma*SQRT(Q319))*I319*Mult/100))</f>
        <v/>
      </c>
      <c r="O319" s="96" t="str">
        <f>IF(A319="","",IF(A319=Expiry,0,D319*E319*E319*EXP(-q*Q319)*_xlfn.NORM.S.DIST(Y319,0)*SQRT(Q319)/100))</f>
        <v/>
      </c>
      <c r="P319" s="69" t="str">
        <f>IF(A319="","",IF(A319=Expiry,0,AK319*I319*Mult*((-EXP(-q*Q319)*E319*_xlfn.NORM.S.DIST(Y319,0)*sigma/(2*SQRT(Q319))-r_dom*K*EXP(-r_dom*Q319)*_xlfn.NORM.S.DIST(Z319,1)+q*E319*EXP(-q*Q319)*_xlfn.NORM.S.DIST(Y319,1))/365)))</f>
        <v/>
      </c>
      <c r="Q319" s="83" t="str">
        <f t="shared" si="143"/>
        <v/>
      </c>
      <c r="R319" s="38"/>
      <c r="S319" s="68" t="str">
        <f t="shared" si="144"/>
        <v/>
      </c>
      <c r="T319" s="69" t="str">
        <f t="shared" si="145"/>
        <v/>
      </c>
      <c r="U319" s="70" t="str">
        <f t="shared" si="146"/>
        <v/>
      </c>
      <c r="V319" s="72" t="str">
        <f t="shared" si="147"/>
        <v/>
      </c>
      <c r="W319" s="2" t="str">
        <f t="shared" si="134"/>
        <v/>
      </c>
      <c r="X319" s="2" t="str">
        <f t="shared" si="129"/>
        <v/>
      </c>
      <c r="Y319" s="35" t="str">
        <f t="shared" ca="1" si="148"/>
        <v/>
      </c>
      <c r="Z319" s="36" t="str">
        <f t="shared" ca="1" si="149"/>
        <v/>
      </c>
      <c r="AA319" s="70" t="str">
        <f t="shared" si="150"/>
        <v/>
      </c>
      <c r="AB319" s="2"/>
      <c r="AC319" s="94" t="str">
        <f t="shared" si="130"/>
        <v/>
      </c>
      <c r="AD319" s="95" t="str">
        <f t="shared" si="131"/>
        <v/>
      </c>
      <c r="AE319" s="96" t="str">
        <f t="shared" si="132"/>
        <v/>
      </c>
      <c r="AF319" s="124" t="str">
        <f t="shared" si="133"/>
        <v/>
      </c>
      <c r="AG319" s="2"/>
      <c r="AH319" s="2"/>
      <c r="AI319" s="2"/>
      <c r="AJ319" s="2"/>
      <c r="AK319" s="2"/>
      <c r="AL319" s="2"/>
    </row>
    <row r="320" spans="1:38" x14ac:dyDescent="0.2">
      <c r="A320" s="45"/>
      <c r="B320" s="43" t="str">
        <f t="shared" si="136"/>
        <v/>
      </c>
      <c r="C320" s="96" t="str">
        <f t="shared" si="135"/>
        <v/>
      </c>
      <c r="D320" s="44" t="str">
        <f t="shared" si="137"/>
        <v/>
      </c>
      <c r="E320" s="52"/>
      <c r="F320" s="63" t="str">
        <f t="shared" si="138"/>
        <v/>
      </c>
      <c r="G320" s="56" t="str">
        <f t="shared" si="139"/>
        <v/>
      </c>
      <c r="H320" s="42"/>
      <c r="I320" s="2" t="str">
        <f t="shared" si="140"/>
        <v/>
      </c>
      <c r="J320" s="54" t="str">
        <f t="shared" si="127"/>
        <v/>
      </c>
      <c r="K320" s="55" t="str">
        <f t="shared" si="141"/>
        <v/>
      </c>
      <c r="L320" s="63" t="str">
        <f t="shared" si="142"/>
        <v/>
      </c>
      <c r="M320" s="96" t="str">
        <f t="shared" si="128"/>
        <v/>
      </c>
      <c r="N320" s="96" t="str">
        <f>IF(A320="","",IF(A320=Expiry,0,EXP(-q*Q320)*_xlfn.NORM.S.DIST(Y320,0)/(sigma*SQRT(Q320))*I320*Mult/100))</f>
        <v/>
      </c>
      <c r="O320" s="96" t="str">
        <f>IF(A320="","",IF(A320=Expiry,0,D320*E320*E320*EXP(-q*Q320)*_xlfn.NORM.S.DIST(Y320,0)*SQRT(Q320)/100))</f>
        <v/>
      </c>
      <c r="P320" s="69" t="str">
        <f>IF(A320="","",IF(A320=Expiry,0,AK320*I320*Mult*((-EXP(-q*Q320)*E320*_xlfn.NORM.S.DIST(Y320,0)*sigma/(2*SQRT(Q320))-r_dom*K*EXP(-r_dom*Q320)*_xlfn.NORM.S.DIST(Z320,1)+q*E320*EXP(-q*Q320)*_xlfn.NORM.S.DIST(Y320,1))/365)))</f>
        <v/>
      </c>
      <c r="Q320" s="83" t="str">
        <f t="shared" si="143"/>
        <v/>
      </c>
      <c r="R320" s="38"/>
      <c r="S320" s="68" t="str">
        <f t="shared" si="144"/>
        <v/>
      </c>
      <c r="T320" s="69" t="str">
        <f t="shared" si="145"/>
        <v/>
      </c>
      <c r="U320" s="70" t="str">
        <f t="shared" si="146"/>
        <v/>
      </c>
      <c r="V320" s="72" t="str">
        <f t="shared" si="147"/>
        <v/>
      </c>
      <c r="W320" s="2" t="str">
        <f t="shared" si="134"/>
        <v/>
      </c>
      <c r="X320" s="2" t="str">
        <f t="shared" si="129"/>
        <v/>
      </c>
      <c r="Y320" s="35" t="str">
        <f t="shared" ca="1" si="148"/>
        <v/>
      </c>
      <c r="Z320" s="36" t="str">
        <f t="shared" ca="1" si="149"/>
        <v/>
      </c>
      <c r="AA320" s="70" t="str">
        <f t="shared" si="150"/>
        <v/>
      </c>
      <c r="AB320" s="2"/>
      <c r="AC320" s="94" t="str">
        <f t="shared" si="130"/>
        <v/>
      </c>
      <c r="AD320" s="95" t="str">
        <f t="shared" si="131"/>
        <v/>
      </c>
      <c r="AE320" s="96" t="str">
        <f t="shared" si="132"/>
        <v/>
      </c>
      <c r="AF320" s="124" t="str">
        <f t="shared" si="133"/>
        <v/>
      </c>
      <c r="AG320" s="2"/>
      <c r="AH320" s="2"/>
      <c r="AI320" s="2"/>
      <c r="AJ320" s="2"/>
      <c r="AK320" s="2"/>
      <c r="AL320" s="2"/>
    </row>
    <row r="321" spans="1:38" x14ac:dyDescent="0.2">
      <c r="A321" s="45"/>
      <c r="B321" s="43" t="str">
        <f t="shared" si="136"/>
        <v/>
      </c>
      <c r="C321" s="96" t="str">
        <f t="shared" si="135"/>
        <v/>
      </c>
      <c r="D321" s="44" t="str">
        <f t="shared" si="137"/>
        <v/>
      </c>
      <c r="E321" s="52"/>
      <c r="F321" s="63" t="str">
        <f t="shared" si="138"/>
        <v/>
      </c>
      <c r="G321" s="56" t="str">
        <f t="shared" si="139"/>
        <v/>
      </c>
      <c r="H321" s="42"/>
      <c r="I321" s="2" t="str">
        <f t="shared" si="140"/>
        <v/>
      </c>
      <c r="J321" s="54" t="str">
        <f t="shared" si="127"/>
        <v/>
      </c>
      <c r="K321" s="55" t="str">
        <f t="shared" si="141"/>
        <v/>
      </c>
      <c r="L321" s="63" t="str">
        <f t="shared" si="142"/>
        <v/>
      </c>
      <c r="M321" s="96" t="str">
        <f t="shared" si="128"/>
        <v/>
      </c>
      <c r="N321" s="96" t="str">
        <f>IF(A321="","",IF(A321=Expiry,0,EXP(-q*Q321)*_xlfn.NORM.S.DIST(Y321,0)/(sigma*SQRT(Q321))*I321*Mult/100))</f>
        <v/>
      </c>
      <c r="O321" s="96" t="str">
        <f>IF(A321="","",IF(A321=Expiry,0,D321*E321*E321*EXP(-q*Q321)*_xlfn.NORM.S.DIST(Y321,0)*SQRT(Q321)/100))</f>
        <v/>
      </c>
      <c r="P321" s="69" t="str">
        <f>IF(A321="","",IF(A321=Expiry,0,AK321*I321*Mult*((-EXP(-q*Q321)*E321*_xlfn.NORM.S.DIST(Y321,0)*sigma/(2*SQRT(Q321))-r_dom*K*EXP(-r_dom*Q321)*_xlfn.NORM.S.DIST(Z321,1)+q*E321*EXP(-q*Q321)*_xlfn.NORM.S.DIST(Y321,1))/365)))</f>
        <v/>
      </c>
      <c r="Q321" s="83" t="str">
        <f t="shared" si="143"/>
        <v/>
      </c>
      <c r="R321" s="38"/>
      <c r="S321" s="68" t="str">
        <f t="shared" si="144"/>
        <v/>
      </c>
      <c r="T321" s="69" t="str">
        <f t="shared" si="145"/>
        <v/>
      </c>
      <c r="U321" s="70" t="str">
        <f t="shared" si="146"/>
        <v/>
      </c>
      <c r="V321" s="72" t="str">
        <f t="shared" si="147"/>
        <v/>
      </c>
      <c r="W321" s="2" t="str">
        <f t="shared" si="134"/>
        <v/>
      </c>
      <c r="X321" s="2" t="str">
        <f t="shared" si="129"/>
        <v/>
      </c>
      <c r="Y321" s="35" t="str">
        <f t="shared" ca="1" si="148"/>
        <v/>
      </c>
      <c r="Z321" s="36" t="str">
        <f t="shared" ca="1" si="149"/>
        <v/>
      </c>
      <c r="AA321" s="70" t="str">
        <f t="shared" si="150"/>
        <v/>
      </c>
      <c r="AB321" s="2"/>
      <c r="AC321" s="94" t="str">
        <f t="shared" si="130"/>
        <v/>
      </c>
      <c r="AD321" s="95" t="str">
        <f t="shared" si="131"/>
        <v/>
      </c>
      <c r="AE321" s="96" t="str">
        <f t="shared" si="132"/>
        <v/>
      </c>
      <c r="AF321" s="124" t="str">
        <f t="shared" si="133"/>
        <v/>
      </c>
      <c r="AG321" s="2"/>
      <c r="AH321" s="2"/>
      <c r="AI321" s="2"/>
      <c r="AJ321" s="2"/>
      <c r="AK321" s="2"/>
      <c r="AL321" s="2"/>
    </row>
    <row r="322" spans="1:38" x14ac:dyDescent="0.2">
      <c r="A322" s="45"/>
      <c r="B322" s="43" t="str">
        <f t="shared" si="136"/>
        <v/>
      </c>
      <c r="C322" s="96" t="str">
        <f t="shared" si="135"/>
        <v/>
      </c>
      <c r="D322" s="44" t="str">
        <f t="shared" si="137"/>
        <v/>
      </c>
      <c r="E322" s="52"/>
      <c r="F322" s="63" t="str">
        <f t="shared" si="138"/>
        <v/>
      </c>
      <c r="G322" s="56" t="str">
        <f t="shared" si="139"/>
        <v/>
      </c>
      <c r="H322" s="42"/>
      <c r="I322" s="2" t="str">
        <f t="shared" si="140"/>
        <v/>
      </c>
      <c r="J322" s="54" t="str">
        <f t="shared" si="127"/>
        <v/>
      </c>
      <c r="K322" s="55" t="str">
        <f t="shared" si="141"/>
        <v/>
      </c>
      <c r="L322" s="63" t="str">
        <f t="shared" si="142"/>
        <v/>
      </c>
      <c r="M322" s="96" t="str">
        <f t="shared" si="128"/>
        <v/>
      </c>
      <c r="N322" s="96" t="str">
        <f>IF(A322="","",IF(A322=Expiry,0,EXP(-q*Q322)*_xlfn.NORM.S.DIST(Y322,0)/(sigma*SQRT(Q322))*I322*Mult/100))</f>
        <v/>
      </c>
      <c r="O322" s="96" t="str">
        <f>IF(A322="","",IF(A322=Expiry,0,D322*E322*E322*EXP(-q*Q322)*_xlfn.NORM.S.DIST(Y322,0)*SQRT(Q322)/100))</f>
        <v/>
      </c>
      <c r="P322" s="69" t="str">
        <f>IF(A322="","",IF(A322=Expiry,0,AK322*I322*Mult*((-EXP(-q*Q322)*E322*_xlfn.NORM.S.DIST(Y322,0)*sigma/(2*SQRT(Q322))-r_dom*K*EXP(-r_dom*Q322)*_xlfn.NORM.S.DIST(Z322,1)+q*E322*EXP(-q*Q322)*_xlfn.NORM.S.DIST(Y322,1))/365)))</f>
        <v/>
      </c>
      <c r="Q322" s="83" t="str">
        <f t="shared" si="143"/>
        <v/>
      </c>
      <c r="R322" s="38"/>
      <c r="S322" s="68" t="str">
        <f t="shared" si="144"/>
        <v/>
      </c>
      <c r="T322" s="69" t="str">
        <f t="shared" si="145"/>
        <v/>
      </c>
      <c r="U322" s="70" t="str">
        <f t="shared" si="146"/>
        <v/>
      </c>
      <c r="V322" s="72" t="str">
        <f t="shared" si="147"/>
        <v/>
      </c>
      <c r="W322" s="2" t="str">
        <f t="shared" si="134"/>
        <v/>
      </c>
      <c r="X322" s="2" t="str">
        <f t="shared" si="129"/>
        <v/>
      </c>
      <c r="Y322" s="35" t="str">
        <f t="shared" ca="1" si="148"/>
        <v/>
      </c>
      <c r="Z322" s="36" t="str">
        <f t="shared" ca="1" si="149"/>
        <v/>
      </c>
      <c r="AA322" s="70" t="str">
        <f t="shared" si="150"/>
        <v/>
      </c>
      <c r="AB322" s="2"/>
      <c r="AC322" s="94" t="str">
        <f t="shared" si="130"/>
        <v/>
      </c>
      <c r="AD322" s="95" t="str">
        <f t="shared" si="131"/>
        <v/>
      </c>
      <c r="AE322" s="96" t="str">
        <f t="shared" si="132"/>
        <v/>
      </c>
      <c r="AF322" s="124" t="str">
        <f t="shared" si="133"/>
        <v/>
      </c>
      <c r="AG322" s="2"/>
      <c r="AH322" s="2"/>
      <c r="AI322" s="2"/>
      <c r="AJ322" s="2"/>
      <c r="AK322" s="2"/>
      <c r="AL322" s="2"/>
    </row>
    <row r="323" spans="1:38" x14ac:dyDescent="0.2">
      <c r="A323" s="45"/>
      <c r="B323" s="43" t="str">
        <f t="shared" si="136"/>
        <v/>
      </c>
      <c r="C323" s="96" t="str">
        <f t="shared" si="135"/>
        <v/>
      </c>
      <c r="D323" s="44" t="str">
        <f t="shared" si="137"/>
        <v/>
      </c>
      <c r="E323" s="52"/>
      <c r="F323" s="63" t="str">
        <f t="shared" si="138"/>
        <v/>
      </c>
      <c r="G323" s="56" t="str">
        <f t="shared" si="139"/>
        <v/>
      </c>
      <c r="H323" s="42"/>
      <c r="I323" s="2" t="str">
        <f t="shared" si="140"/>
        <v/>
      </c>
      <c r="J323" s="54" t="str">
        <f t="shared" si="127"/>
        <v/>
      </c>
      <c r="K323" s="55" t="str">
        <f t="shared" si="141"/>
        <v/>
      </c>
      <c r="L323" s="63" t="str">
        <f t="shared" si="142"/>
        <v/>
      </c>
      <c r="M323" s="96" t="str">
        <f t="shared" si="128"/>
        <v/>
      </c>
      <c r="N323" s="96" t="str">
        <f>IF(A323="","",IF(A323=Expiry,0,EXP(-q*Q323)*_xlfn.NORM.S.DIST(Y323,0)/(sigma*SQRT(Q323))*I323*Mult/100))</f>
        <v/>
      </c>
      <c r="O323" s="96" t="str">
        <f>IF(A323="","",IF(A323=Expiry,0,D323*E323*E323*EXP(-q*Q323)*_xlfn.NORM.S.DIST(Y323,0)*SQRT(Q323)/100))</f>
        <v/>
      </c>
      <c r="P323" s="69" t="str">
        <f>IF(A323="","",IF(A323=Expiry,0,AK323*I323*Mult*((-EXP(-q*Q323)*E323*_xlfn.NORM.S.DIST(Y323,0)*sigma/(2*SQRT(Q323))-r_dom*K*EXP(-r_dom*Q323)*_xlfn.NORM.S.DIST(Z323,1)+q*E323*EXP(-q*Q323)*_xlfn.NORM.S.DIST(Y323,1))/365)))</f>
        <v/>
      </c>
      <c r="Q323" s="83" t="str">
        <f t="shared" si="143"/>
        <v/>
      </c>
      <c r="R323" s="38"/>
      <c r="S323" s="68" t="str">
        <f t="shared" si="144"/>
        <v/>
      </c>
      <c r="T323" s="69" t="str">
        <f t="shared" si="145"/>
        <v/>
      </c>
      <c r="U323" s="70" t="str">
        <f t="shared" si="146"/>
        <v/>
      </c>
      <c r="V323" s="72" t="str">
        <f t="shared" si="147"/>
        <v/>
      </c>
      <c r="W323" s="2" t="str">
        <f t="shared" si="134"/>
        <v/>
      </c>
      <c r="X323" s="2" t="str">
        <f t="shared" si="129"/>
        <v/>
      </c>
      <c r="Y323" s="35" t="str">
        <f t="shared" ca="1" si="148"/>
        <v/>
      </c>
      <c r="Z323" s="36" t="str">
        <f t="shared" ca="1" si="149"/>
        <v/>
      </c>
      <c r="AA323" s="70" t="str">
        <f t="shared" si="150"/>
        <v/>
      </c>
      <c r="AB323" s="2"/>
      <c r="AC323" s="94" t="str">
        <f t="shared" si="130"/>
        <v/>
      </c>
      <c r="AD323" s="95" t="str">
        <f t="shared" si="131"/>
        <v/>
      </c>
      <c r="AE323" s="96" t="str">
        <f t="shared" si="132"/>
        <v/>
      </c>
      <c r="AF323" s="124" t="str">
        <f t="shared" si="133"/>
        <v/>
      </c>
      <c r="AG323" s="2"/>
      <c r="AH323" s="2"/>
      <c r="AI323" s="2"/>
      <c r="AJ323" s="2"/>
      <c r="AK323" s="2"/>
      <c r="AL323" s="2"/>
    </row>
    <row r="324" spans="1:38" x14ac:dyDescent="0.2">
      <c r="A324" s="45"/>
      <c r="B324" s="43" t="str">
        <f t="shared" si="136"/>
        <v/>
      </c>
      <c r="C324" s="96" t="str">
        <f t="shared" si="135"/>
        <v/>
      </c>
      <c r="D324" s="44" t="str">
        <f t="shared" si="137"/>
        <v/>
      </c>
      <c r="E324" s="52"/>
      <c r="F324" s="63" t="str">
        <f t="shared" si="138"/>
        <v/>
      </c>
      <c r="G324" s="56" t="str">
        <f t="shared" si="139"/>
        <v/>
      </c>
      <c r="H324" s="42"/>
      <c r="I324" s="2" t="str">
        <f t="shared" si="140"/>
        <v/>
      </c>
      <c r="J324" s="54" t="str">
        <f t="shared" si="127"/>
        <v/>
      </c>
      <c r="K324" s="55" t="str">
        <f t="shared" si="141"/>
        <v/>
      </c>
      <c r="L324" s="63" t="str">
        <f t="shared" si="142"/>
        <v/>
      </c>
      <c r="M324" s="96" t="str">
        <f t="shared" si="128"/>
        <v/>
      </c>
      <c r="N324" s="96" t="str">
        <f>IF(A324="","",IF(A324=Expiry,0,EXP(-q*Q324)*_xlfn.NORM.S.DIST(Y324,0)/(sigma*SQRT(Q324))*I324*Mult/100))</f>
        <v/>
      </c>
      <c r="O324" s="96" t="str">
        <f>IF(A324="","",IF(A324=Expiry,0,D324*E324*E324*EXP(-q*Q324)*_xlfn.NORM.S.DIST(Y324,0)*SQRT(Q324)/100))</f>
        <v/>
      </c>
      <c r="P324" s="69" t="str">
        <f>IF(A324="","",IF(A324=Expiry,0,AK324*I324*Mult*((-EXP(-q*Q324)*E324*_xlfn.NORM.S.DIST(Y324,0)*sigma/(2*SQRT(Q324))-r_dom*K*EXP(-r_dom*Q324)*_xlfn.NORM.S.DIST(Z324,1)+q*E324*EXP(-q*Q324)*_xlfn.NORM.S.DIST(Y324,1))/365)))</f>
        <v/>
      </c>
      <c r="Q324" s="83" t="str">
        <f t="shared" si="143"/>
        <v/>
      </c>
      <c r="R324" s="38"/>
      <c r="S324" s="68" t="str">
        <f t="shared" si="144"/>
        <v/>
      </c>
      <c r="T324" s="69" t="str">
        <f t="shared" si="145"/>
        <v/>
      </c>
      <c r="U324" s="70" t="str">
        <f t="shared" si="146"/>
        <v/>
      </c>
      <c r="V324" s="72" t="str">
        <f t="shared" si="147"/>
        <v/>
      </c>
      <c r="W324" s="2" t="str">
        <f t="shared" si="134"/>
        <v/>
      </c>
      <c r="X324" s="2" t="str">
        <f t="shared" si="129"/>
        <v/>
      </c>
      <c r="Y324" s="35" t="str">
        <f t="shared" ca="1" si="148"/>
        <v/>
      </c>
      <c r="Z324" s="36" t="str">
        <f t="shared" ca="1" si="149"/>
        <v/>
      </c>
      <c r="AA324" s="70" t="str">
        <f t="shared" si="150"/>
        <v/>
      </c>
      <c r="AB324" s="2"/>
      <c r="AC324" s="94" t="str">
        <f t="shared" si="130"/>
        <v/>
      </c>
      <c r="AD324" s="95" t="str">
        <f t="shared" si="131"/>
        <v/>
      </c>
      <c r="AE324" s="96" t="str">
        <f t="shared" si="132"/>
        <v/>
      </c>
      <c r="AF324" s="124" t="str">
        <f t="shared" si="133"/>
        <v/>
      </c>
      <c r="AG324" s="2"/>
      <c r="AH324" s="2"/>
      <c r="AI324" s="2"/>
      <c r="AJ324" s="2"/>
      <c r="AK324" s="2"/>
      <c r="AL324" s="2"/>
    </row>
    <row r="325" spans="1:38" x14ac:dyDescent="0.2">
      <c r="A325" s="45"/>
      <c r="B325" s="43" t="str">
        <f t="shared" si="136"/>
        <v/>
      </c>
      <c r="C325" s="96" t="str">
        <f t="shared" si="135"/>
        <v/>
      </c>
      <c r="D325" s="44" t="str">
        <f t="shared" si="137"/>
        <v/>
      </c>
      <c r="E325" s="52"/>
      <c r="F325" s="63" t="str">
        <f t="shared" si="138"/>
        <v/>
      </c>
      <c r="G325" s="56" t="str">
        <f t="shared" si="139"/>
        <v/>
      </c>
      <c r="H325" s="42"/>
      <c r="I325" s="2" t="str">
        <f t="shared" si="140"/>
        <v/>
      </c>
      <c r="J325" s="54" t="str">
        <f t="shared" si="127"/>
        <v/>
      </c>
      <c r="K325" s="55" t="str">
        <f t="shared" si="141"/>
        <v/>
      </c>
      <c r="L325" s="63" t="str">
        <f t="shared" si="142"/>
        <v/>
      </c>
      <c r="M325" s="96" t="str">
        <f t="shared" si="128"/>
        <v/>
      </c>
      <c r="N325" s="96" t="str">
        <f>IF(A325="","",IF(A325=Expiry,0,EXP(-q*Q325)*_xlfn.NORM.S.DIST(Y325,0)/(sigma*SQRT(Q325))*I325*Mult/100))</f>
        <v/>
      </c>
      <c r="O325" s="96" t="str">
        <f>IF(A325="","",IF(A325=Expiry,0,D325*E325*E325*EXP(-q*Q325)*_xlfn.NORM.S.DIST(Y325,0)*SQRT(Q325)/100))</f>
        <v/>
      </c>
      <c r="P325" s="69" t="str">
        <f>IF(A325="","",IF(A325=Expiry,0,AK325*I325*Mult*((-EXP(-q*Q325)*E325*_xlfn.NORM.S.DIST(Y325,0)*sigma/(2*SQRT(Q325))-r_dom*K*EXP(-r_dom*Q325)*_xlfn.NORM.S.DIST(Z325,1)+q*E325*EXP(-q*Q325)*_xlfn.NORM.S.DIST(Y325,1))/365)))</f>
        <v/>
      </c>
      <c r="Q325" s="83" t="str">
        <f t="shared" si="143"/>
        <v/>
      </c>
      <c r="R325" s="38"/>
      <c r="S325" s="68" t="str">
        <f t="shared" si="144"/>
        <v/>
      </c>
      <c r="T325" s="69" t="str">
        <f t="shared" si="145"/>
        <v/>
      </c>
      <c r="U325" s="70" t="str">
        <f t="shared" si="146"/>
        <v/>
      </c>
      <c r="V325" s="72" t="str">
        <f t="shared" si="147"/>
        <v/>
      </c>
      <c r="W325" s="2" t="str">
        <f t="shared" si="134"/>
        <v/>
      </c>
      <c r="X325" s="2" t="str">
        <f t="shared" si="129"/>
        <v/>
      </c>
      <c r="Y325" s="35" t="str">
        <f t="shared" ca="1" si="148"/>
        <v/>
      </c>
      <c r="Z325" s="36" t="str">
        <f t="shared" ca="1" si="149"/>
        <v/>
      </c>
      <c r="AA325" s="70" t="str">
        <f t="shared" si="150"/>
        <v/>
      </c>
      <c r="AB325" s="2"/>
      <c r="AC325" s="94" t="str">
        <f t="shared" si="130"/>
        <v/>
      </c>
      <c r="AD325" s="95" t="str">
        <f t="shared" si="131"/>
        <v/>
      </c>
      <c r="AE325" s="96" t="str">
        <f t="shared" si="132"/>
        <v/>
      </c>
      <c r="AF325" s="124" t="str">
        <f t="shared" si="133"/>
        <v/>
      </c>
      <c r="AG325" s="2"/>
      <c r="AH325" s="2"/>
      <c r="AI325" s="2"/>
      <c r="AJ325" s="2"/>
      <c r="AK325" s="2"/>
      <c r="AL325" s="2"/>
    </row>
    <row r="326" spans="1:38" x14ac:dyDescent="0.2">
      <c r="A326" s="45"/>
      <c r="B326" s="43" t="str">
        <f t="shared" si="136"/>
        <v/>
      </c>
      <c r="C326" s="96" t="str">
        <f t="shared" si="135"/>
        <v/>
      </c>
      <c r="D326" s="44" t="str">
        <f t="shared" si="137"/>
        <v/>
      </c>
      <c r="E326" s="52"/>
      <c r="F326" s="63" t="str">
        <f t="shared" si="138"/>
        <v/>
      </c>
      <c r="G326" s="56" t="str">
        <f t="shared" si="139"/>
        <v/>
      </c>
      <c r="H326" s="42"/>
      <c r="I326" s="2" t="str">
        <f t="shared" si="140"/>
        <v/>
      </c>
      <c r="J326" s="54" t="str">
        <f t="shared" si="127"/>
        <v/>
      </c>
      <c r="K326" s="55" t="str">
        <f t="shared" si="141"/>
        <v/>
      </c>
      <c r="L326" s="63" t="str">
        <f t="shared" si="142"/>
        <v/>
      </c>
      <c r="M326" s="96" t="str">
        <f t="shared" si="128"/>
        <v/>
      </c>
      <c r="N326" s="96" t="str">
        <f>IF(A326="","",IF(A326=Expiry,0,EXP(-q*Q326)*_xlfn.NORM.S.DIST(Y326,0)/(sigma*SQRT(Q326))*I326*Mult/100))</f>
        <v/>
      </c>
      <c r="O326" s="96" t="str">
        <f>IF(A326="","",IF(A326=Expiry,0,D326*E326*E326*EXP(-q*Q326)*_xlfn.NORM.S.DIST(Y326,0)*SQRT(Q326)/100))</f>
        <v/>
      </c>
      <c r="P326" s="69" t="str">
        <f>IF(A326="","",IF(A326=Expiry,0,AK326*I326*Mult*((-EXP(-q*Q326)*E326*_xlfn.NORM.S.DIST(Y326,0)*sigma/(2*SQRT(Q326))-r_dom*K*EXP(-r_dom*Q326)*_xlfn.NORM.S.DIST(Z326,1)+q*E326*EXP(-q*Q326)*_xlfn.NORM.S.DIST(Y326,1))/365)))</f>
        <v/>
      </c>
      <c r="Q326" s="83" t="str">
        <f t="shared" si="143"/>
        <v/>
      </c>
      <c r="R326" s="38"/>
      <c r="S326" s="68" t="str">
        <f t="shared" si="144"/>
        <v/>
      </c>
      <c r="T326" s="69" t="str">
        <f t="shared" si="145"/>
        <v/>
      </c>
      <c r="U326" s="70" t="str">
        <f t="shared" si="146"/>
        <v/>
      </c>
      <c r="V326" s="72" t="str">
        <f t="shared" si="147"/>
        <v/>
      </c>
      <c r="W326" s="2" t="str">
        <f t="shared" si="134"/>
        <v/>
      </c>
      <c r="X326" s="2" t="str">
        <f t="shared" si="129"/>
        <v/>
      </c>
      <c r="Y326" s="35" t="str">
        <f t="shared" ca="1" si="148"/>
        <v/>
      </c>
      <c r="Z326" s="36" t="str">
        <f t="shared" ca="1" si="149"/>
        <v/>
      </c>
      <c r="AA326" s="70" t="str">
        <f t="shared" si="150"/>
        <v/>
      </c>
      <c r="AB326" s="2"/>
      <c r="AC326" s="94" t="str">
        <f t="shared" si="130"/>
        <v/>
      </c>
      <c r="AD326" s="95" t="str">
        <f t="shared" si="131"/>
        <v/>
      </c>
      <c r="AE326" s="96" t="str">
        <f t="shared" si="132"/>
        <v/>
      </c>
      <c r="AF326" s="124" t="str">
        <f t="shared" si="133"/>
        <v/>
      </c>
      <c r="AG326" s="2"/>
      <c r="AH326" s="2"/>
      <c r="AI326" s="2"/>
      <c r="AJ326" s="2"/>
      <c r="AK326" s="2"/>
      <c r="AL326" s="2"/>
    </row>
    <row r="327" spans="1:38" x14ac:dyDescent="0.2">
      <c r="A327" s="45"/>
      <c r="B327" s="43" t="str">
        <f t="shared" si="136"/>
        <v/>
      </c>
      <c r="C327" s="96" t="str">
        <f t="shared" si="135"/>
        <v/>
      </c>
      <c r="D327" s="44" t="str">
        <f t="shared" si="137"/>
        <v/>
      </c>
      <c r="E327" s="52"/>
      <c r="F327" s="63" t="str">
        <f t="shared" si="138"/>
        <v/>
      </c>
      <c r="G327" s="56" t="str">
        <f t="shared" si="139"/>
        <v/>
      </c>
      <c r="H327" s="42"/>
      <c r="I327" s="2" t="str">
        <f t="shared" si="140"/>
        <v/>
      </c>
      <c r="J327" s="54" t="str">
        <f t="shared" si="127"/>
        <v/>
      </c>
      <c r="K327" s="55" t="str">
        <f t="shared" si="141"/>
        <v/>
      </c>
      <c r="L327" s="63" t="str">
        <f t="shared" si="142"/>
        <v/>
      </c>
      <c r="M327" s="96" t="str">
        <f t="shared" si="128"/>
        <v/>
      </c>
      <c r="N327" s="96" t="str">
        <f>IF(A327="","",IF(A327=Expiry,0,EXP(-q*Q327)*_xlfn.NORM.S.DIST(Y327,0)/(sigma*SQRT(Q327))*I327*Mult/100))</f>
        <v/>
      </c>
      <c r="O327" s="96" t="str">
        <f>IF(A327="","",IF(A327=Expiry,0,D327*E327*E327*EXP(-q*Q327)*_xlfn.NORM.S.DIST(Y327,0)*SQRT(Q327)/100))</f>
        <v/>
      </c>
      <c r="P327" s="69" t="str">
        <f>IF(A327="","",IF(A327=Expiry,0,AK327*I327*Mult*((-EXP(-q*Q327)*E327*_xlfn.NORM.S.DIST(Y327,0)*sigma/(2*SQRT(Q327))-r_dom*K*EXP(-r_dom*Q327)*_xlfn.NORM.S.DIST(Z327,1)+q*E327*EXP(-q*Q327)*_xlfn.NORM.S.DIST(Y327,1))/365)))</f>
        <v/>
      </c>
      <c r="Q327" s="83" t="str">
        <f t="shared" si="143"/>
        <v/>
      </c>
      <c r="R327" s="38"/>
      <c r="S327" s="68" t="str">
        <f t="shared" si="144"/>
        <v/>
      </c>
      <c r="T327" s="69" t="str">
        <f t="shared" si="145"/>
        <v/>
      </c>
      <c r="U327" s="70" t="str">
        <f t="shared" si="146"/>
        <v/>
      </c>
      <c r="V327" s="72" t="str">
        <f t="shared" si="147"/>
        <v/>
      </c>
      <c r="W327" s="2" t="str">
        <f t="shared" si="134"/>
        <v/>
      </c>
      <c r="X327" s="2" t="str">
        <f t="shared" si="129"/>
        <v/>
      </c>
      <c r="Y327" s="35" t="str">
        <f t="shared" ca="1" si="148"/>
        <v/>
      </c>
      <c r="Z327" s="36" t="str">
        <f t="shared" ca="1" si="149"/>
        <v/>
      </c>
      <c r="AA327" s="70" t="str">
        <f t="shared" si="150"/>
        <v/>
      </c>
      <c r="AB327" s="2"/>
      <c r="AC327" s="94" t="str">
        <f t="shared" si="130"/>
        <v/>
      </c>
      <c r="AD327" s="95" t="str">
        <f t="shared" si="131"/>
        <v/>
      </c>
      <c r="AE327" s="96" t="str">
        <f t="shared" si="132"/>
        <v/>
      </c>
      <c r="AF327" s="124" t="str">
        <f t="shared" si="133"/>
        <v/>
      </c>
      <c r="AG327" s="2"/>
      <c r="AH327" s="2"/>
      <c r="AI327" s="2"/>
      <c r="AJ327" s="2"/>
      <c r="AK327" s="2"/>
      <c r="AL327" s="2"/>
    </row>
    <row r="328" spans="1:38" x14ac:dyDescent="0.2">
      <c r="A328" s="45"/>
      <c r="B328" s="43" t="str">
        <f t="shared" si="136"/>
        <v/>
      </c>
      <c r="C328" s="96" t="str">
        <f t="shared" si="135"/>
        <v/>
      </c>
      <c r="D328" s="44" t="str">
        <f t="shared" si="137"/>
        <v/>
      </c>
      <c r="E328" s="52"/>
      <c r="F328" s="63" t="str">
        <f t="shared" si="138"/>
        <v/>
      </c>
      <c r="G328" s="56" t="str">
        <f t="shared" si="139"/>
        <v/>
      </c>
      <c r="H328" s="42"/>
      <c r="I328" s="2" t="str">
        <f t="shared" si="140"/>
        <v/>
      </c>
      <c r="J328" s="54" t="str">
        <f t="shared" si="127"/>
        <v/>
      </c>
      <c r="K328" s="55" t="str">
        <f t="shared" si="141"/>
        <v/>
      </c>
      <c r="L328" s="63" t="str">
        <f t="shared" si="142"/>
        <v/>
      </c>
      <c r="M328" s="96" t="str">
        <f t="shared" si="128"/>
        <v/>
      </c>
      <c r="N328" s="96" t="str">
        <f>IF(A328="","",IF(A328=Expiry,0,EXP(-q*Q328)*_xlfn.NORM.S.DIST(Y328,0)/(sigma*SQRT(Q328))*I328*Mult/100))</f>
        <v/>
      </c>
      <c r="O328" s="96" t="str">
        <f>IF(A328="","",IF(A328=Expiry,0,D328*E328*E328*EXP(-q*Q328)*_xlfn.NORM.S.DIST(Y328,0)*SQRT(Q328)/100))</f>
        <v/>
      </c>
      <c r="P328" s="69" t="str">
        <f>IF(A328="","",IF(A328=Expiry,0,AK328*I328*Mult*((-EXP(-q*Q328)*E328*_xlfn.NORM.S.DIST(Y328,0)*sigma/(2*SQRT(Q328))-r_dom*K*EXP(-r_dom*Q328)*_xlfn.NORM.S.DIST(Z328,1)+q*E328*EXP(-q*Q328)*_xlfn.NORM.S.DIST(Y328,1))/365)))</f>
        <v/>
      </c>
      <c r="Q328" s="83" t="str">
        <f t="shared" si="143"/>
        <v/>
      </c>
      <c r="R328" s="38"/>
      <c r="S328" s="68" t="str">
        <f t="shared" si="144"/>
        <v/>
      </c>
      <c r="T328" s="69" t="str">
        <f t="shared" si="145"/>
        <v/>
      </c>
      <c r="U328" s="70" t="str">
        <f t="shared" si="146"/>
        <v/>
      </c>
      <c r="V328" s="72" t="str">
        <f t="shared" si="147"/>
        <v/>
      </c>
      <c r="W328" s="2" t="str">
        <f t="shared" si="134"/>
        <v/>
      </c>
      <c r="X328" s="2" t="str">
        <f t="shared" si="129"/>
        <v/>
      </c>
      <c r="Y328" s="35" t="str">
        <f t="shared" ca="1" si="148"/>
        <v/>
      </c>
      <c r="Z328" s="36" t="str">
        <f t="shared" ca="1" si="149"/>
        <v/>
      </c>
      <c r="AA328" s="70" t="str">
        <f t="shared" si="150"/>
        <v/>
      </c>
      <c r="AB328" s="2"/>
      <c r="AC328" s="94" t="str">
        <f t="shared" si="130"/>
        <v/>
      </c>
      <c r="AD328" s="95" t="str">
        <f t="shared" si="131"/>
        <v/>
      </c>
      <c r="AE328" s="96" t="str">
        <f t="shared" si="132"/>
        <v/>
      </c>
      <c r="AF328" s="124" t="str">
        <f t="shared" si="133"/>
        <v/>
      </c>
      <c r="AG328" s="2"/>
      <c r="AH328" s="2"/>
      <c r="AI328" s="2"/>
      <c r="AJ328" s="2"/>
      <c r="AK328" s="2"/>
      <c r="AL328" s="2"/>
    </row>
    <row r="329" spans="1:38" x14ac:dyDescent="0.2">
      <c r="A329" s="45"/>
      <c r="B329" s="43" t="str">
        <f t="shared" si="136"/>
        <v/>
      </c>
      <c r="C329" s="96" t="str">
        <f t="shared" si="135"/>
        <v/>
      </c>
      <c r="D329" s="44" t="str">
        <f t="shared" si="137"/>
        <v/>
      </c>
      <c r="E329" s="52"/>
      <c r="F329" s="63" t="str">
        <f t="shared" si="138"/>
        <v/>
      </c>
      <c r="G329" s="56" t="str">
        <f t="shared" si="139"/>
        <v/>
      </c>
      <c r="H329" s="42"/>
      <c r="I329" s="2" t="str">
        <f t="shared" si="140"/>
        <v/>
      </c>
      <c r="J329" s="54" t="str">
        <f t="shared" si="127"/>
        <v/>
      </c>
      <c r="K329" s="55" t="str">
        <f t="shared" si="141"/>
        <v/>
      </c>
      <c r="L329" s="63" t="str">
        <f t="shared" si="142"/>
        <v/>
      </c>
      <c r="M329" s="96" t="str">
        <f t="shared" si="128"/>
        <v/>
      </c>
      <c r="N329" s="96" t="str">
        <f>IF(A329="","",IF(A329=Expiry,0,EXP(-q*Q329)*_xlfn.NORM.S.DIST(Y329,0)/(sigma*SQRT(Q329))*I329*Mult/100))</f>
        <v/>
      </c>
      <c r="O329" s="96" t="str">
        <f>IF(A329="","",IF(A329=Expiry,0,D329*E329*E329*EXP(-q*Q329)*_xlfn.NORM.S.DIST(Y329,0)*SQRT(Q329)/100))</f>
        <v/>
      </c>
      <c r="P329" s="69" t="str">
        <f>IF(A329="","",IF(A329=Expiry,0,AK329*I329*Mult*((-EXP(-q*Q329)*E329*_xlfn.NORM.S.DIST(Y329,0)*sigma/(2*SQRT(Q329))-r_dom*K*EXP(-r_dom*Q329)*_xlfn.NORM.S.DIST(Z329,1)+q*E329*EXP(-q*Q329)*_xlfn.NORM.S.DIST(Y329,1))/365)))</f>
        <v/>
      </c>
      <c r="Q329" s="83" t="str">
        <f t="shared" si="143"/>
        <v/>
      </c>
      <c r="R329" s="38"/>
      <c r="S329" s="68" t="str">
        <f t="shared" si="144"/>
        <v/>
      </c>
      <c r="T329" s="69" t="str">
        <f t="shared" si="145"/>
        <v/>
      </c>
      <c r="U329" s="70" t="str">
        <f t="shared" si="146"/>
        <v/>
      </c>
      <c r="V329" s="72" t="str">
        <f t="shared" si="147"/>
        <v/>
      </c>
      <c r="W329" s="2" t="str">
        <f t="shared" si="134"/>
        <v/>
      </c>
      <c r="X329" s="2" t="str">
        <f t="shared" si="129"/>
        <v/>
      </c>
      <c r="Y329" s="35" t="str">
        <f t="shared" ca="1" si="148"/>
        <v/>
      </c>
      <c r="Z329" s="36" t="str">
        <f t="shared" ca="1" si="149"/>
        <v/>
      </c>
      <c r="AA329" s="70" t="str">
        <f t="shared" si="150"/>
        <v/>
      </c>
      <c r="AB329" s="2"/>
      <c r="AC329" s="94" t="str">
        <f t="shared" si="130"/>
        <v/>
      </c>
      <c r="AD329" s="95" t="str">
        <f t="shared" si="131"/>
        <v/>
      </c>
      <c r="AE329" s="96" t="str">
        <f t="shared" si="132"/>
        <v/>
      </c>
      <c r="AF329" s="124" t="str">
        <f t="shared" si="133"/>
        <v/>
      </c>
      <c r="AG329" s="2"/>
      <c r="AH329" s="2"/>
      <c r="AI329" s="2"/>
      <c r="AJ329" s="2"/>
      <c r="AK329" s="2"/>
      <c r="AL329" s="2"/>
    </row>
    <row r="330" spans="1:38" x14ac:dyDescent="0.2">
      <c r="A330" s="45"/>
      <c r="B330" s="43" t="str">
        <f t="shared" si="136"/>
        <v/>
      </c>
      <c r="C330" s="96" t="str">
        <f t="shared" si="135"/>
        <v/>
      </c>
      <c r="D330" s="44" t="str">
        <f t="shared" si="137"/>
        <v/>
      </c>
      <c r="E330" s="52"/>
      <c r="F330" s="63" t="str">
        <f t="shared" si="138"/>
        <v/>
      </c>
      <c r="G330" s="56" t="str">
        <f t="shared" si="139"/>
        <v/>
      </c>
      <c r="H330" s="42"/>
      <c r="I330" s="2" t="str">
        <f t="shared" si="140"/>
        <v/>
      </c>
      <c r="J330" s="54" t="str">
        <f t="shared" si="127"/>
        <v/>
      </c>
      <c r="K330" s="55" t="str">
        <f t="shared" si="141"/>
        <v/>
      </c>
      <c r="L330" s="63" t="str">
        <f t="shared" si="142"/>
        <v/>
      </c>
      <c r="M330" s="96" t="str">
        <f t="shared" si="128"/>
        <v/>
      </c>
      <c r="N330" s="96" t="str">
        <f>IF(A330="","",IF(A330=Expiry,0,EXP(-q*Q330)*_xlfn.NORM.S.DIST(Y330,0)/(sigma*SQRT(Q330))*I330*Mult/100))</f>
        <v/>
      </c>
      <c r="O330" s="96" t="str">
        <f>IF(A330="","",IF(A330=Expiry,0,D330*E330*E330*EXP(-q*Q330)*_xlfn.NORM.S.DIST(Y330,0)*SQRT(Q330)/100))</f>
        <v/>
      </c>
      <c r="P330" s="69" t="str">
        <f>IF(A330="","",IF(A330=Expiry,0,AK330*I330*Mult*((-EXP(-q*Q330)*E330*_xlfn.NORM.S.DIST(Y330,0)*sigma/(2*SQRT(Q330))-r_dom*K*EXP(-r_dom*Q330)*_xlfn.NORM.S.DIST(Z330,1)+q*E330*EXP(-q*Q330)*_xlfn.NORM.S.DIST(Y330,1))/365)))</f>
        <v/>
      </c>
      <c r="Q330" s="83" t="str">
        <f t="shared" si="143"/>
        <v/>
      </c>
      <c r="R330" s="38"/>
      <c r="S330" s="68" t="str">
        <f t="shared" si="144"/>
        <v/>
      </c>
      <c r="T330" s="69" t="str">
        <f t="shared" si="145"/>
        <v/>
      </c>
      <c r="U330" s="70" t="str">
        <f t="shared" si="146"/>
        <v/>
      </c>
      <c r="V330" s="72" t="str">
        <f t="shared" si="147"/>
        <v/>
      </c>
      <c r="W330" s="2" t="str">
        <f t="shared" si="134"/>
        <v/>
      </c>
      <c r="X330" s="2" t="str">
        <f t="shared" si="129"/>
        <v/>
      </c>
      <c r="Y330" s="35" t="str">
        <f t="shared" ca="1" si="148"/>
        <v/>
      </c>
      <c r="Z330" s="36" t="str">
        <f t="shared" ca="1" si="149"/>
        <v/>
      </c>
      <c r="AA330" s="70" t="str">
        <f t="shared" si="150"/>
        <v/>
      </c>
      <c r="AB330" s="2"/>
      <c r="AC330" s="94" t="str">
        <f t="shared" si="130"/>
        <v/>
      </c>
      <c r="AD330" s="95" t="str">
        <f t="shared" si="131"/>
        <v/>
      </c>
      <c r="AE330" s="96" t="str">
        <f t="shared" si="132"/>
        <v/>
      </c>
      <c r="AF330" s="124" t="str">
        <f t="shared" si="133"/>
        <v/>
      </c>
      <c r="AG330" s="2"/>
      <c r="AH330" s="2"/>
      <c r="AI330" s="2"/>
      <c r="AJ330" s="2"/>
      <c r="AK330" s="2"/>
      <c r="AL330" s="2"/>
    </row>
    <row r="331" spans="1:38" x14ac:dyDescent="0.2">
      <c r="A331" s="45"/>
      <c r="B331" s="43" t="str">
        <f t="shared" si="136"/>
        <v/>
      </c>
      <c r="C331" s="96" t="str">
        <f t="shared" si="135"/>
        <v/>
      </c>
      <c r="D331" s="44" t="str">
        <f t="shared" si="137"/>
        <v/>
      </c>
      <c r="E331" s="52"/>
      <c r="F331" s="63" t="str">
        <f t="shared" si="138"/>
        <v/>
      </c>
      <c r="G331" s="56" t="str">
        <f t="shared" si="139"/>
        <v/>
      </c>
      <c r="H331" s="42"/>
      <c r="I331" s="2" t="str">
        <f t="shared" si="140"/>
        <v/>
      </c>
      <c r="J331" s="54" t="str">
        <f t="shared" si="127"/>
        <v/>
      </c>
      <c r="K331" s="55" t="str">
        <f t="shared" si="141"/>
        <v/>
      </c>
      <c r="L331" s="63" t="str">
        <f t="shared" si="142"/>
        <v/>
      </c>
      <c r="M331" s="96" t="str">
        <f t="shared" si="128"/>
        <v/>
      </c>
      <c r="N331" s="96" t="str">
        <f>IF(A331="","",IF(A331=Expiry,0,EXP(-q*Q331)*_xlfn.NORM.S.DIST(Y331,0)/(sigma*SQRT(Q331))*I331*Mult/100))</f>
        <v/>
      </c>
      <c r="O331" s="96" t="str">
        <f>IF(A331="","",IF(A331=Expiry,0,D331*E331*E331*EXP(-q*Q331)*_xlfn.NORM.S.DIST(Y331,0)*SQRT(Q331)/100))</f>
        <v/>
      </c>
      <c r="P331" s="69" t="str">
        <f>IF(A331="","",IF(A331=Expiry,0,AK331*I331*Mult*((-EXP(-q*Q331)*E331*_xlfn.NORM.S.DIST(Y331,0)*sigma/(2*SQRT(Q331))-r_dom*K*EXP(-r_dom*Q331)*_xlfn.NORM.S.DIST(Z331,1)+q*E331*EXP(-q*Q331)*_xlfn.NORM.S.DIST(Y331,1))/365)))</f>
        <v/>
      </c>
      <c r="Q331" s="83" t="str">
        <f t="shared" si="143"/>
        <v/>
      </c>
      <c r="R331" s="38"/>
      <c r="S331" s="68" t="str">
        <f t="shared" si="144"/>
        <v/>
      </c>
      <c r="T331" s="69" t="str">
        <f t="shared" si="145"/>
        <v/>
      </c>
      <c r="U331" s="70" t="str">
        <f t="shared" si="146"/>
        <v/>
      </c>
      <c r="V331" s="72" t="str">
        <f t="shared" si="147"/>
        <v/>
      </c>
      <c r="W331" s="2" t="str">
        <f t="shared" si="134"/>
        <v/>
      </c>
      <c r="X331" s="2" t="str">
        <f t="shared" si="129"/>
        <v/>
      </c>
      <c r="Y331" s="35" t="str">
        <f t="shared" ca="1" si="148"/>
        <v/>
      </c>
      <c r="Z331" s="36" t="str">
        <f t="shared" ca="1" si="149"/>
        <v/>
      </c>
      <c r="AA331" s="70" t="str">
        <f t="shared" si="150"/>
        <v/>
      </c>
      <c r="AB331" s="2"/>
      <c r="AC331" s="94" t="str">
        <f t="shared" si="130"/>
        <v/>
      </c>
      <c r="AD331" s="95" t="str">
        <f t="shared" si="131"/>
        <v/>
      </c>
      <c r="AE331" s="96" t="str">
        <f t="shared" si="132"/>
        <v/>
      </c>
      <c r="AF331" s="124" t="str">
        <f t="shared" si="133"/>
        <v/>
      </c>
      <c r="AG331" s="2"/>
      <c r="AH331" s="2"/>
      <c r="AI331" s="2"/>
      <c r="AJ331" s="2"/>
      <c r="AK331" s="2"/>
      <c r="AL331" s="2"/>
    </row>
    <row r="332" spans="1:38" x14ac:dyDescent="0.2">
      <c r="A332" s="45"/>
      <c r="B332" s="43" t="str">
        <f t="shared" si="136"/>
        <v/>
      </c>
      <c r="C332" s="96" t="str">
        <f t="shared" si="135"/>
        <v/>
      </c>
      <c r="D332" s="44" t="str">
        <f t="shared" si="137"/>
        <v/>
      </c>
      <c r="E332" s="52"/>
      <c r="F332" s="63" t="str">
        <f t="shared" si="138"/>
        <v/>
      </c>
      <c r="G332" s="56" t="str">
        <f t="shared" si="139"/>
        <v/>
      </c>
      <c r="H332" s="42"/>
      <c r="I332" s="2" t="str">
        <f t="shared" si="140"/>
        <v/>
      </c>
      <c r="J332" s="54" t="str">
        <f t="shared" si="127"/>
        <v/>
      </c>
      <c r="K332" s="55" t="str">
        <f t="shared" si="141"/>
        <v/>
      </c>
      <c r="L332" s="63" t="str">
        <f t="shared" si="142"/>
        <v/>
      </c>
      <c r="M332" s="96" t="str">
        <f t="shared" si="128"/>
        <v/>
      </c>
      <c r="N332" s="96" t="str">
        <f>IF(A332="","",IF(A332=Expiry,0,EXP(-q*Q332)*_xlfn.NORM.S.DIST(Y332,0)/(sigma*SQRT(Q332))*I332*Mult/100))</f>
        <v/>
      </c>
      <c r="O332" s="96" t="str">
        <f>IF(A332="","",IF(A332=Expiry,0,D332*E332*E332*EXP(-q*Q332)*_xlfn.NORM.S.DIST(Y332,0)*SQRT(Q332)/100))</f>
        <v/>
      </c>
      <c r="P332" s="69" t="str">
        <f>IF(A332="","",IF(A332=Expiry,0,AK332*I332*Mult*((-EXP(-q*Q332)*E332*_xlfn.NORM.S.DIST(Y332,0)*sigma/(2*SQRT(Q332))-r_dom*K*EXP(-r_dom*Q332)*_xlfn.NORM.S.DIST(Z332,1)+q*E332*EXP(-q*Q332)*_xlfn.NORM.S.DIST(Y332,1))/365)))</f>
        <v/>
      </c>
      <c r="Q332" s="83" t="str">
        <f t="shared" si="143"/>
        <v/>
      </c>
      <c r="R332" s="38"/>
      <c r="S332" s="68" t="str">
        <f t="shared" si="144"/>
        <v/>
      </c>
      <c r="T332" s="69" t="str">
        <f t="shared" si="145"/>
        <v/>
      </c>
      <c r="U332" s="70" t="str">
        <f t="shared" si="146"/>
        <v/>
      </c>
      <c r="V332" s="72" t="str">
        <f t="shared" si="147"/>
        <v/>
      </c>
      <c r="W332" s="2" t="str">
        <f t="shared" si="134"/>
        <v/>
      </c>
      <c r="X332" s="2" t="str">
        <f t="shared" si="129"/>
        <v/>
      </c>
      <c r="Y332" s="35" t="str">
        <f t="shared" ca="1" si="148"/>
        <v/>
      </c>
      <c r="Z332" s="36" t="str">
        <f t="shared" ca="1" si="149"/>
        <v/>
      </c>
      <c r="AA332" s="70" t="str">
        <f t="shared" si="150"/>
        <v/>
      </c>
      <c r="AB332" s="2"/>
      <c r="AC332" s="94" t="str">
        <f t="shared" si="130"/>
        <v/>
      </c>
      <c r="AD332" s="95" t="str">
        <f t="shared" si="131"/>
        <v/>
      </c>
      <c r="AE332" s="96" t="str">
        <f t="shared" si="132"/>
        <v/>
      </c>
      <c r="AF332" s="124" t="str">
        <f t="shared" si="133"/>
        <v/>
      </c>
      <c r="AG332" s="2"/>
      <c r="AH332" s="2"/>
      <c r="AI332" s="2"/>
      <c r="AJ332" s="2"/>
      <c r="AK332" s="2"/>
      <c r="AL332" s="2"/>
    </row>
    <row r="333" spans="1:38" x14ac:dyDescent="0.2">
      <c r="A333" s="45"/>
      <c r="B333" s="43" t="str">
        <f t="shared" si="136"/>
        <v/>
      </c>
      <c r="C333" s="96" t="str">
        <f t="shared" si="135"/>
        <v/>
      </c>
      <c r="D333" s="44" t="str">
        <f t="shared" si="137"/>
        <v/>
      </c>
      <c r="E333" s="52"/>
      <c r="F333" s="63" t="str">
        <f t="shared" si="138"/>
        <v/>
      </c>
      <c r="G333" s="56" t="str">
        <f t="shared" si="139"/>
        <v/>
      </c>
      <c r="H333" s="42"/>
      <c r="I333" s="2" t="str">
        <f t="shared" si="140"/>
        <v/>
      </c>
      <c r="J333" s="54" t="str">
        <f t="shared" si="127"/>
        <v/>
      </c>
      <c r="K333" s="55" t="str">
        <f t="shared" si="141"/>
        <v/>
      </c>
      <c r="L333" s="63" t="str">
        <f t="shared" si="142"/>
        <v/>
      </c>
      <c r="M333" s="96" t="str">
        <f t="shared" si="128"/>
        <v/>
      </c>
      <c r="N333" s="96" t="str">
        <f>IF(A333="","",IF(A333=Expiry,0,EXP(-q*Q333)*_xlfn.NORM.S.DIST(Y333,0)/(sigma*SQRT(Q333))*I333*Mult/100))</f>
        <v/>
      </c>
      <c r="O333" s="96" t="str">
        <f>IF(A333="","",IF(A333=Expiry,0,D333*E333*E333*EXP(-q*Q333)*_xlfn.NORM.S.DIST(Y333,0)*SQRT(Q333)/100))</f>
        <v/>
      </c>
      <c r="P333" s="69" t="str">
        <f>IF(A333="","",IF(A333=Expiry,0,AK333*I333*Mult*((-EXP(-q*Q333)*E333*_xlfn.NORM.S.DIST(Y333,0)*sigma/(2*SQRT(Q333))-r_dom*K*EXP(-r_dom*Q333)*_xlfn.NORM.S.DIST(Z333,1)+q*E333*EXP(-q*Q333)*_xlfn.NORM.S.DIST(Y333,1))/365)))</f>
        <v/>
      </c>
      <c r="Q333" s="83" t="str">
        <f t="shared" si="143"/>
        <v/>
      </c>
      <c r="R333" s="38"/>
      <c r="S333" s="68" t="str">
        <f t="shared" si="144"/>
        <v/>
      </c>
      <c r="T333" s="69" t="str">
        <f t="shared" si="145"/>
        <v/>
      </c>
      <c r="U333" s="70" t="str">
        <f t="shared" si="146"/>
        <v/>
      </c>
      <c r="V333" s="72" t="str">
        <f t="shared" si="147"/>
        <v/>
      </c>
      <c r="W333" s="2" t="str">
        <f t="shared" si="134"/>
        <v/>
      </c>
      <c r="X333" s="2" t="str">
        <f t="shared" si="129"/>
        <v/>
      </c>
      <c r="Y333" s="35" t="str">
        <f t="shared" ca="1" si="148"/>
        <v/>
      </c>
      <c r="Z333" s="36" t="str">
        <f t="shared" ca="1" si="149"/>
        <v/>
      </c>
      <c r="AA333" s="70" t="str">
        <f t="shared" si="150"/>
        <v/>
      </c>
      <c r="AB333" s="2"/>
      <c r="AC333" s="94" t="str">
        <f t="shared" si="130"/>
        <v/>
      </c>
      <c r="AD333" s="95" t="str">
        <f t="shared" si="131"/>
        <v/>
      </c>
      <c r="AE333" s="96" t="str">
        <f t="shared" si="132"/>
        <v/>
      </c>
      <c r="AF333" s="124" t="str">
        <f t="shared" si="133"/>
        <v/>
      </c>
      <c r="AG333" s="2"/>
      <c r="AH333" s="2"/>
      <c r="AI333" s="2"/>
      <c r="AJ333" s="2"/>
      <c r="AK333" s="2"/>
      <c r="AL333" s="2"/>
    </row>
    <row r="334" spans="1:38" x14ac:dyDescent="0.2">
      <c r="A334" s="45"/>
      <c r="B334" s="43" t="str">
        <f t="shared" si="136"/>
        <v/>
      </c>
      <c r="C334" s="96" t="str">
        <f t="shared" si="135"/>
        <v/>
      </c>
      <c r="D334" s="44" t="str">
        <f t="shared" si="137"/>
        <v/>
      </c>
      <c r="E334" s="52"/>
      <c r="F334" s="63" t="str">
        <f t="shared" si="138"/>
        <v/>
      </c>
      <c r="G334" s="56" t="str">
        <f t="shared" si="139"/>
        <v/>
      </c>
      <c r="H334" s="42"/>
      <c r="I334" s="2" t="str">
        <f t="shared" si="140"/>
        <v/>
      </c>
      <c r="J334" s="54" t="str">
        <f t="shared" si="127"/>
        <v/>
      </c>
      <c r="K334" s="55" t="str">
        <f t="shared" si="141"/>
        <v/>
      </c>
      <c r="L334" s="63" t="str">
        <f t="shared" si="142"/>
        <v/>
      </c>
      <c r="M334" s="96" t="str">
        <f t="shared" si="128"/>
        <v/>
      </c>
      <c r="N334" s="96" t="str">
        <f>IF(A334="","",IF(A334=Expiry,0,EXP(-q*Q334)*_xlfn.NORM.S.DIST(Y334,0)/(sigma*SQRT(Q334))*I334*Mult/100))</f>
        <v/>
      </c>
      <c r="O334" s="96" t="str">
        <f>IF(A334="","",IF(A334=Expiry,0,D334*E334*E334*EXP(-q*Q334)*_xlfn.NORM.S.DIST(Y334,0)*SQRT(Q334)/100))</f>
        <v/>
      </c>
      <c r="P334" s="69" t="str">
        <f>IF(A334="","",IF(A334=Expiry,0,AK334*I334*Mult*((-EXP(-q*Q334)*E334*_xlfn.NORM.S.DIST(Y334,0)*sigma/(2*SQRT(Q334))-r_dom*K*EXP(-r_dom*Q334)*_xlfn.NORM.S.DIST(Z334,1)+q*E334*EXP(-q*Q334)*_xlfn.NORM.S.DIST(Y334,1))/365)))</f>
        <v/>
      </c>
      <c r="Q334" s="83" t="str">
        <f t="shared" si="143"/>
        <v/>
      </c>
      <c r="R334" s="38"/>
      <c r="S334" s="68" t="str">
        <f t="shared" si="144"/>
        <v/>
      </c>
      <c r="T334" s="69" t="str">
        <f t="shared" si="145"/>
        <v/>
      </c>
      <c r="U334" s="70" t="str">
        <f t="shared" si="146"/>
        <v/>
      </c>
      <c r="V334" s="72" t="str">
        <f t="shared" si="147"/>
        <v/>
      </c>
      <c r="W334" s="2" t="str">
        <f t="shared" si="134"/>
        <v/>
      </c>
      <c r="X334" s="2" t="str">
        <f t="shared" si="129"/>
        <v/>
      </c>
      <c r="Y334" s="35" t="str">
        <f t="shared" ca="1" si="148"/>
        <v/>
      </c>
      <c r="Z334" s="36" t="str">
        <f t="shared" ca="1" si="149"/>
        <v/>
      </c>
      <c r="AA334" s="70" t="str">
        <f t="shared" si="150"/>
        <v/>
      </c>
      <c r="AB334" s="2"/>
      <c r="AC334" s="94" t="str">
        <f t="shared" si="130"/>
        <v/>
      </c>
      <c r="AD334" s="95" t="str">
        <f t="shared" si="131"/>
        <v/>
      </c>
      <c r="AE334" s="96" t="str">
        <f t="shared" si="132"/>
        <v/>
      </c>
      <c r="AF334" s="124" t="str">
        <f t="shared" si="133"/>
        <v/>
      </c>
      <c r="AG334" s="2"/>
      <c r="AH334" s="2"/>
      <c r="AI334" s="2"/>
      <c r="AJ334" s="2"/>
      <c r="AK334" s="2"/>
      <c r="AL334" s="2"/>
    </row>
    <row r="335" spans="1:38" x14ac:dyDescent="0.2">
      <c r="A335" s="45"/>
      <c r="B335" s="43" t="str">
        <f t="shared" si="136"/>
        <v/>
      </c>
      <c r="C335" s="96" t="str">
        <f t="shared" si="135"/>
        <v/>
      </c>
      <c r="D335" s="44" t="str">
        <f t="shared" si="137"/>
        <v/>
      </c>
      <c r="E335" s="52"/>
      <c r="F335" s="63" t="str">
        <f t="shared" si="138"/>
        <v/>
      </c>
      <c r="G335" s="56" t="str">
        <f t="shared" si="139"/>
        <v/>
      </c>
      <c r="H335" s="42"/>
      <c r="I335" s="2" t="str">
        <f t="shared" si="140"/>
        <v/>
      </c>
      <c r="J335" s="54" t="str">
        <f t="shared" si="127"/>
        <v/>
      </c>
      <c r="K335" s="55" t="str">
        <f t="shared" si="141"/>
        <v/>
      </c>
      <c r="L335" s="63" t="str">
        <f t="shared" si="142"/>
        <v/>
      </c>
      <c r="M335" s="96" t="str">
        <f t="shared" si="128"/>
        <v/>
      </c>
      <c r="N335" s="96" t="str">
        <f>IF(A335="","",IF(A335=Expiry,0,EXP(-q*Q335)*_xlfn.NORM.S.DIST(Y335,0)/(sigma*SQRT(Q335))*I335*Mult/100))</f>
        <v/>
      </c>
      <c r="O335" s="96" t="str">
        <f>IF(A335="","",IF(A335=Expiry,0,D335*E335*E335*EXP(-q*Q335)*_xlfn.NORM.S.DIST(Y335,0)*SQRT(Q335)/100))</f>
        <v/>
      </c>
      <c r="P335" s="69" t="str">
        <f>IF(A335="","",IF(A335=Expiry,0,AK335*I335*Mult*((-EXP(-q*Q335)*E335*_xlfn.NORM.S.DIST(Y335,0)*sigma/(2*SQRT(Q335))-r_dom*K*EXP(-r_dom*Q335)*_xlfn.NORM.S.DIST(Z335,1)+q*E335*EXP(-q*Q335)*_xlfn.NORM.S.DIST(Y335,1))/365)))</f>
        <v/>
      </c>
      <c r="Q335" s="83" t="str">
        <f t="shared" si="143"/>
        <v/>
      </c>
      <c r="R335" s="38"/>
      <c r="S335" s="68" t="str">
        <f t="shared" si="144"/>
        <v/>
      </c>
      <c r="T335" s="69" t="str">
        <f t="shared" si="145"/>
        <v/>
      </c>
      <c r="U335" s="70" t="str">
        <f t="shared" si="146"/>
        <v/>
      </c>
      <c r="V335" s="72" t="str">
        <f t="shared" si="147"/>
        <v/>
      </c>
      <c r="W335" s="2" t="str">
        <f t="shared" si="134"/>
        <v/>
      </c>
      <c r="X335" s="2" t="str">
        <f t="shared" si="129"/>
        <v/>
      </c>
      <c r="Y335" s="35" t="str">
        <f t="shared" ca="1" si="148"/>
        <v/>
      </c>
      <c r="Z335" s="36" t="str">
        <f t="shared" ca="1" si="149"/>
        <v/>
      </c>
      <c r="AA335" s="70" t="str">
        <f t="shared" si="150"/>
        <v/>
      </c>
      <c r="AB335" s="2"/>
      <c r="AC335" s="94" t="str">
        <f t="shared" si="130"/>
        <v/>
      </c>
      <c r="AD335" s="95" t="str">
        <f t="shared" si="131"/>
        <v/>
      </c>
      <c r="AE335" s="96" t="str">
        <f t="shared" si="132"/>
        <v/>
      </c>
      <c r="AF335" s="124" t="str">
        <f t="shared" si="133"/>
        <v/>
      </c>
      <c r="AG335" s="2"/>
      <c r="AH335" s="2"/>
      <c r="AI335" s="2"/>
      <c r="AJ335" s="2"/>
      <c r="AK335" s="2"/>
      <c r="AL335" s="2"/>
    </row>
    <row r="336" spans="1:38" x14ac:dyDescent="0.2">
      <c r="A336" s="45"/>
      <c r="B336" s="43" t="str">
        <f t="shared" si="136"/>
        <v/>
      </c>
      <c r="C336" s="96" t="str">
        <f t="shared" si="135"/>
        <v/>
      </c>
      <c r="D336" s="44" t="str">
        <f t="shared" si="137"/>
        <v/>
      </c>
      <c r="E336" s="52"/>
      <c r="F336" s="63" t="str">
        <f t="shared" si="138"/>
        <v/>
      </c>
      <c r="G336" s="56" t="str">
        <f t="shared" si="139"/>
        <v/>
      </c>
      <c r="H336" s="42"/>
      <c r="I336" s="2" t="str">
        <f t="shared" si="140"/>
        <v/>
      </c>
      <c r="J336" s="54" t="str">
        <f t="shared" si="127"/>
        <v/>
      </c>
      <c r="K336" s="55" t="str">
        <f t="shared" si="141"/>
        <v/>
      </c>
      <c r="L336" s="63" t="str">
        <f t="shared" si="142"/>
        <v/>
      </c>
      <c r="M336" s="96" t="str">
        <f t="shared" si="128"/>
        <v/>
      </c>
      <c r="N336" s="96" t="str">
        <f>IF(A336="","",IF(A336=Expiry,0,EXP(-q*Q336)*_xlfn.NORM.S.DIST(Y336,0)/(sigma*SQRT(Q336))*I336*Mult/100))</f>
        <v/>
      </c>
      <c r="O336" s="96" t="str">
        <f>IF(A336="","",IF(A336=Expiry,0,D336*E336*E336*EXP(-q*Q336)*_xlfn.NORM.S.DIST(Y336,0)*SQRT(Q336)/100))</f>
        <v/>
      </c>
      <c r="P336" s="69" t="str">
        <f>IF(A336="","",IF(A336=Expiry,0,AK336*I336*Mult*((-EXP(-q*Q336)*E336*_xlfn.NORM.S.DIST(Y336,0)*sigma/(2*SQRT(Q336))-r_dom*K*EXP(-r_dom*Q336)*_xlfn.NORM.S.DIST(Z336,1)+q*E336*EXP(-q*Q336)*_xlfn.NORM.S.DIST(Y336,1))/365)))</f>
        <v/>
      </c>
      <c r="Q336" s="83" t="str">
        <f t="shared" si="143"/>
        <v/>
      </c>
      <c r="R336" s="38"/>
      <c r="S336" s="68" t="str">
        <f t="shared" si="144"/>
        <v/>
      </c>
      <c r="T336" s="69" t="str">
        <f t="shared" si="145"/>
        <v/>
      </c>
      <c r="U336" s="70" t="str">
        <f t="shared" si="146"/>
        <v/>
      </c>
      <c r="V336" s="72" t="str">
        <f t="shared" si="147"/>
        <v/>
      </c>
      <c r="W336" s="2" t="str">
        <f t="shared" si="134"/>
        <v/>
      </c>
      <c r="X336" s="2" t="str">
        <f t="shared" si="129"/>
        <v/>
      </c>
      <c r="Y336" s="35" t="str">
        <f t="shared" ca="1" si="148"/>
        <v/>
      </c>
      <c r="Z336" s="36" t="str">
        <f t="shared" ca="1" si="149"/>
        <v/>
      </c>
      <c r="AA336" s="70" t="str">
        <f t="shared" si="150"/>
        <v/>
      </c>
      <c r="AB336" s="2"/>
      <c r="AC336" s="94" t="str">
        <f t="shared" si="130"/>
        <v/>
      </c>
      <c r="AD336" s="95" t="str">
        <f t="shared" si="131"/>
        <v/>
      </c>
      <c r="AE336" s="96" t="str">
        <f t="shared" si="132"/>
        <v/>
      </c>
      <c r="AF336" s="124" t="str">
        <f t="shared" si="133"/>
        <v/>
      </c>
      <c r="AG336" s="2"/>
      <c r="AH336" s="2"/>
      <c r="AI336" s="2"/>
      <c r="AJ336" s="2"/>
      <c r="AK336" s="2"/>
      <c r="AL336" s="2"/>
    </row>
    <row r="337" spans="1:38" x14ac:dyDescent="0.2">
      <c r="A337" s="45"/>
      <c r="B337" s="43" t="str">
        <f t="shared" si="136"/>
        <v/>
      </c>
      <c r="C337" s="96" t="str">
        <f t="shared" si="135"/>
        <v/>
      </c>
      <c r="D337" s="44" t="str">
        <f t="shared" si="137"/>
        <v/>
      </c>
      <c r="E337" s="52"/>
      <c r="F337" s="63" t="str">
        <f t="shared" si="138"/>
        <v/>
      </c>
      <c r="G337" s="56" t="str">
        <f t="shared" si="139"/>
        <v/>
      </c>
      <c r="H337" s="42"/>
      <c r="I337" s="2" t="str">
        <f t="shared" si="140"/>
        <v/>
      </c>
      <c r="J337" s="54" t="str">
        <f t="shared" si="127"/>
        <v/>
      </c>
      <c r="K337" s="55" t="str">
        <f t="shared" si="141"/>
        <v/>
      </c>
      <c r="L337" s="63" t="str">
        <f t="shared" si="142"/>
        <v/>
      </c>
      <c r="M337" s="96" t="str">
        <f t="shared" si="128"/>
        <v/>
      </c>
      <c r="N337" s="96" t="str">
        <f>IF(A337="","",IF(A337=Expiry,0,EXP(-q*Q337)*_xlfn.NORM.S.DIST(Y337,0)/(sigma*SQRT(Q337))*I337*Mult/100))</f>
        <v/>
      </c>
      <c r="O337" s="96" t="str">
        <f>IF(A337="","",IF(A337=Expiry,0,D337*E337*E337*EXP(-q*Q337)*_xlfn.NORM.S.DIST(Y337,0)*SQRT(Q337)/100))</f>
        <v/>
      </c>
      <c r="P337" s="69" t="str">
        <f>IF(A337="","",IF(A337=Expiry,0,AK337*I337*Mult*((-EXP(-q*Q337)*E337*_xlfn.NORM.S.DIST(Y337,0)*sigma/(2*SQRT(Q337))-r_dom*K*EXP(-r_dom*Q337)*_xlfn.NORM.S.DIST(Z337,1)+q*E337*EXP(-q*Q337)*_xlfn.NORM.S.DIST(Y337,1))/365)))</f>
        <v/>
      </c>
      <c r="Q337" s="83" t="str">
        <f t="shared" si="143"/>
        <v/>
      </c>
      <c r="R337" s="38"/>
      <c r="S337" s="68" t="str">
        <f t="shared" si="144"/>
        <v/>
      </c>
      <c r="T337" s="69" t="str">
        <f t="shared" si="145"/>
        <v/>
      </c>
      <c r="U337" s="70" t="str">
        <f t="shared" si="146"/>
        <v/>
      </c>
      <c r="V337" s="72" t="str">
        <f t="shared" si="147"/>
        <v/>
      </c>
      <c r="W337" s="2" t="str">
        <f t="shared" si="134"/>
        <v/>
      </c>
      <c r="X337" s="2" t="str">
        <f t="shared" si="129"/>
        <v/>
      </c>
      <c r="Y337" s="35" t="str">
        <f t="shared" ca="1" si="148"/>
        <v/>
      </c>
      <c r="Z337" s="36" t="str">
        <f t="shared" ca="1" si="149"/>
        <v/>
      </c>
      <c r="AA337" s="70" t="str">
        <f t="shared" si="150"/>
        <v/>
      </c>
      <c r="AB337" s="2"/>
      <c r="AC337" s="94" t="str">
        <f t="shared" si="130"/>
        <v/>
      </c>
      <c r="AD337" s="95" t="str">
        <f t="shared" si="131"/>
        <v/>
      </c>
      <c r="AE337" s="96" t="str">
        <f t="shared" si="132"/>
        <v/>
      </c>
      <c r="AF337" s="124" t="str">
        <f t="shared" si="133"/>
        <v/>
      </c>
      <c r="AG337" s="2"/>
      <c r="AH337" s="2"/>
      <c r="AI337" s="2"/>
      <c r="AJ337" s="2"/>
      <c r="AK337" s="2"/>
      <c r="AL337" s="2"/>
    </row>
    <row r="338" spans="1:38" x14ac:dyDescent="0.2">
      <c r="A338" s="45"/>
      <c r="B338" s="43" t="str">
        <f t="shared" si="136"/>
        <v/>
      </c>
      <c r="C338" s="96" t="str">
        <f t="shared" si="135"/>
        <v/>
      </c>
      <c r="D338" s="44" t="str">
        <f t="shared" si="137"/>
        <v/>
      </c>
      <c r="E338" s="52"/>
      <c r="F338" s="63" t="str">
        <f t="shared" si="138"/>
        <v/>
      </c>
      <c r="G338" s="56" t="str">
        <f t="shared" si="139"/>
        <v/>
      </c>
      <c r="H338" s="42"/>
      <c r="I338" s="2" t="str">
        <f t="shared" si="140"/>
        <v/>
      </c>
      <c r="J338" s="54" t="str">
        <f t="shared" si="127"/>
        <v/>
      </c>
      <c r="K338" s="55" t="str">
        <f t="shared" si="141"/>
        <v/>
      </c>
      <c r="L338" s="63" t="str">
        <f t="shared" si="142"/>
        <v/>
      </c>
      <c r="M338" s="96" t="str">
        <f t="shared" si="128"/>
        <v/>
      </c>
      <c r="N338" s="96" t="str">
        <f>IF(A338="","",IF(A338=Expiry,0,EXP(-q*Q338)*_xlfn.NORM.S.DIST(Y338,0)/(sigma*SQRT(Q338))*I338*Mult/100))</f>
        <v/>
      </c>
      <c r="O338" s="96" t="str">
        <f>IF(A338="","",IF(A338=Expiry,0,D338*E338*E338*EXP(-q*Q338)*_xlfn.NORM.S.DIST(Y338,0)*SQRT(Q338)/100))</f>
        <v/>
      </c>
      <c r="P338" s="69" t="str">
        <f>IF(A338="","",IF(A338=Expiry,0,AK338*I338*Mult*((-EXP(-q*Q338)*E338*_xlfn.NORM.S.DIST(Y338,0)*sigma/(2*SQRT(Q338))-r_dom*K*EXP(-r_dom*Q338)*_xlfn.NORM.S.DIST(Z338,1)+q*E338*EXP(-q*Q338)*_xlfn.NORM.S.DIST(Y338,1))/365)))</f>
        <v/>
      </c>
      <c r="Q338" s="83" t="str">
        <f t="shared" si="143"/>
        <v/>
      </c>
      <c r="R338" s="38"/>
      <c r="S338" s="68" t="str">
        <f t="shared" si="144"/>
        <v/>
      </c>
      <c r="T338" s="69" t="str">
        <f t="shared" si="145"/>
        <v/>
      </c>
      <c r="U338" s="70" t="str">
        <f t="shared" si="146"/>
        <v/>
      </c>
      <c r="V338" s="72" t="str">
        <f t="shared" si="147"/>
        <v/>
      </c>
      <c r="W338" s="2" t="str">
        <f t="shared" si="134"/>
        <v/>
      </c>
      <c r="X338" s="2" t="str">
        <f t="shared" si="129"/>
        <v/>
      </c>
      <c r="Y338" s="35" t="str">
        <f t="shared" ca="1" si="148"/>
        <v/>
      </c>
      <c r="Z338" s="36" t="str">
        <f t="shared" ca="1" si="149"/>
        <v/>
      </c>
      <c r="AA338" s="70" t="str">
        <f t="shared" si="150"/>
        <v/>
      </c>
      <c r="AB338" s="2"/>
      <c r="AC338" s="94" t="str">
        <f t="shared" si="130"/>
        <v/>
      </c>
      <c r="AD338" s="95" t="str">
        <f t="shared" si="131"/>
        <v/>
      </c>
      <c r="AE338" s="96" t="str">
        <f t="shared" si="132"/>
        <v/>
      </c>
      <c r="AF338" s="124" t="str">
        <f t="shared" si="133"/>
        <v/>
      </c>
      <c r="AG338" s="2"/>
      <c r="AH338" s="2"/>
      <c r="AI338" s="2"/>
      <c r="AJ338" s="2"/>
      <c r="AK338" s="2"/>
      <c r="AL338" s="2"/>
    </row>
    <row r="339" spans="1:38" x14ac:dyDescent="0.2">
      <c r="A339" s="45"/>
      <c r="B339" s="43" t="str">
        <f t="shared" si="136"/>
        <v/>
      </c>
      <c r="C339" s="96" t="str">
        <f t="shared" si="135"/>
        <v/>
      </c>
      <c r="D339" s="44" t="str">
        <f t="shared" si="137"/>
        <v/>
      </c>
      <c r="E339" s="52"/>
      <c r="F339" s="63" t="str">
        <f t="shared" si="138"/>
        <v/>
      </c>
      <c r="G339" s="56" t="str">
        <f t="shared" si="139"/>
        <v/>
      </c>
      <c r="H339" s="42"/>
      <c r="I339" s="2" t="str">
        <f t="shared" si="140"/>
        <v/>
      </c>
      <c r="J339" s="54" t="str">
        <f t="shared" si="127"/>
        <v/>
      </c>
      <c r="K339" s="55" t="str">
        <f t="shared" si="141"/>
        <v/>
      </c>
      <c r="L339" s="63" t="str">
        <f t="shared" si="142"/>
        <v/>
      </c>
      <c r="M339" s="96" t="str">
        <f t="shared" si="128"/>
        <v/>
      </c>
      <c r="N339" s="96" t="str">
        <f>IF(A339="","",IF(A339=Expiry,0,EXP(-q*Q339)*_xlfn.NORM.S.DIST(Y339,0)/(sigma*SQRT(Q339))*I339*Mult/100))</f>
        <v/>
      </c>
      <c r="O339" s="96" t="str">
        <f>IF(A339="","",IF(A339=Expiry,0,D339*E339*E339*EXP(-q*Q339)*_xlfn.NORM.S.DIST(Y339,0)*SQRT(Q339)/100))</f>
        <v/>
      </c>
      <c r="P339" s="69" t="str">
        <f>IF(A339="","",IF(A339=Expiry,0,AK339*I339*Mult*((-EXP(-q*Q339)*E339*_xlfn.NORM.S.DIST(Y339,0)*sigma/(2*SQRT(Q339))-r_dom*K*EXP(-r_dom*Q339)*_xlfn.NORM.S.DIST(Z339,1)+q*E339*EXP(-q*Q339)*_xlfn.NORM.S.DIST(Y339,1))/365)))</f>
        <v/>
      </c>
      <c r="Q339" s="83" t="str">
        <f t="shared" si="143"/>
        <v/>
      </c>
      <c r="R339" s="38"/>
      <c r="S339" s="68" t="str">
        <f t="shared" si="144"/>
        <v/>
      </c>
      <c r="T339" s="69" t="str">
        <f t="shared" si="145"/>
        <v/>
      </c>
      <c r="U339" s="70" t="str">
        <f t="shared" si="146"/>
        <v/>
      </c>
      <c r="V339" s="72" t="str">
        <f t="shared" si="147"/>
        <v/>
      </c>
      <c r="W339" s="2" t="str">
        <f t="shared" si="134"/>
        <v/>
      </c>
      <c r="X339" s="2" t="str">
        <f t="shared" si="129"/>
        <v/>
      </c>
      <c r="Y339" s="35" t="str">
        <f t="shared" ca="1" si="148"/>
        <v/>
      </c>
      <c r="Z339" s="36" t="str">
        <f t="shared" ca="1" si="149"/>
        <v/>
      </c>
      <c r="AA339" s="70" t="str">
        <f t="shared" si="150"/>
        <v/>
      </c>
      <c r="AB339" s="2"/>
      <c r="AC339" s="94" t="str">
        <f t="shared" si="130"/>
        <v/>
      </c>
      <c r="AD339" s="95" t="str">
        <f t="shared" si="131"/>
        <v/>
      </c>
      <c r="AE339" s="96" t="str">
        <f t="shared" si="132"/>
        <v/>
      </c>
      <c r="AF339" s="124" t="str">
        <f t="shared" si="133"/>
        <v/>
      </c>
      <c r="AG339" s="2"/>
      <c r="AH339" s="2"/>
      <c r="AI339" s="2"/>
      <c r="AJ339" s="2"/>
      <c r="AK339" s="2"/>
      <c r="AL339" s="2"/>
    </row>
    <row r="340" spans="1:38" x14ac:dyDescent="0.2">
      <c r="A340" s="45"/>
      <c r="B340" s="43" t="str">
        <f t="shared" si="136"/>
        <v/>
      </c>
      <c r="C340" s="96" t="str">
        <f t="shared" si="135"/>
        <v/>
      </c>
      <c r="D340" s="44" t="str">
        <f t="shared" si="137"/>
        <v/>
      </c>
      <c r="E340" s="52"/>
      <c r="F340" s="63" t="str">
        <f t="shared" si="138"/>
        <v/>
      </c>
      <c r="G340" s="56" t="str">
        <f t="shared" si="139"/>
        <v/>
      </c>
      <c r="H340" s="42"/>
      <c r="I340" s="2" t="str">
        <f t="shared" si="140"/>
        <v/>
      </c>
      <c r="J340" s="54" t="str">
        <f t="shared" si="127"/>
        <v/>
      </c>
      <c r="K340" s="55" t="str">
        <f t="shared" si="141"/>
        <v/>
      </c>
      <c r="L340" s="63" t="str">
        <f t="shared" si="142"/>
        <v/>
      </c>
      <c r="M340" s="96" t="str">
        <f t="shared" si="128"/>
        <v/>
      </c>
      <c r="N340" s="96" t="str">
        <f>IF(A340="","",IF(A340=Expiry,0,EXP(-q*Q340)*_xlfn.NORM.S.DIST(Y340,0)/(sigma*SQRT(Q340))*I340*Mult/100))</f>
        <v/>
      </c>
      <c r="O340" s="96" t="str">
        <f>IF(A340="","",IF(A340=Expiry,0,D340*E340*E340*EXP(-q*Q340)*_xlfn.NORM.S.DIST(Y340,0)*SQRT(Q340)/100))</f>
        <v/>
      </c>
      <c r="P340" s="69" t="str">
        <f>IF(A340="","",IF(A340=Expiry,0,AK340*I340*Mult*((-EXP(-q*Q340)*E340*_xlfn.NORM.S.DIST(Y340,0)*sigma/(2*SQRT(Q340))-r_dom*K*EXP(-r_dom*Q340)*_xlfn.NORM.S.DIST(Z340,1)+q*E340*EXP(-q*Q340)*_xlfn.NORM.S.DIST(Y340,1))/365)))</f>
        <v/>
      </c>
      <c r="Q340" s="83" t="str">
        <f t="shared" si="143"/>
        <v/>
      </c>
      <c r="R340" s="38"/>
      <c r="S340" s="68" t="str">
        <f t="shared" si="144"/>
        <v/>
      </c>
      <c r="T340" s="69" t="str">
        <f t="shared" si="145"/>
        <v/>
      </c>
      <c r="U340" s="70" t="str">
        <f t="shared" si="146"/>
        <v/>
      </c>
      <c r="V340" s="72" t="str">
        <f t="shared" si="147"/>
        <v/>
      </c>
      <c r="W340" s="2" t="str">
        <f t="shared" si="134"/>
        <v/>
      </c>
      <c r="X340" s="2" t="str">
        <f t="shared" si="129"/>
        <v/>
      </c>
      <c r="Y340" s="35" t="str">
        <f t="shared" ca="1" si="148"/>
        <v/>
      </c>
      <c r="Z340" s="36" t="str">
        <f t="shared" ca="1" si="149"/>
        <v/>
      </c>
      <c r="AA340" s="70" t="str">
        <f t="shared" si="150"/>
        <v/>
      </c>
      <c r="AB340" s="2"/>
      <c r="AC340" s="94" t="str">
        <f t="shared" si="130"/>
        <v/>
      </c>
      <c r="AD340" s="95" t="str">
        <f t="shared" si="131"/>
        <v/>
      </c>
      <c r="AE340" s="96" t="str">
        <f t="shared" si="132"/>
        <v/>
      </c>
      <c r="AF340" s="124" t="str">
        <f t="shared" si="133"/>
        <v/>
      </c>
      <c r="AG340" s="2"/>
      <c r="AH340" s="2"/>
      <c r="AI340" s="2"/>
      <c r="AJ340" s="2"/>
      <c r="AK340" s="2"/>
      <c r="AL340" s="2"/>
    </row>
    <row r="341" spans="1:38" x14ac:dyDescent="0.2">
      <c r="A341" s="45"/>
      <c r="B341" s="43" t="str">
        <f t="shared" si="136"/>
        <v/>
      </c>
      <c r="C341" s="96" t="str">
        <f t="shared" si="135"/>
        <v/>
      </c>
      <c r="D341" s="44" t="str">
        <f t="shared" si="137"/>
        <v/>
      </c>
      <c r="E341" s="52"/>
      <c r="F341" s="63" t="str">
        <f t="shared" si="138"/>
        <v/>
      </c>
      <c r="G341" s="56" t="str">
        <f t="shared" si="139"/>
        <v/>
      </c>
      <c r="H341" s="42"/>
      <c r="I341" s="2" t="str">
        <f t="shared" si="140"/>
        <v/>
      </c>
      <c r="J341" s="54" t="str">
        <f t="shared" si="127"/>
        <v/>
      </c>
      <c r="K341" s="55" t="str">
        <f t="shared" si="141"/>
        <v/>
      </c>
      <c r="L341" s="63" t="str">
        <f t="shared" si="142"/>
        <v/>
      </c>
      <c r="M341" s="96" t="str">
        <f t="shared" si="128"/>
        <v/>
      </c>
      <c r="N341" s="96" t="str">
        <f>IF(A341="","",IF(A341=Expiry,0,EXP(-q*Q341)*_xlfn.NORM.S.DIST(Y341,0)/(sigma*SQRT(Q341))*I341*Mult/100))</f>
        <v/>
      </c>
      <c r="O341" s="96" t="str">
        <f>IF(A341="","",IF(A341=Expiry,0,D341*E341*E341*EXP(-q*Q341)*_xlfn.NORM.S.DIST(Y341,0)*SQRT(Q341)/100))</f>
        <v/>
      </c>
      <c r="P341" s="69" t="str">
        <f>IF(A341="","",IF(A341=Expiry,0,AK341*I341*Mult*((-EXP(-q*Q341)*E341*_xlfn.NORM.S.DIST(Y341,0)*sigma/(2*SQRT(Q341))-r_dom*K*EXP(-r_dom*Q341)*_xlfn.NORM.S.DIST(Z341,1)+q*E341*EXP(-q*Q341)*_xlfn.NORM.S.DIST(Y341,1))/365)))</f>
        <v/>
      </c>
      <c r="Q341" s="83" t="str">
        <f t="shared" si="143"/>
        <v/>
      </c>
      <c r="R341" s="38"/>
      <c r="S341" s="68" t="str">
        <f t="shared" si="144"/>
        <v/>
      </c>
      <c r="T341" s="69" t="str">
        <f t="shared" si="145"/>
        <v/>
      </c>
      <c r="U341" s="70" t="str">
        <f t="shared" si="146"/>
        <v/>
      </c>
      <c r="V341" s="72" t="str">
        <f t="shared" si="147"/>
        <v/>
      </c>
      <c r="W341" s="2" t="str">
        <f t="shared" si="134"/>
        <v/>
      </c>
      <c r="X341" s="2" t="str">
        <f t="shared" si="129"/>
        <v/>
      </c>
      <c r="Y341" s="35" t="str">
        <f t="shared" ca="1" si="148"/>
        <v/>
      </c>
      <c r="Z341" s="36" t="str">
        <f t="shared" ca="1" si="149"/>
        <v/>
      </c>
      <c r="AA341" s="70" t="str">
        <f t="shared" si="150"/>
        <v/>
      </c>
      <c r="AB341" s="2"/>
      <c r="AC341" s="94" t="str">
        <f t="shared" si="130"/>
        <v/>
      </c>
      <c r="AD341" s="95" t="str">
        <f t="shared" si="131"/>
        <v/>
      </c>
      <c r="AE341" s="96" t="str">
        <f t="shared" si="132"/>
        <v/>
      </c>
      <c r="AF341" s="124" t="str">
        <f t="shared" si="133"/>
        <v/>
      </c>
      <c r="AG341" s="2"/>
      <c r="AH341" s="2"/>
      <c r="AI341" s="2"/>
      <c r="AJ341" s="2"/>
      <c r="AK341" s="2"/>
      <c r="AL341" s="2"/>
    </row>
    <row r="342" spans="1:38" x14ac:dyDescent="0.2">
      <c r="A342" s="45"/>
      <c r="B342" s="43" t="str">
        <f t="shared" si="136"/>
        <v/>
      </c>
      <c r="C342" s="96" t="str">
        <f t="shared" si="135"/>
        <v/>
      </c>
      <c r="D342" s="44" t="str">
        <f t="shared" si="137"/>
        <v/>
      </c>
      <c r="E342" s="52"/>
      <c r="F342" s="63" t="str">
        <f t="shared" si="138"/>
        <v/>
      </c>
      <c r="G342" s="56" t="str">
        <f t="shared" si="139"/>
        <v/>
      </c>
      <c r="H342" s="42"/>
      <c r="I342" s="2" t="str">
        <f t="shared" si="140"/>
        <v/>
      </c>
      <c r="J342" s="54" t="str">
        <f t="shared" si="127"/>
        <v/>
      </c>
      <c r="K342" s="55" t="str">
        <f t="shared" si="141"/>
        <v/>
      </c>
      <c r="L342" s="63" t="str">
        <f t="shared" si="142"/>
        <v/>
      </c>
      <c r="M342" s="96" t="str">
        <f t="shared" si="128"/>
        <v/>
      </c>
      <c r="N342" s="96" t="str">
        <f>IF(A342="","",IF(A342=Expiry,0,EXP(-q*Q342)*_xlfn.NORM.S.DIST(Y342,0)/(sigma*SQRT(Q342))*I342*Mult/100))</f>
        <v/>
      </c>
      <c r="O342" s="96" t="str">
        <f>IF(A342="","",IF(A342=Expiry,0,D342*E342*E342*EXP(-q*Q342)*_xlfn.NORM.S.DIST(Y342,0)*SQRT(Q342)/100))</f>
        <v/>
      </c>
      <c r="P342" s="69" t="str">
        <f>IF(A342="","",IF(A342=Expiry,0,AK342*I342*Mult*((-EXP(-q*Q342)*E342*_xlfn.NORM.S.DIST(Y342,0)*sigma/(2*SQRT(Q342))-r_dom*K*EXP(-r_dom*Q342)*_xlfn.NORM.S.DIST(Z342,1)+q*E342*EXP(-q*Q342)*_xlfn.NORM.S.DIST(Y342,1))/365)))</f>
        <v/>
      </c>
      <c r="Q342" s="83" t="str">
        <f t="shared" si="143"/>
        <v/>
      </c>
      <c r="R342" s="38"/>
      <c r="S342" s="68" t="str">
        <f t="shared" si="144"/>
        <v/>
      </c>
      <c r="T342" s="69" t="str">
        <f t="shared" si="145"/>
        <v/>
      </c>
      <c r="U342" s="70" t="str">
        <f t="shared" si="146"/>
        <v/>
      </c>
      <c r="V342" s="72" t="str">
        <f t="shared" si="147"/>
        <v/>
      </c>
      <c r="W342" s="2" t="str">
        <f t="shared" si="134"/>
        <v/>
      </c>
      <c r="X342" s="2" t="str">
        <f t="shared" si="129"/>
        <v/>
      </c>
      <c r="Y342" s="35" t="str">
        <f t="shared" ca="1" si="148"/>
        <v/>
      </c>
      <c r="Z342" s="36" t="str">
        <f t="shared" ca="1" si="149"/>
        <v/>
      </c>
      <c r="AA342" s="70" t="str">
        <f t="shared" si="150"/>
        <v/>
      </c>
      <c r="AB342" s="2"/>
      <c r="AC342" s="94" t="str">
        <f t="shared" si="130"/>
        <v/>
      </c>
      <c r="AD342" s="95" t="str">
        <f t="shared" si="131"/>
        <v/>
      </c>
      <c r="AE342" s="96" t="str">
        <f t="shared" si="132"/>
        <v/>
      </c>
      <c r="AF342" s="124" t="str">
        <f t="shared" si="133"/>
        <v/>
      </c>
      <c r="AG342" s="2"/>
      <c r="AH342" s="2"/>
      <c r="AI342" s="2"/>
      <c r="AJ342" s="2"/>
      <c r="AK342" s="2"/>
      <c r="AL342" s="2"/>
    </row>
    <row r="343" spans="1:38" x14ac:dyDescent="0.2">
      <c r="A343" s="45"/>
      <c r="B343" s="43" t="str">
        <f t="shared" si="136"/>
        <v/>
      </c>
      <c r="C343" s="96" t="str">
        <f t="shared" si="135"/>
        <v/>
      </c>
      <c r="D343" s="44" t="str">
        <f t="shared" si="137"/>
        <v/>
      </c>
      <c r="E343" s="52"/>
      <c r="F343" s="63" t="str">
        <f t="shared" si="138"/>
        <v/>
      </c>
      <c r="G343" s="56" t="str">
        <f t="shared" si="139"/>
        <v/>
      </c>
      <c r="H343" s="42"/>
      <c r="I343" s="2" t="str">
        <f t="shared" si="140"/>
        <v/>
      </c>
      <c r="J343" s="54" t="str">
        <f t="shared" si="127"/>
        <v/>
      </c>
      <c r="K343" s="55" t="str">
        <f t="shared" si="141"/>
        <v/>
      </c>
      <c r="L343" s="63" t="str">
        <f t="shared" si="142"/>
        <v/>
      </c>
      <c r="M343" s="96" t="str">
        <f t="shared" si="128"/>
        <v/>
      </c>
      <c r="N343" s="96" t="str">
        <f>IF(A343="","",IF(A343=Expiry,0,EXP(-q*Q343)*_xlfn.NORM.S.DIST(Y343,0)/(sigma*SQRT(Q343))*I343*Mult/100))</f>
        <v/>
      </c>
      <c r="O343" s="96" t="str">
        <f>IF(A343="","",IF(A343=Expiry,0,D343*E343*E343*EXP(-q*Q343)*_xlfn.NORM.S.DIST(Y343,0)*SQRT(Q343)/100))</f>
        <v/>
      </c>
      <c r="P343" s="69" t="str">
        <f>IF(A343="","",IF(A343=Expiry,0,AK343*I343*Mult*((-EXP(-q*Q343)*E343*_xlfn.NORM.S.DIST(Y343,0)*sigma/(2*SQRT(Q343))-r_dom*K*EXP(-r_dom*Q343)*_xlfn.NORM.S.DIST(Z343,1)+q*E343*EXP(-q*Q343)*_xlfn.NORM.S.DIST(Y343,1))/365)))</f>
        <v/>
      </c>
      <c r="Q343" s="83" t="str">
        <f t="shared" si="143"/>
        <v/>
      </c>
      <c r="R343" s="38"/>
      <c r="S343" s="68" t="str">
        <f t="shared" si="144"/>
        <v/>
      </c>
      <c r="T343" s="69" t="str">
        <f t="shared" si="145"/>
        <v/>
      </c>
      <c r="U343" s="70" t="str">
        <f t="shared" si="146"/>
        <v/>
      </c>
      <c r="V343" s="72" t="str">
        <f t="shared" si="147"/>
        <v/>
      </c>
      <c r="W343" s="2" t="str">
        <f t="shared" si="134"/>
        <v/>
      </c>
      <c r="X343" s="2" t="str">
        <f t="shared" si="129"/>
        <v/>
      </c>
      <c r="Y343" s="35" t="str">
        <f t="shared" ca="1" si="148"/>
        <v/>
      </c>
      <c r="Z343" s="36" t="str">
        <f t="shared" ca="1" si="149"/>
        <v/>
      </c>
      <c r="AA343" s="70" t="str">
        <f t="shared" si="150"/>
        <v/>
      </c>
      <c r="AB343" s="2"/>
      <c r="AC343" s="94" t="str">
        <f t="shared" si="130"/>
        <v/>
      </c>
      <c r="AD343" s="95" t="str">
        <f t="shared" si="131"/>
        <v/>
      </c>
      <c r="AE343" s="96" t="str">
        <f t="shared" si="132"/>
        <v/>
      </c>
      <c r="AF343" s="124" t="str">
        <f t="shared" si="133"/>
        <v/>
      </c>
      <c r="AG343" s="2"/>
      <c r="AH343" s="2"/>
      <c r="AI343" s="2"/>
      <c r="AJ343" s="2"/>
      <c r="AK343" s="2"/>
      <c r="AL343" s="2"/>
    </row>
    <row r="344" spans="1:38" x14ac:dyDescent="0.2">
      <c r="A344" s="45"/>
      <c r="B344" s="43" t="str">
        <f t="shared" si="136"/>
        <v/>
      </c>
      <c r="C344" s="96" t="str">
        <f t="shared" si="135"/>
        <v/>
      </c>
      <c r="D344" s="44" t="str">
        <f t="shared" si="137"/>
        <v/>
      </c>
      <c r="E344" s="52"/>
      <c r="F344" s="63" t="str">
        <f t="shared" si="138"/>
        <v/>
      </c>
      <c r="G344" s="56" t="str">
        <f t="shared" si="139"/>
        <v/>
      </c>
      <c r="H344" s="42"/>
      <c r="I344" s="2" t="str">
        <f t="shared" si="140"/>
        <v/>
      </c>
      <c r="J344" s="54" t="str">
        <f t="shared" si="127"/>
        <v/>
      </c>
      <c r="K344" s="55" t="str">
        <f t="shared" si="141"/>
        <v/>
      </c>
      <c r="L344" s="63" t="str">
        <f t="shared" si="142"/>
        <v/>
      </c>
      <c r="M344" s="96" t="str">
        <f t="shared" si="128"/>
        <v/>
      </c>
      <c r="N344" s="96" t="str">
        <f>IF(A344="","",IF(A344=Expiry,0,EXP(-q*Q344)*_xlfn.NORM.S.DIST(Y344,0)/(sigma*SQRT(Q344))*I344*Mult/100))</f>
        <v/>
      </c>
      <c r="O344" s="96" t="str">
        <f>IF(A344="","",IF(A344=Expiry,0,D344*E344*E344*EXP(-q*Q344)*_xlfn.NORM.S.DIST(Y344,0)*SQRT(Q344)/100))</f>
        <v/>
      </c>
      <c r="P344" s="69" t="str">
        <f>IF(A344="","",IF(A344=Expiry,0,AK344*I344*Mult*((-EXP(-q*Q344)*E344*_xlfn.NORM.S.DIST(Y344,0)*sigma/(2*SQRT(Q344))-r_dom*K*EXP(-r_dom*Q344)*_xlfn.NORM.S.DIST(Z344,1)+q*E344*EXP(-q*Q344)*_xlfn.NORM.S.DIST(Y344,1))/365)))</f>
        <v/>
      </c>
      <c r="Q344" s="83" t="str">
        <f t="shared" si="143"/>
        <v/>
      </c>
      <c r="R344" s="38"/>
      <c r="S344" s="68" t="str">
        <f t="shared" si="144"/>
        <v/>
      </c>
      <c r="T344" s="69" t="str">
        <f t="shared" si="145"/>
        <v/>
      </c>
      <c r="U344" s="70" t="str">
        <f t="shared" si="146"/>
        <v/>
      </c>
      <c r="V344" s="72" t="str">
        <f t="shared" si="147"/>
        <v/>
      </c>
      <c r="W344" s="2" t="str">
        <f t="shared" si="134"/>
        <v/>
      </c>
      <c r="X344" s="2" t="str">
        <f t="shared" si="129"/>
        <v/>
      </c>
      <c r="Y344" s="35" t="str">
        <f t="shared" ca="1" si="148"/>
        <v/>
      </c>
      <c r="Z344" s="36" t="str">
        <f t="shared" ca="1" si="149"/>
        <v/>
      </c>
      <c r="AA344" s="70" t="str">
        <f t="shared" si="150"/>
        <v/>
      </c>
      <c r="AB344" s="2"/>
      <c r="AC344" s="94" t="str">
        <f t="shared" si="130"/>
        <v/>
      </c>
      <c r="AD344" s="95" t="str">
        <f t="shared" si="131"/>
        <v/>
      </c>
      <c r="AE344" s="96" t="str">
        <f t="shared" si="132"/>
        <v/>
      </c>
      <c r="AF344" s="124" t="str">
        <f t="shared" si="133"/>
        <v/>
      </c>
      <c r="AG344" s="2"/>
      <c r="AH344" s="2"/>
      <c r="AI344" s="2"/>
      <c r="AJ344" s="2"/>
      <c r="AK344" s="2"/>
      <c r="AL344" s="2"/>
    </row>
    <row r="345" spans="1:38" x14ac:dyDescent="0.2">
      <c r="A345" s="45"/>
      <c r="B345" s="43" t="str">
        <f t="shared" si="136"/>
        <v/>
      </c>
      <c r="C345" s="96" t="str">
        <f t="shared" si="135"/>
        <v/>
      </c>
      <c r="D345" s="44" t="str">
        <f t="shared" si="137"/>
        <v/>
      </c>
      <c r="E345" s="52"/>
      <c r="F345" s="63" t="str">
        <f t="shared" si="138"/>
        <v/>
      </c>
      <c r="G345" s="56" t="str">
        <f t="shared" si="139"/>
        <v/>
      </c>
      <c r="H345" s="42"/>
      <c r="I345" s="2" t="str">
        <f t="shared" si="140"/>
        <v/>
      </c>
      <c r="J345" s="54" t="str">
        <f t="shared" si="127"/>
        <v/>
      </c>
      <c r="K345" s="55" t="str">
        <f t="shared" si="141"/>
        <v/>
      </c>
      <c r="L345" s="63" t="str">
        <f t="shared" si="142"/>
        <v/>
      </c>
      <c r="M345" s="96" t="str">
        <f t="shared" si="128"/>
        <v/>
      </c>
      <c r="N345" s="96" t="str">
        <f>IF(A345="","",IF(A345=Expiry,0,EXP(-q*Q345)*_xlfn.NORM.S.DIST(Y345,0)/(sigma*SQRT(Q345))*I345*Mult/100))</f>
        <v/>
      </c>
      <c r="O345" s="96" t="str">
        <f>IF(A345="","",IF(A345=Expiry,0,D345*E345*E345*EXP(-q*Q345)*_xlfn.NORM.S.DIST(Y345,0)*SQRT(Q345)/100))</f>
        <v/>
      </c>
      <c r="P345" s="69" t="str">
        <f>IF(A345="","",IF(A345=Expiry,0,AK345*I345*Mult*((-EXP(-q*Q345)*E345*_xlfn.NORM.S.DIST(Y345,0)*sigma/(2*SQRT(Q345))-r_dom*K*EXP(-r_dom*Q345)*_xlfn.NORM.S.DIST(Z345,1)+q*E345*EXP(-q*Q345)*_xlfn.NORM.S.DIST(Y345,1))/365)))</f>
        <v/>
      </c>
      <c r="Q345" s="83" t="str">
        <f t="shared" si="143"/>
        <v/>
      </c>
      <c r="R345" s="38"/>
      <c r="S345" s="68" t="str">
        <f t="shared" si="144"/>
        <v/>
      </c>
      <c r="T345" s="69" t="str">
        <f t="shared" si="145"/>
        <v/>
      </c>
      <c r="U345" s="70" t="str">
        <f t="shared" si="146"/>
        <v/>
      </c>
      <c r="V345" s="72" t="str">
        <f t="shared" si="147"/>
        <v/>
      </c>
      <c r="W345" s="2" t="str">
        <f t="shared" si="134"/>
        <v/>
      </c>
      <c r="X345" s="2" t="str">
        <f t="shared" si="129"/>
        <v/>
      </c>
      <c r="Y345" s="35" t="str">
        <f t="shared" ca="1" si="148"/>
        <v/>
      </c>
      <c r="Z345" s="36" t="str">
        <f t="shared" ca="1" si="149"/>
        <v/>
      </c>
      <c r="AA345" s="70" t="str">
        <f t="shared" si="150"/>
        <v/>
      </c>
      <c r="AB345" s="2"/>
      <c r="AC345" s="94" t="str">
        <f t="shared" si="130"/>
        <v/>
      </c>
      <c r="AD345" s="95" t="str">
        <f t="shared" si="131"/>
        <v/>
      </c>
      <c r="AE345" s="96" t="str">
        <f t="shared" si="132"/>
        <v/>
      </c>
      <c r="AF345" s="124" t="str">
        <f t="shared" si="133"/>
        <v/>
      </c>
      <c r="AG345" s="2"/>
      <c r="AH345" s="2"/>
      <c r="AI345" s="2"/>
      <c r="AJ345" s="2"/>
      <c r="AK345" s="2"/>
      <c r="AL345" s="2"/>
    </row>
    <row r="346" spans="1:38" x14ac:dyDescent="0.2">
      <c r="A346" s="45"/>
      <c r="B346" s="43" t="str">
        <f t="shared" si="136"/>
        <v/>
      </c>
      <c r="C346" s="96" t="str">
        <f t="shared" si="135"/>
        <v/>
      </c>
      <c r="D346" s="44" t="str">
        <f t="shared" si="137"/>
        <v/>
      </c>
      <c r="E346" s="52"/>
      <c r="F346" s="63" t="str">
        <f t="shared" si="138"/>
        <v/>
      </c>
      <c r="G346" s="56" t="str">
        <f t="shared" si="139"/>
        <v/>
      </c>
      <c r="H346" s="42"/>
      <c r="I346" s="2" t="str">
        <f t="shared" si="140"/>
        <v/>
      </c>
      <c r="J346" s="54" t="str">
        <f t="shared" si="127"/>
        <v/>
      </c>
      <c r="K346" s="55" t="str">
        <f t="shared" si="141"/>
        <v/>
      </c>
      <c r="L346" s="63" t="str">
        <f t="shared" si="142"/>
        <v/>
      </c>
      <c r="M346" s="96" t="str">
        <f t="shared" si="128"/>
        <v/>
      </c>
      <c r="N346" s="96" t="str">
        <f>IF(A346="","",IF(A346=Expiry,0,EXP(-q*Q346)*_xlfn.NORM.S.DIST(Y346,0)/(sigma*SQRT(Q346))*I346*Mult/100))</f>
        <v/>
      </c>
      <c r="O346" s="96" t="str">
        <f>IF(A346="","",IF(A346=Expiry,0,D346*E346*E346*EXP(-q*Q346)*_xlfn.NORM.S.DIST(Y346,0)*SQRT(Q346)/100))</f>
        <v/>
      </c>
      <c r="P346" s="69" t="str">
        <f>IF(A346="","",IF(A346=Expiry,0,AK346*I346*Mult*((-EXP(-q*Q346)*E346*_xlfn.NORM.S.DIST(Y346,0)*sigma/(2*SQRT(Q346))-r_dom*K*EXP(-r_dom*Q346)*_xlfn.NORM.S.DIST(Z346,1)+q*E346*EXP(-q*Q346)*_xlfn.NORM.S.DIST(Y346,1))/365)))</f>
        <v/>
      </c>
      <c r="Q346" s="83" t="str">
        <f t="shared" si="143"/>
        <v/>
      </c>
      <c r="R346" s="38"/>
      <c r="S346" s="68" t="str">
        <f t="shared" si="144"/>
        <v/>
      </c>
      <c r="T346" s="69" t="str">
        <f t="shared" si="145"/>
        <v/>
      </c>
      <c r="U346" s="70" t="str">
        <f t="shared" si="146"/>
        <v/>
      </c>
      <c r="V346" s="72" t="str">
        <f t="shared" si="147"/>
        <v/>
      </c>
      <c r="W346" s="2" t="str">
        <f t="shared" si="134"/>
        <v/>
      </c>
      <c r="X346" s="2" t="str">
        <f t="shared" si="129"/>
        <v/>
      </c>
      <c r="Y346" s="35" t="str">
        <f t="shared" ca="1" si="148"/>
        <v/>
      </c>
      <c r="Z346" s="36" t="str">
        <f t="shared" ca="1" si="149"/>
        <v/>
      </c>
      <c r="AA346" s="70" t="str">
        <f t="shared" si="150"/>
        <v/>
      </c>
      <c r="AB346" s="2"/>
      <c r="AC346" s="94" t="str">
        <f t="shared" si="130"/>
        <v/>
      </c>
      <c r="AD346" s="95" t="str">
        <f t="shared" si="131"/>
        <v/>
      </c>
      <c r="AE346" s="96" t="str">
        <f t="shared" si="132"/>
        <v/>
      </c>
      <c r="AF346" s="124" t="str">
        <f t="shared" si="133"/>
        <v/>
      </c>
      <c r="AG346" s="2"/>
      <c r="AH346" s="2"/>
      <c r="AI346" s="2"/>
      <c r="AJ346" s="2"/>
      <c r="AK346" s="2"/>
      <c r="AL346" s="2"/>
    </row>
    <row r="347" spans="1:38" x14ac:dyDescent="0.2">
      <c r="A347" s="45"/>
      <c r="B347" s="43" t="str">
        <f t="shared" si="136"/>
        <v/>
      </c>
      <c r="C347" s="96" t="str">
        <f t="shared" si="135"/>
        <v/>
      </c>
      <c r="D347" s="44" t="str">
        <f t="shared" si="137"/>
        <v/>
      </c>
      <c r="E347" s="52"/>
      <c r="F347" s="63" t="str">
        <f t="shared" si="138"/>
        <v/>
      </c>
      <c r="G347" s="56" t="str">
        <f t="shared" si="139"/>
        <v/>
      </c>
      <c r="H347" s="42"/>
      <c r="I347" s="2" t="str">
        <f t="shared" si="140"/>
        <v/>
      </c>
      <c r="J347" s="54" t="str">
        <f t="shared" si="127"/>
        <v/>
      </c>
      <c r="K347" s="55" t="str">
        <f t="shared" si="141"/>
        <v/>
      </c>
      <c r="L347" s="63" t="str">
        <f t="shared" si="142"/>
        <v/>
      </c>
      <c r="M347" s="96" t="str">
        <f t="shared" si="128"/>
        <v/>
      </c>
      <c r="N347" s="96" t="str">
        <f>IF(A347="","",IF(A347=Expiry,0,EXP(-q*Q347)*_xlfn.NORM.S.DIST(Y347,0)/(sigma*SQRT(Q347))*I347*Mult/100))</f>
        <v/>
      </c>
      <c r="O347" s="96" t="str">
        <f>IF(A347="","",IF(A347=Expiry,0,D347*E347*E347*EXP(-q*Q347)*_xlfn.NORM.S.DIST(Y347,0)*SQRT(Q347)/100))</f>
        <v/>
      </c>
      <c r="P347" s="69" t="str">
        <f>IF(A347="","",IF(A347=Expiry,0,AK347*I347*Mult*((-EXP(-q*Q347)*E347*_xlfn.NORM.S.DIST(Y347,0)*sigma/(2*SQRT(Q347))-r_dom*K*EXP(-r_dom*Q347)*_xlfn.NORM.S.DIST(Z347,1)+q*E347*EXP(-q*Q347)*_xlfn.NORM.S.DIST(Y347,1))/365)))</f>
        <v/>
      </c>
      <c r="Q347" s="83" t="str">
        <f t="shared" si="143"/>
        <v/>
      </c>
      <c r="R347" s="38"/>
      <c r="S347" s="68" t="str">
        <f t="shared" si="144"/>
        <v/>
      </c>
      <c r="T347" s="69" t="str">
        <f t="shared" si="145"/>
        <v/>
      </c>
      <c r="U347" s="70" t="str">
        <f t="shared" si="146"/>
        <v/>
      </c>
      <c r="V347" s="72" t="str">
        <f t="shared" si="147"/>
        <v/>
      </c>
      <c r="W347" s="2" t="str">
        <f t="shared" si="134"/>
        <v/>
      </c>
      <c r="X347" s="2" t="str">
        <f t="shared" si="129"/>
        <v/>
      </c>
      <c r="Y347" s="35" t="str">
        <f t="shared" ca="1" si="148"/>
        <v/>
      </c>
      <c r="Z347" s="36" t="str">
        <f t="shared" ca="1" si="149"/>
        <v/>
      </c>
      <c r="AA347" s="70" t="str">
        <f t="shared" si="150"/>
        <v/>
      </c>
      <c r="AB347" s="2"/>
      <c r="AC347" s="94" t="str">
        <f t="shared" si="130"/>
        <v/>
      </c>
      <c r="AD347" s="95" t="str">
        <f t="shared" si="131"/>
        <v/>
      </c>
      <c r="AE347" s="96" t="str">
        <f t="shared" si="132"/>
        <v/>
      </c>
      <c r="AF347" s="124" t="str">
        <f t="shared" si="133"/>
        <v/>
      </c>
      <c r="AG347" s="2"/>
      <c r="AH347" s="2"/>
      <c r="AI347" s="2"/>
      <c r="AJ347" s="2"/>
      <c r="AK347" s="2"/>
      <c r="AL347" s="2"/>
    </row>
    <row r="348" spans="1:38" x14ac:dyDescent="0.2">
      <c r="A348" s="45"/>
      <c r="B348" s="43" t="str">
        <f t="shared" si="136"/>
        <v/>
      </c>
      <c r="C348" s="96" t="str">
        <f t="shared" si="135"/>
        <v/>
      </c>
      <c r="D348" s="44" t="str">
        <f t="shared" si="137"/>
        <v/>
      </c>
      <c r="E348" s="52"/>
      <c r="F348" s="63" t="str">
        <f t="shared" si="138"/>
        <v/>
      </c>
      <c r="G348" s="56" t="str">
        <f t="shared" si="139"/>
        <v/>
      </c>
      <c r="H348" s="42"/>
      <c r="I348" s="2" t="str">
        <f t="shared" si="140"/>
        <v/>
      </c>
      <c r="J348" s="54" t="str">
        <f t="shared" si="127"/>
        <v/>
      </c>
      <c r="K348" s="55" t="str">
        <f t="shared" si="141"/>
        <v/>
      </c>
      <c r="L348" s="63" t="str">
        <f t="shared" si="142"/>
        <v/>
      </c>
      <c r="M348" s="96" t="str">
        <f t="shared" si="128"/>
        <v/>
      </c>
      <c r="N348" s="96" t="str">
        <f>IF(A348="","",IF(A348=Expiry,0,EXP(-q*Q348)*_xlfn.NORM.S.DIST(Y348,0)/(sigma*SQRT(Q348))*I348*Mult/100))</f>
        <v/>
      </c>
      <c r="O348" s="96" t="str">
        <f>IF(A348="","",IF(A348=Expiry,0,D348*E348*E348*EXP(-q*Q348)*_xlfn.NORM.S.DIST(Y348,0)*SQRT(Q348)/100))</f>
        <v/>
      </c>
      <c r="P348" s="69" t="str">
        <f>IF(A348="","",IF(A348=Expiry,0,AK348*I348*Mult*((-EXP(-q*Q348)*E348*_xlfn.NORM.S.DIST(Y348,0)*sigma/(2*SQRT(Q348))-r_dom*K*EXP(-r_dom*Q348)*_xlfn.NORM.S.DIST(Z348,1)+q*E348*EXP(-q*Q348)*_xlfn.NORM.S.DIST(Y348,1))/365)))</f>
        <v/>
      </c>
      <c r="Q348" s="83" t="str">
        <f t="shared" si="143"/>
        <v/>
      </c>
      <c r="R348" s="38"/>
      <c r="S348" s="68" t="str">
        <f t="shared" si="144"/>
        <v/>
      </c>
      <c r="T348" s="69" t="str">
        <f t="shared" si="145"/>
        <v/>
      </c>
      <c r="U348" s="70" t="str">
        <f t="shared" si="146"/>
        <v/>
      </c>
      <c r="V348" s="72" t="str">
        <f t="shared" si="147"/>
        <v/>
      </c>
      <c r="W348" s="2" t="str">
        <f t="shared" si="134"/>
        <v/>
      </c>
      <c r="X348" s="2" t="str">
        <f t="shared" si="129"/>
        <v/>
      </c>
      <c r="Y348" s="35" t="str">
        <f t="shared" ca="1" si="148"/>
        <v/>
      </c>
      <c r="Z348" s="36" t="str">
        <f t="shared" ca="1" si="149"/>
        <v/>
      </c>
      <c r="AA348" s="70" t="str">
        <f t="shared" si="150"/>
        <v/>
      </c>
      <c r="AB348" s="2"/>
      <c r="AC348" s="94" t="str">
        <f t="shared" si="130"/>
        <v/>
      </c>
      <c r="AD348" s="95" t="str">
        <f t="shared" si="131"/>
        <v/>
      </c>
      <c r="AE348" s="96" t="str">
        <f t="shared" si="132"/>
        <v/>
      </c>
      <c r="AF348" s="124" t="str">
        <f t="shared" si="133"/>
        <v/>
      </c>
      <c r="AG348" s="2"/>
      <c r="AH348" s="2"/>
      <c r="AI348" s="2"/>
      <c r="AJ348" s="2"/>
      <c r="AK348" s="2"/>
      <c r="AL348" s="2"/>
    </row>
    <row r="349" spans="1:38" x14ac:dyDescent="0.2">
      <c r="A349" s="45"/>
      <c r="B349" s="43" t="str">
        <f t="shared" si="136"/>
        <v/>
      </c>
      <c r="C349" s="96" t="str">
        <f t="shared" si="135"/>
        <v/>
      </c>
      <c r="D349" s="44" t="str">
        <f t="shared" si="137"/>
        <v/>
      </c>
      <c r="E349" s="52"/>
      <c r="F349" s="63" t="str">
        <f t="shared" si="138"/>
        <v/>
      </c>
      <c r="G349" s="56" t="str">
        <f t="shared" si="139"/>
        <v/>
      </c>
      <c r="H349" s="42"/>
      <c r="I349" s="2" t="str">
        <f t="shared" si="140"/>
        <v/>
      </c>
      <c r="J349" s="54" t="str">
        <f t="shared" si="127"/>
        <v/>
      </c>
      <c r="K349" s="55" t="str">
        <f t="shared" si="141"/>
        <v/>
      </c>
      <c r="L349" s="63" t="str">
        <f t="shared" si="142"/>
        <v/>
      </c>
      <c r="M349" s="96" t="str">
        <f t="shared" si="128"/>
        <v/>
      </c>
      <c r="N349" s="96" t="str">
        <f>IF(A349="","",IF(A349=Expiry,0,EXP(-q*Q349)*_xlfn.NORM.S.DIST(Y349,0)/(sigma*SQRT(Q349))*I349*Mult/100))</f>
        <v/>
      </c>
      <c r="O349" s="96" t="str">
        <f>IF(A349="","",IF(A349=Expiry,0,D349*E349*E349*EXP(-q*Q349)*_xlfn.NORM.S.DIST(Y349,0)*SQRT(Q349)/100))</f>
        <v/>
      </c>
      <c r="P349" s="69" t="str">
        <f>IF(A349="","",IF(A349=Expiry,0,AK349*I349*Mult*((-EXP(-q*Q349)*E349*_xlfn.NORM.S.DIST(Y349,0)*sigma/(2*SQRT(Q349))-r_dom*K*EXP(-r_dom*Q349)*_xlfn.NORM.S.DIST(Z349,1)+q*E349*EXP(-q*Q349)*_xlfn.NORM.S.DIST(Y349,1))/365)))</f>
        <v/>
      </c>
      <c r="Q349" s="83" t="str">
        <f t="shared" si="143"/>
        <v/>
      </c>
      <c r="R349" s="38"/>
      <c r="S349" s="68" t="str">
        <f t="shared" si="144"/>
        <v/>
      </c>
      <c r="T349" s="69" t="str">
        <f t="shared" si="145"/>
        <v/>
      </c>
      <c r="U349" s="70" t="str">
        <f t="shared" si="146"/>
        <v/>
      </c>
      <c r="V349" s="72" t="str">
        <f t="shared" si="147"/>
        <v/>
      </c>
      <c r="W349" s="2" t="str">
        <f t="shared" si="134"/>
        <v/>
      </c>
      <c r="X349" s="2" t="str">
        <f t="shared" si="129"/>
        <v/>
      </c>
      <c r="Y349" s="35" t="str">
        <f t="shared" ca="1" si="148"/>
        <v/>
      </c>
      <c r="Z349" s="36" t="str">
        <f t="shared" ca="1" si="149"/>
        <v/>
      </c>
      <c r="AA349" s="70" t="str">
        <f t="shared" si="150"/>
        <v/>
      </c>
      <c r="AB349" s="2"/>
      <c r="AC349" s="94" t="str">
        <f t="shared" si="130"/>
        <v/>
      </c>
      <c r="AD349" s="95" t="str">
        <f t="shared" si="131"/>
        <v/>
      </c>
      <c r="AE349" s="96" t="str">
        <f t="shared" si="132"/>
        <v/>
      </c>
      <c r="AF349" s="124" t="str">
        <f t="shared" si="133"/>
        <v/>
      </c>
      <c r="AG349" s="2"/>
      <c r="AH349" s="2"/>
      <c r="AI349" s="2"/>
      <c r="AJ349" s="2"/>
      <c r="AK349" s="2"/>
      <c r="AL349" s="2"/>
    </row>
    <row r="350" spans="1:38" x14ac:dyDescent="0.2">
      <c r="A350" s="45"/>
      <c r="B350" s="43" t="str">
        <f t="shared" si="136"/>
        <v/>
      </c>
      <c r="C350" s="96" t="str">
        <f t="shared" si="135"/>
        <v/>
      </c>
      <c r="D350" s="44" t="str">
        <f t="shared" si="137"/>
        <v/>
      </c>
      <c r="E350" s="52"/>
      <c r="F350" s="63" t="str">
        <f t="shared" si="138"/>
        <v/>
      </c>
      <c r="G350" s="56" t="str">
        <f t="shared" si="139"/>
        <v/>
      </c>
      <c r="H350" s="42"/>
      <c r="I350" s="2" t="str">
        <f t="shared" si="140"/>
        <v/>
      </c>
      <c r="J350" s="54" t="str">
        <f t="shared" si="127"/>
        <v/>
      </c>
      <c r="K350" s="55" t="str">
        <f t="shared" si="141"/>
        <v/>
      </c>
      <c r="L350" s="63" t="str">
        <f t="shared" si="142"/>
        <v/>
      </c>
      <c r="M350" s="96" t="str">
        <f t="shared" si="128"/>
        <v/>
      </c>
      <c r="N350" s="96" t="str">
        <f>IF(A350="","",IF(A350=Expiry,0,EXP(-q*Q350)*_xlfn.NORM.S.DIST(Y350,0)/(sigma*SQRT(Q350))*I350*Mult/100))</f>
        <v/>
      </c>
      <c r="O350" s="96" t="str">
        <f>IF(A350="","",IF(A350=Expiry,0,D350*E350*E350*EXP(-q*Q350)*_xlfn.NORM.S.DIST(Y350,0)*SQRT(Q350)/100))</f>
        <v/>
      </c>
      <c r="P350" s="69" t="str">
        <f>IF(A350="","",IF(A350=Expiry,0,AK350*I350*Mult*((-EXP(-q*Q350)*E350*_xlfn.NORM.S.DIST(Y350,0)*sigma/(2*SQRT(Q350))-r_dom*K*EXP(-r_dom*Q350)*_xlfn.NORM.S.DIST(Z350,1)+q*E350*EXP(-q*Q350)*_xlfn.NORM.S.DIST(Y350,1))/365)))</f>
        <v/>
      </c>
      <c r="Q350" s="83" t="str">
        <f t="shared" si="143"/>
        <v/>
      </c>
      <c r="R350" s="38"/>
      <c r="S350" s="68" t="str">
        <f t="shared" si="144"/>
        <v/>
      </c>
      <c r="T350" s="69" t="str">
        <f t="shared" si="145"/>
        <v/>
      </c>
      <c r="U350" s="70" t="str">
        <f t="shared" si="146"/>
        <v/>
      </c>
      <c r="V350" s="72" t="str">
        <f t="shared" si="147"/>
        <v/>
      </c>
      <c r="W350" s="2" t="str">
        <f t="shared" si="134"/>
        <v/>
      </c>
      <c r="X350" s="2" t="str">
        <f t="shared" si="129"/>
        <v/>
      </c>
      <c r="Y350" s="35" t="str">
        <f t="shared" ca="1" si="148"/>
        <v/>
      </c>
      <c r="Z350" s="36" t="str">
        <f t="shared" ca="1" si="149"/>
        <v/>
      </c>
      <c r="AA350" s="70" t="str">
        <f t="shared" si="150"/>
        <v/>
      </c>
      <c r="AB350" s="2"/>
      <c r="AC350" s="94" t="str">
        <f t="shared" si="130"/>
        <v/>
      </c>
      <c r="AD350" s="95" t="str">
        <f t="shared" si="131"/>
        <v/>
      </c>
      <c r="AE350" s="96" t="str">
        <f t="shared" si="132"/>
        <v/>
      </c>
      <c r="AF350" s="124" t="str">
        <f t="shared" si="133"/>
        <v/>
      </c>
      <c r="AG350" s="2"/>
      <c r="AH350" s="2"/>
      <c r="AI350" s="2"/>
      <c r="AJ350" s="2"/>
      <c r="AK350" s="2"/>
      <c r="AL350" s="2"/>
    </row>
    <row r="351" spans="1:38" x14ac:dyDescent="0.2">
      <c r="A351" s="45"/>
      <c r="B351" s="43" t="str">
        <f t="shared" si="136"/>
        <v/>
      </c>
      <c r="C351" s="96" t="str">
        <f t="shared" si="135"/>
        <v/>
      </c>
      <c r="D351" s="44" t="str">
        <f t="shared" si="137"/>
        <v/>
      </c>
      <c r="E351" s="52"/>
      <c r="F351" s="63" t="str">
        <f t="shared" si="138"/>
        <v/>
      </c>
      <c r="G351" s="56" t="str">
        <f t="shared" si="139"/>
        <v/>
      </c>
      <c r="H351" s="42"/>
      <c r="I351" s="2" t="str">
        <f t="shared" si="140"/>
        <v/>
      </c>
      <c r="J351" s="54" t="str">
        <f t="shared" si="127"/>
        <v/>
      </c>
      <c r="K351" s="55" t="str">
        <f t="shared" si="141"/>
        <v/>
      </c>
      <c r="L351" s="63" t="str">
        <f t="shared" si="142"/>
        <v/>
      </c>
      <c r="M351" s="96" t="str">
        <f t="shared" si="128"/>
        <v/>
      </c>
      <c r="N351" s="96" t="str">
        <f>IF(A351="","",IF(A351=Expiry,0,EXP(-q*Q351)*_xlfn.NORM.S.DIST(Y351,0)/(sigma*SQRT(Q351))*I351*Mult/100))</f>
        <v/>
      </c>
      <c r="O351" s="96" t="str">
        <f>IF(A351="","",IF(A351=Expiry,0,D351*E351*E351*EXP(-q*Q351)*_xlfn.NORM.S.DIST(Y351,0)*SQRT(Q351)/100))</f>
        <v/>
      </c>
      <c r="P351" s="69" t="str">
        <f>IF(A351="","",IF(A351=Expiry,0,AK351*I351*Mult*((-EXP(-q*Q351)*E351*_xlfn.NORM.S.DIST(Y351,0)*sigma/(2*SQRT(Q351))-r_dom*K*EXP(-r_dom*Q351)*_xlfn.NORM.S.DIST(Z351,1)+q*E351*EXP(-q*Q351)*_xlfn.NORM.S.DIST(Y351,1))/365)))</f>
        <v/>
      </c>
      <c r="Q351" s="83" t="str">
        <f t="shared" si="143"/>
        <v/>
      </c>
      <c r="R351" s="38"/>
      <c r="S351" s="68" t="str">
        <f t="shared" si="144"/>
        <v/>
      </c>
      <c r="T351" s="69" t="str">
        <f t="shared" si="145"/>
        <v/>
      </c>
      <c r="U351" s="70" t="str">
        <f t="shared" si="146"/>
        <v/>
      </c>
      <c r="V351" s="72" t="str">
        <f t="shared" si="147"/>
        <v/>
      </c>
      <c r="W351" s="2" t="str">
        <f t="shared" si="134"/>
        <v/>
      </c>
      <c r="X351" s="2" t="str">
        <f t="shared" si="129"/>
        <v/>
      </c>
      <c r="Y351" s="35" t="str">
        <f t="shared" ca="1" si="148"/>
        <v/>
      </c>
      <c r="Z351" s="36" t="str">
        <f t="shared" ca="1" si="149"/>
        <v/>
      </c>
      <c r="AA351" s="70" t="str">
        <f t="shared" si="150"/>
        <v/>
      </c>
      <c r="AB351" s="2"/>
      <c r="AC351" s="94" t="str">
        <f t="shared" si="130"/>
        <v/>
      </c>
      <c r="AD351" s="95" t="str">
        <f t="shared" si="131"/>
        <v/>
      </c>
      <c r="AE351" s="96" t="str">
        <f t="shared" si="132"/>
        <v/>
      </c>
      <c r="AF351" s="124" t="str">
        <f t="shared" si="133"/>
        <v/>
      </c>
      <c r="AG351" s="2"/>
      <c r="AH351" s="2"/>
      <c r="AI351" s="2"/>
      <c r="AJ351" s="2"/>
      <c r="AK351" s="2"/>
      <c r="AL351" s="2"/>
    </row>
    <row r="352" spans="1:38" x14ac:dyDescent="0.2">
      <c r="A352" s="45"/>
      <c r="B352" s="43" t="str">
        <f t="shared" si="136"/>
        <v/>
      </c>
      <c r="C352" s="96" t="str">
        <f t="shared" si="135"/>
        <v/>
      </c>
      <c r="D352" s="44" t="str">
        <f t="shared" si="137"/>
        <v/>
      </c>
      <c r="E352" s="52"/>
      <c r="F352" s="63" t="str">
        <f t="shared" si="138"/>
        <v/>
      </c>
      <c r="G352" s="56" t="str">
        <f t="shared" si="139"/>
        <v/>
      </c>
      <c r="H352" s="42"/>
      <c r="I352" s="2" t="str">
        <f t="shared" si="140"/>
        <v/>
      </c>
      <c r="J352" s="54" t="str">
        <f t="shared" si="127"/>
        <v/>
      </c>
      <c r="K352" s="55" t="str">
        <f t="shared" si="141"/>
        <v/>
      </c>
      <c r="L352" s="63" t="str">
        <f t="shared" si="142"/>
        <v/>
      </c>
      <c r="M352" s="96" t="str">
        <f t="shared" si="128"/>
        <v/>
      </c>
      <c r="N352" s="96" t="str">
        <f>IF(A352="","",IF(A352=Expiry,0,EXP(-q*Q352)*_xlfn.NORM.S.DIST(Y352,0)/(sigma*SQRT(Q352))*I352*Mult/100))</f>
        <v/>
      </c>
      <c r="O352" s="96" t="str">
        <f>IF(A352="","",IF(A352=Expiry,0,D352*E352*E352*EXP(-q*Q352)*_xlfn.NORM.S.DIST(Y352,0)*SQRT(Q352)/100))</f>
        <v/>
      </c>
      <c r="P352" s="69" t="str">
        <f>IF(A352="","",IF(A352=Expiry,0,AK352*I352*Mult*((-EXP(-q*Q352)*E352*_xlfn.NORM.S.DIST(Y352,0)*sigma/(2*SQRT(Q352))-r_dom*K*EXP(-r_dom*Q352)*_xlfn.NORM.S.DIST(Z352,1)+q*E352*EXP(-q*Q352)*_xlfn.NORM.S.DIST(Y352,1))/365)))</f>
        <v/>
      </c>
      <c r="Q352" s="83" t="str">
        <f t="shared" si="143"/>
        <v/>
      </c>
      <c r="R352" s="38"/>
      <c r="S352" s="68" t="str">
        <f t="shared" si="144"/>
        <v/>
      </c>
      <c r="T352" s="69" t="str">
        <f t="shared" si="145"/>
        <v/>
      </c>
      <c r="U352" s="70" t="str">
        <f t="shared" si="146"/>
        <v/>
      </c>
      <c r="V352" s="72" t="str">
        <f t="shared" si="147"/>
        <v/>
      </c>
      <c r="W352" s="2" t="str">
        <f t="shared" si="134"/>
        <v/>
      </c>
      <c r="X352" s="2" t="str">
        <f t="shared" si="129"/>
        <v/>
      </c>
      <c r="Y352" s="35" t="str">
        <f t="shared" ca="1" si="148"/>
        <v/>
      </c>
      <c r="Z352" s="36" t="str">
        <f t="shared" ca="1" si="149"/>
        <v/>
      </c>
      <c r="AA352" s="70" t="str">
        <f t="shared" si="150"/>
        <v/>
      </c>
      <c r="AB352" s="2"/>
      <c r="AC352" s="94" t="str">
        <f t="shared" si="130"/>
        <v/>
      </c>
      <c r="AD352" s="95" t="str">
        <f t="shared" si="131"/>
        <v/>
      </c>
      <c r="AE352" s="96" t="str">
        <f t="shared" si="132"/>
        <v/>
      </c>
      <c r="AF352" s="124" t="str">
        <f t="shared" si="133"/>
        <v/>
      </c>
      <c r="AG352" s="2"/>
      <c r="AH352" s="2"/>
      <c r="AI352" s="2"/>
      <c r="AJ352" s="2"/>
      <c r="AK352" s="2"/>
      <c r="AL352" s="2"/>
    </row>
    <row r="353" spans="1:38" x14ac:dyDescent="0.2">
      <c r="A353" s="45"/>
      <c r="B353" s="43" t="str">
        <f t="shared" si="136"/>
        <v/>
      </c>
      <c r="C353" s="96" t="str">
        <f t="shared" si="135"/>
        <v/>
      </c>
      <c r="D353" s="44" t="str">
        <f t="shared" si="137"/>
        <v/>
      </c>
      <c r="E353" s="52"/>
      <c r="F353" s="63" t="str">
        <f t="shared" si="138"/>
        <v/>
      </c>
      <c r="G353" s="56" t="str">
        <f t="shared" si="139"/>
        <v/>
      </c>
      <c r="H353" s="42"/>
      <c r="I353" s="2" t="str">
        <f t="shared" si="140"/>
        <v/>
      </c>
      <c r="J353" s="54" t="str">
        <f t="shared" si="127"/>
        <v/>
      </c>
      <c r="K353" s="55" t="str">
        <f t="shared" si="141"/>
        <v/>
      </c>
      <c r="L353" s="63" t="str">
        <f t="shared" si="142"/>
        <v/>
      </c>
      <c r="M353" s="96" t="str">
        <f t="shared" si="128"/>
        <v/>
      </c>
      <c r="N353" s="96" t="str">
        <f>IF(A353="","",IF(A353=Expiry,0,EXP(-q*Q353)*_xlfn.NORM.S.DIST(Y353,0)/(sigma*SQRT(Q353))*I353*Mult/100))</f>
        <v/>
      </c>
      <c r="O353" s="96" t="str">
        <f>IF(A353="","",IF(A353=Expiry,0,D353*E353*E353*EXP(-q*Q353)*_xlfn.NORM.S.DIST(Y353,0)*SQRT(Q353)/100))</f>
        <v/>
      </c>
      <c r="P353" s="69" t="str">
        <f>IF(A353="","",IF(A353=Expiry,0,AK353*I353*Mult*((-EXP(-q*Q353)*E353*_xlfn.NORM.S.DIST(Y353,0)*sigma/(2*SQRT(Q353))-r_dom*K*EXP(-r_dom*Q353)*_xlfn.NORM.S.DIST(Z353,1)+q*E353*EXP(-q*Q353)*_xlfn.NORM.S.DIST(Y353,1))/365)))</f>
        <v/>
      </c>
      <c r="Q353" s="83" t="str">
        <f t="shared" si="143"/>
        <v/>
      </c>
      <c r="R353" s="38"/>
      <c r="S353" s="68" t="str">
        <f t="shared" si="144"/>
        <v/>
      </c>
      <c r="T353" s="69" t="str">
        <f t="shared" si="145"/>
        <v/>
      </c>
      <c r="U353" s="70" t="str">
        <f t="shared" si="146"/>
        <v/>
      </c>
      <c r="V353" s="72" t="str">
        <f t="shared" si="147"/>
        <v/>
      </c>
      <c r="W353" s="2" t="str">
        <f t="shared" si="134"/>
        <v/>
      </c>
      <c r="X353" s="2" t="str">
        <f t="shared" si="129"/>
        <v/>
      </c>
      <c r="Y353" s="35" t="str">
        <f t="shared" ca="1" si="148"/>
        <v/>
      </c>
      <c r="Z353" s="36" t="str">
        <f t="shared" ca="1" si="149"/>
        <v/>
      </c>
      <c r="AA353" s="70" t="str">
        <f t="shared" si="150"/>
        <v/>
      </c>
      <c r="AB353" s="2"/>
      <c r="AC353" s="94" t="str">
        <f t="shared" si="130"/>
        <v/>
      </c>
      <c r="AD353" s="95" t="str">
        <f t="shared" si="131"/>
        <v/>
      </c>
      <c r="AE353" s="96" t="str">
        <f t="shared" si="132"/>
        <v/>
      </c>
      <c r="AF353" s="124" t="str">
        <f t="shared" si="133"/>
        <v/>
      </c>
      <c r="AG353" s="2"/>
      <c r="AH353" s="2"/>
      <c r="AI353" s="2"/>
      <c r="AJ353" s="2"/>
      <c r="AK353" s="2"/>
      <c r="AL353" s="2"/>
    </row>
    <row r="354" spans="1:38" x14ac:dyDescent="0.2">
      <c r="A354" s="45"/>
      <c r="B354" s="43" t="str">
        <f t="shared" si="136"/>
        <v/>
      </c>
      <c r="C354" s="96" t="str">
        <f t="shared" si="135"/>
        <v/>
      </c>
      <c r="D354" s="44" t="str">
        <f t="shared" si="137"/>
        <v/>
      </c>
      <c r="E354" s="52"/>
      <c r="F354" s="63" t="str">
        <f t="shared" si="138"/>
        <v/>
      </c>
      <c r="G354" s="56" t="str">
        <f t="shared" si="139"/>
        <v/>
      </c>
      <c r="H354" s="42"/>
      <c r="I354" s="2" t="str">
        <f t="shared" si="140"/>
        <v/>
      </c>
      <c r="J354" s="54" t="str">
        <f t="shared" si="127"/>
        <v/>
      </c>
      <c r="K354" s="55" t="str">
        <f t="shared" si="141"/>
        <v/>
      </c>
      <c r="L354" s="63" t="str">
        <f t="shared" si="142"/>
        <v/>
      </c>
      <c r="M354" s="96" t="str">
        <f t="shared" si="128"/>
        <v/>
      </c>
      <c r="N354" s="96" t="str">
        <f>IF(A354="","",IF(A354=Expiry,0,EXP(-q*Q354)*_xlfn.NORM.S.DIST(Y354,0)/(sigma*SQRT(Q354))*I354*Mult/100))</f>
        <v/>
      </c>
      <c r="O354" s="96" t="str">
        <f>IF(A354="","",IF(A354=Expiry,0,D354*E354*E354*EXP(-q*Q354)*_xlfn.NORM.S.DIST(Y354,0)*SQRT(Q354)/100))</f>
        <v/>
      </c>
      <c r="P354" s="69" t="str">
        <f>IF(A354="","",IF(A354=Expiry,0,AK354*I354*Mult*((-EXP(-q*Q354)*E354*_xlfn.NORM.S.DIST(Y354,0)*sigma/(2*SQRT(Q354))-r_dom*K*EXP(-r_dom*Q354)*_xlfn.NORM.S.DIST(Z354,1)+q*E354*EXP(-q*Q354)*_xlfn.NORM.S.DIST(Y354,1))/365)))</f>
        <v/>
      </c>
      <c r="Q354" s="83" t="str">
        <f t="shared" si="143"/>
        <v/>
      </c>
      <c r="R354" s="38"/>
      <c r="S354" s="68" t="str">
        <f t="shared" si="144"/>
        <v/>
      </c>
      <c r="T354" s="69" t="str">
        <f t="shared" si="145"/>
        <v/>
      </c>
      <c r="U354" s="70" t="str">
        <f t="shared" si="146"/>
        <v/>
      </c>
      <c r="V354" s="72" t="str">
        <f t="shared" si="147"/>
        <v/>
      </c>
      <c r="W354" s="2" t="str">
        <f t="shared" si="134"/>
        <v/>
      </c>
      <c r="X354" s="2" t="str">
        <f t="shared" si="129"/>
        <v/>
      </c>
      <c r="Y354" s="35" t="str">
        <f t="shared" ca="1" si="148"/>
        <v/>
      </c>
      <c r="Z354" s="36" t="str">
        <f t="shared" ca="1" si="149"/>
        <v/>
      </c>
      <c r="AA354" s="70" t="str">
        <f t="shared" si="150"/>
        <v/>
      </c>
      <c r="AB354" s="2"/>
      <c r="AC354" s="94" t="str">
        <f t="shared" si="130"/>
        <v/>
      </c>
      <c r="AD354" s="95" t="str">
        <f t="shared" si="131"/>
        <v/>
      </c>
      <c r="AE354" s="96" t="str">
        <f t="shared" si="132"/>
        <v/>
      </c>
      <c r="AF354" s="124" t="str">
        <f t="shared" si="133"/>
        <v/>
      </c>
      <c r="AG354" s="2"/>
      <c r="AH354" s="2"/>
      <c r="AI354" s="2"/>
      <c r="AJ354" s="2"/>
      <c r="AK354" s="2"/>
      <c r="AL354" s="2"/>
    </row>
    <row r="355" spans="1:38" x14ac:dyDescent="0.2">
      <c r="A355" s="45"/>
      <c r="B355" s="43" t="str">
        <f t="shared" si="136"/>
        <v/>
      </c>
      <c r="C355" s="96" t="str">
        <f t="shared" si="135"/>
        <v/>
      </c>
      <c r="D355" s="44" t="str">
        <f t="shared" si="137"/>
        <v/>
      </c>
      <c r="E355" s="52"/>
      <c r="F355" s="63" t="str">
        <f t="shared" si="138"/>
        <v/>
      </c>
      <c r="G355" s="56" t="str">
        <f t="shared" si="139"/>
        <v/>
      </c>
      <c r="H355" s="42"/>
      <c r="I355" s="2" t="str">
        <f t="shared" si="140"/>
        <v/>
      </c>
      <c r="J355" s="54" t="str">
        <f t="shared" si="127"/>
        <v/>
      </c>
      <c r="K355" s="55" t="str">
        <f t="shared" si="141"/>
        <v/>
      </c>
      <c r="L355" s="63" t="str">
        <f t="shared" si="142"/>
        <v/>
      </c>
      <c r="M355" s="96" t="str">
        <f t="shared" si="128"/>
        <v/>
      </c>
      <c r="N355" s="96" t="str">
        <f>IF(A355="","",IF(A355=Expiry,0,EXP(-q*Q355)*_xlfn.NORM.S.DIST(Y355,0)/(sigma*SQRT(Q355))*I355*Mult/100))</f>
        <v/>
      </c>
      <c r="O355" s="96" t="str">
        <f>IF(A355="","",IF(A355=Expiry,0,D355*E355*E355*EXP(-q*Q355)*_xlfn.NORM.S.DIST(Y355,0)*SQRT(Q355)/100))</f>
        <v/>
      </c>
      <c r="P355" s="69" t="str">
        <f>IF(A355="","",IF(A355=Expiry,0,AK355*I355*Mult*((-EXP(-q*Q355)*E355*_xlfn.NORM.S.DIST(Y355,0)*sigma/(2*SQRT(Q355))-r_dom*K*EXP(-r_dom*Q355)*_xlfn.NORM.S.DIST(Z355,1)+q*E355*EXP(-q*Q355)*_xlfn.NORM.S.DIST(Y355,1))/365)))</f>
        <v/>
      </c>
      <c r="Q355" s="83" t="str">
        <f t="shared" si="143"/>
        <v/>
      </c>
      <c r="R355" s="38"/>
      <c r="S355" s="68" t="str">
        <f t="shared" si="144"/>
        <v/>
      </c>
      <c r="T355" s="69" t="str">
        <f t="shared" si="145"/>
        <v/>
      </c>
      <c r="U355" s="70" t="str">
        <f t="shared" si="146"/>
        <v/>
      </c>
      <c r="V355" s="72" t="str">
        <f t="shared" si="147"/>
        <v/>
      </c>
      <c r="W355" s="2" t="str">
        <f t="shared" si="134"/>
        <v/>
      </c>
      <c r="X355" s="2" t="str">
        <f t="shared" si="129"/>
        <v/>
      </c>
      <c r="Y355" s="35" t="str">
        <f t="shared" ca="1" si="148"/>
        <v/>
      </c>
      <c r="Z355" s="36" t="str">
        <f t="shared" ca="1" si="149"/>
        <v/>
      </c>
      <c r="AA355" s="70" t="str">
        <f t="shared" si="150"/>
        <v/>
      </c>
      <c r="AB355" s="2"/>
      <c r="AC355" s="94" t="str">
        <f t="shared" si="130"/>
        <v/>
      </c>
      <c r="AD355" s="95" t="str">
        <f t="shared" si="131"/>
        <v/>
      </c>
      <c r="AE355" s="96" t="str">
        <f t="shared" si="132"/>
        <v/>
      </c>
      <c r="AF355" s="124" t="str">
        <f t="shared" si="133"/>
        <v/>
      </c>
      <c r="AG355" s="2"/>
      <c r="AH355" s="2"/>
      <c r="AI355" s="2"/>
      <c r="AJ355" s="2"/>
      <c r="AK355" s="2"/>
      <c r="AL355" s="2"/>
    </row>
    <row r="356" spans="1:38" x14ac:dyDescent="0.2">
      <c r="A356" s="45"/>
      <c r="B356" s="43" t="str">
        <f t="shared" si="136"/>
        <v/>
      </c>
      <c r="C356" s="96" t="str">
        <f t="shared" si="135"/>
        <v/>
      </c>
      <c r="D356" s="44" t="str">
        <f t="shared" si="137"/>
        <v/>
      </c>
      <c r="E356" s="52"/>
      <c r="F356" s="63" t="str">
        <f t="shared" si="138"/>
        <v/>
      </c>
      <c r="G356" s="56" t="str">
        <f t="shared" si="139"/>
        <v/>
      </c>
      <c r="H356" s="42"/>
      <c r="I356" s="2" t="str">
        <f t="shared" si="140"/>
        <v/>
      </c>
      <c r="J356" s="54" t="str">
        <f t="shared" ref="J356:J419" si="151">IF(CorP="C",AC356,AD356)</f>
        <v/>
      </c>
      <c r="K356" s="55" t="str">
        <f t="shared" si="141"/>
        <v/>
      </c>
      <c r="L356" s="63" t="str">
        <f t="shared" si="142"/>
        <v/>
      </c>
      <c r="M356" s="96" t="str">
        <f t="shared" ref="M356:M419" si="152">IF(CorP="C",AE356,AF356)</f>
        <v/>
      </c>
      <c r="N356" s="96" t="str">
        <f>IF(A356="","",IF(A356=Expiry,0,EXP(-q*Q356)*_xlfn.NORM.S.DIST(Y356,0)/(sigma*SQRT(Q356))*I356*Mult/100))</f>
        <v/>
      </c>
      <c r="O356" s="96" t="str">
        <f>IF(A356="","",IF(A356=Expiry,0,D356*E356*E356*EXP(-q*Q356)*_xlfn.NORM.S.DIST(Y356,0)*SQRT(Q356)/100))</f>
        <v/>
      </c>
      <c r="P356" s="69" t="str">
        <f>IF(A356="","",IF(A356=Expiry,0,AK356*I356*Mult*((-EXP(-q*Q356)*E356*_xlfn.NORM.S.DIST(Y356,0)*sigma/(2*SQRT(Q356))-r_dom*K*EXP(-r_dom*Q356)*_xlfn.NORM.S.DIST(Z356,1)+q*E356*EXP(-q*Q356)*_xlfn.NORM.S.DIST(Y356,1))/365)))</f>
        <v/>
      </c>
      <c r="Q356" s="83" t="str">
        <f t="shared" si="143"/>
        <v/>
      </c>
      <c r="R356" s="38"/>
      <c r="S356" s="68" t="str">
        <f t="shared" si="144"/>
        <v/>
      </c>
      <c r="T356" s="69" t="str">
        <f t="shared" si="145"/>
        <v/>
      </c>
      <c r="U356" s="70" t="str">
        <f t="shared" si="146"/>
        <v/>
      </c>
      <c r="V356" s="72" t="str">
        <f t="shared" si="147"/>
        <v/>
      </c>
      <c r="W356" s="2" t="str">
        <f t="shared" si="134"/>
        <v/>
      </c>
      <c r="X356" s="2" t="str">
        <f t="shared" ref="X356:X419" si="153">IF(A356="","",K)</f>
        <v/>
      </c>
      <c r="Y356" s="35" t="str">
        <f t="shared" ca="1" si="148"/>
        <v/>
      </c>
      <c r="Z356" s="36" t="str">
        <f t="shared" ca="1" si="149"/>
        <v/>
      </c>
      <c r="AA356" s="70" t="str">
        <f t="shared" si="150"/>
        <v/>
      </c>
      <c r="AB356" s="2"/>
      <c r="AC356" s="94" t="str">
        <f t="shared" ref="AC356:AC419" si="154">IF(A356="","",IF(A356=Expiry,MAX(E356-K,0),E356*EXP(-q*Q356)*_xlfn.NORM.S.DIST(Y356,1)-K*EXP(-r_dom*Q356)*_xlfn.NORM.S.DIST(Z356,1)))</f>
        <v/>
      </c>
      <c r="AD356" s="95" t="str">
        <f t="shared" ref="AD356:AD419" si="155">IF(A356="","",IF(A356=Expiry,MAX(K-E356,0),K*EXP(-r_dom*Q356)*_xlfn.NORM.S.DIST(-Z356,1)-E356*EXP(-q*Q356)*_xlfn.NORM.S.DIST(-Y356,1)))</f>
        <v/>
      </c>
      <c r="AE356" s="96" t="str">
        <f t="shared" ref="AE356:AE419" si="156">IF(A356="","",I356*Mult*IF(A356=Expiry,IF(E356&gt;K,1,0),EXP(-q*Q356)*_xlfn.NORM.S.DIST(Y356,1)))</f>
        <v/>
      </c>
      <c r="AF356" s="124" t="str">
        <f t="shared" ref="AF356:AF419" si="157">IF(A356="","",I356*Mult*IF(A356=Expiry,IF(E356&lt;K,-1,0),-EXP(-q*Q356)*_xlfn.NORM.S.DIST(-Y356,1)))</f>
        <v/>
      </c>
      <c r="AG356" s="2"/>
      <c r="AH356" s="2"/>
      <c r="AI356" s="2"/>
      <c r="AJ356" s="2"/>
      <c r="AK356" s="2"/>
      <c r="AL356" s="2"/>
    </row>
    <row r="357" spans="1:38" x14ac:dyDescent="0.2">
      <c r="A357" s="45"/>
      <c r="B357" s="43" t="str">
        <f t="shared" si="136"/>
        <v/>
      </c>
      <c r="C357" s="96" t="str">
        <f t="shared" si="135"/>
        <v/>
      </c>
      <c r="D357" s="44" t="str">
        <f t="shared" si="137"/>
        <v/>
      </c>
      <c r="E357" s="52"/>
      <c r="F357" s="63" t="str">
        <f t="shared" si="138"/>
        <v/>
      </c>
      <c r="G357" s="56" t="str">
        <f t="shared" si="139"/>
        <v/>
      </c>
      <c r="H357" s="42"/>
      <c r="I357" s="2" t="str">
        <f t="shared" si="140"/>
        <v/>
      </c>
      <c r="J357" s="54" t="str">
        <f t="shared" si="151"/>
        <v/>
      </c>
      <c r="K357" s="55" t="str">
        <f t="shared" si="141"/>
        <v/>
      </c>
      <c r="L357" s="63" t="str">
        <f t="shared" si="142"/>
        <v/>
      </c>
      <c r="M357" s="96" t="str">
        <f t="shared" si="152"/>
        <v/>
      </c>
      <c r="N357" s="96" t="str">
        <f>IF(A357="","",IF(A357=Expiry,0,EXP(-q*Q357)*_xlfn.NORM.S.DIST(Y357,0)/(sigma*SQRT(Q357))*I357*Mult/100))</f>
        <v/>
      </c>
      <c r="O357" s="96" t="str">
        <f>IF(A357="","",IF(A357=Expiry,0,D357*E357*E357*EXP(-q*Q357)*_xlfn.NORM.S.DIST(Y357,0)*SQRT(Q357)/100))</f>
        <v/>
      </c>
      <c r="P357" s="69" t="str">
        <f>IF(A357="","",IF(A357=Expiry,0,AK357*I357*Mult*((-EXP(-q*Q357)*E357*_xlfn.NORM.S.DIST(Y357,0)*sigma/(2*SQRT(Q357))-r_dom*K*EXP(-r_dom*Q357)*_xlfn.NORM.S.DIST(Z357,1)+q*E357*EXP(-q*Q357)*_xlfn.NORM.S.DIST(Y357,1))/365)))</f>
        <v/>
      </c>
      <c r="Q357" s="83" t="str">
        <f t="shared" si="143"/>
        <v/>
      </c>
      <c r="R357" s="38"/>
      <c r="S357" s="68" t="str">
        <f t="shared" si="144"/>
        <v/>
      </c>
      <c r="T357" s="69" t="str">
        <f t="shared" si="145"/>
        <v/>
      </c>
      <c r="U357" s="70" t="str">
        <f t="shared" si="146"/>
        <v/>
      </c>
      <c r="V357" s="72" t="str">
        <f t="shared" si="147"/>
        <v/>
      </c>
      <c r="W357" s="2" t="str">
        <f t="shared" ref="W357:W420" si="158">IF(A357="","",100)</f>
        <v/>
      </c>
      <c r="X357" s="2" t="str">
        <f t="shared" si="153"/>
        <v/>
      </c>
      <c r="Y357" s="35" t="str">
        <f t="shared" ca="1" si="148"/>
        <v/>
      </c>
      <c r="Z357" s="36" t="str">
        <f t="shared" ca="1" si="149"/>
        <v/>
      </c>
      <c r="AA357" s="70" t="str">
        <f t="shared" si="150"/>
        <v/>
      </c>
      <c r="AB357" s="2"/>
      <c r="AC357" s="94" t="str">
        <f t="shared" si="154"/>
        <v/>
      </c>
      <c r="AD357" s="95" t="str">
        <f t="shared" si="155"/>
        <v/>
      </c>
      <c r="AE357" s="96" t="str">
        <f t="shared" si="156"/>
        <v/>
      </c>
      <c r="AF357" s="124" t="str">
        <f t="shared" si="157"/>
        <v/>
      </c>
      <c r="AG357" s="2"/>
      <c r="AH357" s="2"/>
      <c r="AI357" s="2"/>
      <c r="AJ357" s="2"/>
      <c r="AK357" s="2"/>
      <c r="AL357" s="2"/>
    </row>
    <row r="358" spans="1:38" x14ac:dyDescent="0.2">
      <c r="A358" s="45"/>
      <c r="B358" s="43" t="str">
        <f t="shared" si="136"/>
        <v/>
      </c>
      <c r="C358" s="96" t="str">
        <f t="shared" ref="C358:C421" si="159">IF(A358="","",C357+B358)</f>
        <v/>
      </c>
      <c r="D358" s="44" t="str">
        <f t="shared" si="137"/>
        <v/>
      </c>
      <c r="E358" s="52"/>
      <c r="F358" s="63" t="str">
        <f t="shared" si="138"/>
        <v/>
      </c>
      <c r="G358" s="56" t="str">
        <f t="shared" si="139"/>
        <v/>
      </c>
      <c r="H358" s="42"/>
      <c r="I358" s="2" t="str">
        <f t="shared" si="140"/>
        <v/>
      </c>
      <c r="J358" s="54" t="str">
        <f t="shared" si="151"/>
        <v/>
      </c>
      <c r="K358" s="55" t="str">
        <f t="shared" si="141"/>
        <v/>
      </c>
      <c r="L358" s="63" t="str">
        <f t="shared" si="142"/>
        <v/>
      </c>
      <c r="M358" s="96" t="str">
        <f t="shared" si="152"/>
        <v/>
      </c>
      <c r="N358" s="96" t="str">
        <f>IF(A358="","",IF(A358=Expiry,0,EXP(-q*Q358)*_xlfn.NORM.S.DIST(Y358,0)/(sigma*SQRT(Q358))*I358*Mult/100))</f>
        <v/>
      </c>
      <c r="O358" s="96" t="str">
        <f>IF(A358="","",IF(A358=Expiry,0,D358*E358*E358*EXP(-q*Q358)*_xlfn.NORM.S.DIST(Y358,0)*SQRT(Q358)/100))</f>
        <v/>
      </c>
      <c r="P358" s="69" t="str">
        <f>IF(A358="","",IF(A358=Expiry,0,AK358*I358*Mult*((-EXP(-q*Q358)*E358*_xlfn.NORM.S.DIST(Y358,0)*sigma/(2*SQRT(Q358))-r_dom*K*EXP(-r_dom*Q358)*_xlfn.NORM.S.DIST(Z358,1)+q*E358*EXP(-q*Q358)*_xlfn.NORM.S.DIST(Y358,1))/365)))</f>
        <v/>
      </c>
      <c r="Q358" s="83" t="str">
        <f t="shared" si="143"/>
        <v/>
      </c>
      <c r="R358" s="38"/>
      <c r="S358" s="68" t="str">
        <f t="shared" si="144"/>
        <v/>
      </c>
      <c r="T358" s="69" t="str">
        <f t="shared" si="145"/>
        <v/>
      </c>
      <c r="U358" s="70" t="str">
        <f t="shared" si="146"/>
        <v/>
      </c>
      <c r="V358" s="72" t="str">
        <f t="shared" si="147"/>
        <v/>
      </c>
      <c r="W358" s="2" t="str">
        <f t="shared" si="158"/>
        <v/>
      </c>
      <c r="X358" s="2" t="str">
        <f t="shared" si="153"/>
        <v/>
      </c>
      <c r="Y358" s="35" t="str">
        <f t="shared" ca="1" si="148"/>
        <v/>
      </c>
      <c r="Z358" s="36" t="str">
        <f t="shared" ca="1" si="149"/>
        <v/>
      </c>
      <c r="AA358" s="70" t="str">
        <f t="shared" si="150"/>
        <v/>
      </c>
      <c r="AB358" s="2"/>
      <c r="AC358" s="94" t="str">
        <f t="shared" si="154"/>
        <v/>
      </c>
      <c r="AD358" s="95" t="str">
        <f t="shared" si="155"/>
        <v/>
      </c>
      <c r="AE358" s="96" t="str">
        <f t="shared" si="156"/>
        <v/>
      </c>
      <c r="AF358" s="124" t="str">
        <f t="shared" si="157"/>
        <v/>
      </c>
      <c r="AG358" s="2"/>
      <c r="AH358" s="2"/>
      <c r="AI358" s="2"/>
      <c r="AJ358" s="2"/>
      <c r="AK358" s="2"/>
      <c r="AL358" s="2"/>
    </row>
    <row r="359" spans="1:38" x14ac:dyDescent="0.2">
      <c r="A359" s="45"/>
      <c r="B359" s="43" t="str">
        <f t="shared" si="136"/>
        <v/>
      </c>
      <c r="C359" s="96" t="str">
        <f t="shared" si="159"/>
        <v/>
      </c>
      <c r="D359" s="44" t="str">
        <f t="shared" si="137"/>
        <v/>
      </c>
      <c r="E359" s="52"/>
      <c r="F359" s="63" t="str">
        <f t="shared" si="138"/>
        <v/>
      </c>
      <c r="G359" s="56" t="str">
        <f t="shared" si="139"/>
        <v/>
      </c>
      <c r="H359" s="42"/>
      <c r="I359" s="2" t="str">
        <f t="shared" si="140"/>
        <v/>
      </c>
      <c r="J359" s="54" t="str">
        <f t="shared" si="151"/>
        <v/>
      </c>
      <c r="K359" s="55" t="str">
        <f t="shared" si="141"/>
        <v/>
      </c>
      <c r="L359" s="63" t="str">
        <f t="shared" si="142"/>
        <v/>
      </c>
      <c r="M359" s="96" t="str">
        <f t="shared" si="152"/>
        <v/>
      </c>
      <c r="N359" s="96" t="str">
        <f>IF(A359="","",IF(A359=Expiry,0,EXP(-q*Q359)*_xlfn.NORM.S.DIST(Y359,0)/(sigma*SQRT(Q359))*I359*Mult/100))</f>
        <v/>
      </c>
      <c r="O359" s="96" t="str">
        <f>IF(A359="","",IF(A359=Expiry,0,D359*E359*E359*EXP(-q*Q359)*_xlfn.NORM.S.DIST(Y359,0)*SQRT(Q359)/100))</f>
        <v/>
      </c>
      <c r="P359" s="69" t="str">
        <f>IF(A359="","",IF(A359=Expiry,0,AK359*I359*Mult*((-EXP(-q*Q359)*E359*_xlfn.NORM.S.DIST(Y359,0)*sigma/(2*SQRT(Q359))-r_dom*K*EXP(-r_dom*Q359)*_xlfn.NORM.S.DIST(Z359,1)+q*E359*EXP(-q*Q359)*_xlfn.NORM.S.DIST(Y359,1))/365)))</f>
        <v/>
      </c>
      <c r="Q359" s="83" t="str">
        <f t="shared" si="143"/>
        <v/>
      </c>
      <c r="R359" s="38"/>
      <c r="S359" s="68" t="str">
        <f t="shared" si="144"/>
        <v/>
      </c>
      <c r="T359" s="69" t="str">
        <f t="shared" si="145"/>
        <v/>
      </c>
      <c r="U359" s="70" t="str">
        <f t="shared" si="146"/>
        <v/>
      </c>
      <c r="V359" s="72" t="str">
        <f t="shared" si="147"/>
        <v/>
      </c>
      <c r="W359" s="2" t="str">
        <f t="shared" si="158"/>
        <v/>
      </c>
      <c r="X359" s="2" t="str">
        <f t="shared" si="153"/>
        <v/>
      </c>
      <c r="Y359" s="35" t="str">
        <f t="shared" ca="1" si="148"/>
        <v/>
      </c>
      <c r="Z359" s="36" t="str">
        <f t="shared" ca="1" si="149"/>
        <v/>
      </c>
      <c r="AA359" s="70" t="str">
        <f t="shared" si="150"/>
        <v/>
      </c>
      <c r="AB359" s="2"/>
      <c r="AC359" s="94" t="str">
        <f t="shared" si="154"/>
        <v/>
      </c>
      <c r="AD359" s="95" t="str">
        <f t="shared" si="155"/>
        <v/>
      </c>
      <c r="AE359" s="96" t="str">
        <f t="shared" si="156"/>
        <v/>
      </c>
      <c r="AF359" s="124" t="str">
        <f t="shared" si="157"/>
        <v/>
      </c>
      <c r="AG359" s="2"/>
      <c r="AH359" s="2"/>
      <c r="AI359" s="2"/>
      <c r="AJ359" s="2"/>
      <c r="AK359" s="2"/>
      <c r="AL359" s="2"/>
    </row>
    <row r="360" spans="1:38" x14ac:dyDescent="0.2">
      <c r="A360" s="45"/>
      <c r="B360" s="43" t="str">
        <f t="shared" si="136"/>
        <v/>
      </c>
      <c r="C360" s="96" t="str">
        <f t="shared" si="159"/>
        <v/>
      </c>
      <c r="D360" s="44" t="str">
        <f t="shared" si="137"/>
        <v/>
      </c>
      <c r="E360" s="52"/>
      <c r="F360" s="63" t="str">
        <f t="shared" si="138"/>
        <v/>
      </c>
      <c r="G360" s="56" t="str">
        <f t="shared" si="139"/>
        <v/>
      </c>
      <c r="H360" s="42"/>
      <c r="I360" s="2" t="str">
        <f t="shared" si="140"/>
        <v/>
      </c>
      <c r="J360" s="54" t="str">
        <f t="shared" si="151"/>
        <v/>
      </c>
      <c r="K360" s="55" t="str">
        <f t="shared" si="141"/>
        <v/>
      </c>
      <c r="L360" s="63" t="str">
        <f t="shared" si="142"/>
        <v/>
      </c>
      <c r="M360" s="96" t="str">
        <f t="shared" si="152"/>
        <v/>
      </c>
      <c r="N360" s="96" t="str">
        <f>IF(A360="","",IF(A360=Expiry,0,EXP(-q*Q360)*_xlfn.NORM.S.DIST(Y360,0)/(sigma*SQRT(Q360))*I360*Mult/100))</f>
        <v/>
      </c>
      <c r="O360" s="96" t="str">
        <f>IF(A360="","",IF(A360=Expiry,0,D360*E360*E360*EXP(-q*Q360)*_xlfn.NORM.S.DIST(Y360,0)*SQRT(Q360)/100))</f>
        <v/>
      </c>
      <c r="P360" s="69" t="str">
        <f>IF(A360="","",IF(A360=Expiry,0,AK360*I360*Mult*((-EXP(-q*Q360)*E360*_xlfn.NORM.S.DIST(Y360,0)*sigma/(2*SQRT(Q360))-r_dom*K*EXP(-r_dom*Q360)*_xlfn.NORM.S.DIST(Z360,1)+q*E360*EXP(-q*Q360)*_xlfn.NORM.S.DIST(Y360,1))/365)))</f>
        <v/>
      </c>
      <c r="Q360" s="83" t="str">
        <f t="shared" si="143"/>
        <v/>
      </c>
      <c r="R360" s="38"/>
      <c r="S360" s="68" t="str">
        <f t="shared" si="144"/>
        <v/>
      </c>
      <c r="T360" s="69" t="str">
        <f t="shared" si="145"/>
        <v/>
      </c>
      <c r="U360" s="70" t="str">
        <f t="shared" si="146"/>
        <v/>
      </c>
      <c r="V360" s="72" t="str">
        <f t="shared" si="147"/>
        <v/>
      </c>
      <c r="W360" s="2" t="str">
        <f t="shared" si="158"/>
        <v/>
      </c>
      <c r="X360" s="2" t="str">
        <f t="shared" si="153"/>
        <v/>
      </c>
      <c r="Y360" s="35" t="str">
        <f t="shared" ca="1" si="148"/>
        <v/>
      </c>
      <c r="Z360" s="36" t="str">
        <f t="shared" ca="1" si="149"/>
        <v/>
      </c>
      <c r="AA360" s="70" t="str">
        <f t="shared" si="150"/>
        <v/>
      </c>
      <c r="AB360" s="2"/>
      <c r="AC360" s="94" t="str">
        <f t="shared" si="154"/>
        <v/>
      </c>
      <c r="AD360" s="95" t="str">
        <f t="shared" si="155"/>
        <v/>
      </c>
      <c r="AE360" s="96" t="str">
        <f t="shared" si="156"/>
        <v/>
      </c>
      <c r="AF360" s="124" t="str">
        <f t="shared" si="157"/>
        <v/>
      </c>
      <c r="AG360" s="2"/>
      <c r="AH360" s="2"/>
      <c r="AI360" s="2"/>
      <c r="AJ360" s="2"/>
      <c r="AK360" s="2"/>
      <c r="AL360" s="2"/>
    </row>
    <row r="361" spans="1:38" x14ac:dyDescent="0.2">
      <c r="A361" s="45"/>
      <c r="B361" s="43" t="str">
        <f t="shared" si="136"/>
        <v/>
      </c>
      <c r="C361" s="96" t="str">
        <f t="shared" si="159"/>
        <v/>
      </c>
      <c r="D361" s="44" t="str">
        <f t="shared" si="137"/>
        <v/>
      </c>
      <c r="E361" s="52"/>
      <c r="F361" s="63" t="str">
        <f t="shared" si="138"/>
        <v/>
      </c>
      <c r="G361" s="56" t="str">
        <f t="shared" si="139"/>
        <v/>
      </c>
      <c r="H361" s="42"/>
      <c r="I361" s="2" t="str">
        <f t="shared" si="140"/>
        <v/>
      </c>
      <c r="J361" s="54" t="str">
        <f t="shared" si="151"/>
        <v/>
      </c>
      <c r="K361" s="55" t="str">
        <f t="shared" si="141"/>
        <v/>
      </c>
      <c r="L361" s="63" t="str">
        <f t="shared" si="142"/>
        <v/>
      </c>
      <c r="M361" s="96" t="str">
        <f t="shared" si="152"/>
        <v/>
      </c>
      <c r="N361" s="96" t="str">
        <f>IF(A361="","",IF(A361=Expiry,0,EXP(-q*Q361)*_xlfn.NORM.S.DIST(Y361,0)/(sigma*SQRT(Q361))*I361*Mult/100))</f>
        <v/>
      </c>
      <c r="O361" s="96" t="str">
        <f>IF(A361="","",IF(A361=Expiry,0,D361*E361*E361*EXP(-q*Q361)*_xlfn.NORM.S.DIST(Y361,0)*SQRT(Q361)/100))</f>
        <v/>
      </c>
      <c r="P361" s="69" t="str">
        <f>IF(A361="","",IF(A361=Expiry,0,AK361*I361*Mult*((-EXP(-q*Q361)*E361*_xlfn.NORM.S.DIST(Y361,0)*sigma/(2*SQRT(Q361))-r_dom*K*EXP(-r_dom*Q361)*_xlfn.NORM.S.DIST(Z361,1)+q*E361*EXP(-q*Q361)*_xlfn.NORM.S.DIST(Y361,1))/365)))</f>
        <v/>
      </c>
      <c r="Q361" s="83" t="str">
        <f t="shared" si="143"/>
        <v/>
      </c>
      <c r="R361" s="38"/>
      <c r="S361" s="68" t="str">
        <f t="shared" si="144"/>
        <v/>
      </c>
      <c r="T361" s="69" t="str">
        <f t="shared" si="145"/>
        <v/>
      </c>
      <c r="U361" s="70" t="str">
        <f t="shared" si="146"/>
        <v/>
      </c>
      <c r="V361" s="72" t="str">
        <f t="shared" si="147"/>
        <v/>
      </c>
      <c r="W361" s="2" t="str">
        <f t="shared" si="158"/>
        <v/>
      </c>
      <c r="X361" s="2" t="str">
        <f t="shared" si="153"/>
        <v/>
      </c>
      <c r="Y361" s="35" t="str">
        <f t="shared" ca="1" si="148"/>
        <v/>
      </c>
      <c r="Z361" s="36" t="str">
        <f t="shared" ca="1" si="149"/>
        <v/>
      </c>
      <c r="AA361" s="70" t="str">
        <f t="shared" si="150"/>
        <v/>
      </c>
      <c r="AB361" s="2"/>
      <c r="AC361" s="94" t="str">
        <f t="shared" si="154"/>
        <v/>
      </c>
      <c r="AD361" s="95" t="str">
        <f t="shared" si="155"/>
        <v/>
      </c>
      <c r="AE361" s="96" t="str">
        <f t="shared" si="156"/>
        <v/>
      </c>
      <c r="AF361" s="124" t="str">
        <f t="shared" si="157"/>
        <v/>
      </c>
      <c r="AG361" s="2"/>
      <c r="AH361" s="2"/>
      <c r="AI361" s="2"/>
      <c r="AJ361" s="2"/>
      <c r="AK361" s="2"/>
      <c r="AL361" s="2"/>
    </row>
    <row r="362" spans="1:38" x14ac:dyDescent="0.2">
      <c r="A362" s="45"/>
      <c r="B362" s="43" t="str">
        <f t="shared" si="136"/>
        <v/>
      </c>
      <c r="C362" s="96" t="str">
        <f t="shared" si="159"/>
        <v/>
      </c>
      <c r="D362" s="44" t="str">
        <f t="shared" si="137"/>
        <v/>
      </c>
      <c r="E362" s="52"/>
      <c r="F362" s="63" t="str">
        <f t="shared" si="138"/>
        <v/>
      </c>
      <c r="G362" s="56" t="str">
        <f t="shared" si="139"/>
        <v/>
      </c>
      <c r="H362" s="42"/>
      <c r="I362" s="2" t="str">
        <f t="shared" si="140"/>
        <v/>
      </c>
      <c r="J362" s="54" t="str">
        <f t="shared" si="151"/>
        <v/>
      </c>
      <c r="K362" s="55" t="str">
        <f t="shared" si="141"/>
        <v/>
      </c>
      <c r="L362" s="63" t="str">
        <f t="shared" si="142"/>
        <v/>
      </c>
      <c r="M362" s="96" t="str">
        <f t="shared" si="152"/>
        <v/>
      </c>
      <c r="N362" s="96" t="str">
        <f>IF(A362="","",IF(A362=Expiry,0,EXP(-q*Q362)*_xlfn.NORM.S.DIST(Y362,0)/(sigma*SQRT(Q362))*I362*Mult/100))</f>
        <v/>
      </c>
      <c r="O362" s="96" t="str">
        <f>IF(A362="","",IF(A362=Expiry,0,D362*E362*E362*EXP(-q*Q362)*_xlfn.NORM.S.DIST(Y362,0)*SQRT(Q362)/100))</f>
        <v/>
      </c>
      <c r="P362" s="69" t="str">
        <f>IF(A362="","",IF(A362=Expiry,0,AK362*I362*Mult*((-EXP(-q*Q362)*E362*_xlfn.NORM.S.DIST(Y362,0)*sigma/(2*SQRT(Q362))-r_dom*K*EXP(-r_dom*Q362)*_xlfn.NORM.S.DIST(Z362,1)+q*E362*EXP(-q*Q362)*_xlfn.NORM.S.DIST(Y362,1))/365)))</f>
        <v/>
      </c>
      <c r="Q362" s="83" t="str">
        <f t="shared" si="143"/>
        <v/>
      </c>
      <c r="R362" s="38"/>
      <c r="S362" s="68" t="str">
        <f t="shared" si="144"/>
        <v/>
      </c>
      <c r="T362" s="69" t="str">
        <f t="shared" si="145"/>
        <v/>
      </c>
      <c r="U362" s="70" t="str">
        <f t="shared" si="146"/>
        <v/>
      </c>
      <c r="V362" s="72" t="str">
        <f t="shared" si="147"/>
        <v/>
      </c>
      <c r="W362" s="2" t="str">
        <f t="shared" si="158"/>
        <v/>
      </c>
      <c r="X362" s="2" t="str">
        <f t="shared" si="153"/>
        <v/>
      </c>
      <c r="Y362" s="35" t="str">
        <f t="shared" ca="1" si="148"/>
        <v/>
      </c>
      <c r="Z362" s="36" t="str">
        <f t="shared" ca="1" si="149"/>
        <v/>
      </c>
      <c r="AA362" s="70" t="str">
        <f t="shared" si="150"/>
        <v/>
      </c>
      <c r="AB362" s="2"/>
      <c r="AC362" s="94" t="str">
        <f t="shared" si="154"/>
        <v/>
      </c>
      <c r="AD362" s="95" t="str">
        <f t="shared" si="155"/>
        <v/>
      </c>
      <c r="AE362" s="96" t="str">
        <f t="shared" si="156"/>
        <v/>
      </c>
      <c r="AF362" s="124" t="str">
        <f t="shared" si="157"/>
        <v/>
      </c>
      <c r="AG362" s="2"/>
      <c r="AH362" s="2"/>
      <c r="AI362" s="2"/>
      <c r="AJ362" s="2"/>
      <c r="AK362" s="2"/>
      <c r="AL362" s="2"/>
    </row>
    <row r="363" spans="1:38" x14ac:dyDescent="0.2">
      <c r="A363" s="45"/>
      <c r="B363" s="43" t="str">
        <f t="shared" si="136"/>
        <v/>
      </c>
      <c r="C363" s="96" t="str">
        <f t="shared" si="159"/>
        <v/>
      </c>
      <c r="D363" s="44" t="str">
        <f t="shared" si="137"/>
        <v/>
      </c>
      <c r="E363" s="52"/>
      <c r="F363" s="63" t="str">
        <f t="shared" si="138"/>
        <v/>
      </c>
      <c r="G363" s="56" t="str">
        <f t="shared" si="139"/>
        <v/>
      </c>
      <c r="H363" s="42"/>
      <c r="I363" s="2" t="str">
        <f t="shared" si="140"/>
        <v/>
      </c>
      <c r="J363" s="54" t="str">
        <f t="shared" si="151"/>
        <v/>
      </c>
      <c r="K363" s="55" t="str">
        <f t="shared" si="141"/>
        <v/>
      </c>
      <c r="L363" s="63" t="str">
        <f t="shared" si="142"/>
        <v/>
      </c>
      <c r="M363" s="96" t="str">
        <f t="shared" si="152"/>
        <v/>
      </c>
      <c r="N363" s="96" t="str">
        <f>IF(A363="","",IF(A363=Expiry,0,EXP(-q*Q363)*_xlfn.NORM.S.DIST(Y363,0)/(sigma*SQRT(Q363))*I363*Mult/100))</f>
        <v/>
      </c>
      <c r="O363" s="96" t="str">
        <f>IF(A363="","",IF(A363=Expiry,0,D363*E363*E363*EXP(-q*Q363)*_xlfn.NORM.S.DIST(Y363,0)*SQRT(Q363)/100))</f>
        <v/>
      </c>
      <c r="P363" s="69" t="str">
        <f>IF(A363="","",IF(A363=Expiry,0,AK363*I363*Mult*((-EXP(-q*Q363)*E363*_xlfn.NORM.S.DIST(Y363,0)*sigma/(2*SQRT(Q363))-r_dom*K*EXP(-r_dom*Q363)*_xlfn.NORM.S.DIST(Z363,1)+q*E363*EXP(-q*Q363)*_xlfn.NORM.S.DIST(Y363,1))/365)))</f>
        <v/>
      </c>
      <c r="Q363" s="83" t="str">
        <f t="shared" si="143"/>
        <v/>
      </c>
      <c r="R363" s="38"/>
      <c r="S363" s="68" t="str">
        <f t="shared" si="144"/>
        <v/>
      </c>
      <c r="T363" s="69" t="str">
        <f t="shared" si="145"/>
        <v/>
      </c>
      <c r="U363" s="70" t="str">
        <f t="shared" si="146"/>
        <v/>
      </c>
      <c r="V363" s="72" t="str">
        <f t="shared" si="147"/>
        <v/>
      </c>
      <c r="W363" s="2" t="str">
        <f t="shared" si="158"/>
        <v/>
      </c>
      <c r="X363" s="2" t="str">
        <f t="shared" si="153"/>
        <v/>
      </c>
      <c r="Y363" s="35" t="str">
        <f t="shared" ca="1" si="148"/>
        <v/>
      </c>
      <c r="Z363" s="36" t="str">
        <f t="shared" ca="1" si="149"/>
        <v/>
      </c>
      <c r="AA363" s="70" t="str">
        <f t="shared" si="150"/>
        <v/>
      </c>
      <c r="AB363" s="2"/>
      <c r="AC363" s="94" t="str">
        <f t="shared" si="154"/>
        <v/>
      </c>
      <c r="AD363" s="95" t="str">
        <f t="shared" si="155"/>
        <v/>
      </c>
      <c r="AE363" s="96" t="str">
        <f t="shared" si="156"/>
        <v/>
      </c>
      <c r="AF363" s="124" t="str">
        <f t="shared" si="157"/>
        <v/>
      </c>
      <c r="AG363" s="2"/>
      <c r="AH363" s="2"/>
      <c r="AI363" s="2"/>
      <c r="AJ363" s="2"/>
      <c r="AK363" s="2"/>
      <c r="AL363" s="2"/>
    </row>
    <row r="364" spans="1:38" x14ac:dyDescent="0.2">
      <c r="A364" s="45"/>
      <c r="B364" s="43" t="str">
        <f t="shared" si="136"/>
        <v/>
      </c>
      <c r="C364" s="96" t="str">
        <f t="shared" si="159"/>
        <v/>
      </c>
      <c r="D364" s="44" t="str">
        <f t="shared" si="137"/>
        <v/>
      </c>
      <c r="E364" s="52"/>
      <c r="F364" s="63" t="str">
        <f t="shared" si="138"/>
        <v/>
      </c>
      <c r="G364" s="56" t="str">
        <f t="shared" si="139"/>
        <v/>
      </c>
      <c r="H364" s="42"/>
      <c r="I364" s="2" t="str">
        <f t="shared" si="140"/>
        <v/>
      </c>
      <c r="J364" s="54" t="str">
        <f t="shared" si="151"/>
        <v/>
      </c>
      <c r="K364" s="55" t="str">
        <f t="shared" si="141"/>
        <v/>
      </c>
      <c r="L364" s="63" t="str">
        <f t="shared" si="142"/>
        <v/>
      </c>
      <c r="M364" s="96" t="str">
        <f t="shared" si="152"/>
        <v/>
      </c>
      <c r="N364" s="96" t="str">
        <f>IF(A364="","",IF(A364=Expiry,0,EXP(-q*Q364)*_xlfn.NORM.S.DIST(Y364,0)/(sigma*SQRT(Q364))*I364*Mult/100))</f>
        <v/>
      </c>
      <c r="O364" s="96" t="str">
        <f>IF(A364="","",IF(A364=Expiry,0,D364*E364*E364*EXP(-q*Q364)*_xlfn.NORM.S.DIST(Y364,0)*SQRT(Q364)/100))</f>
        <v/>
      </c>
      <c r="P364" s="69" t="str">
        <f>IF(A364="","",IF(A364=Expiry,0,AK364*I364*Mult*((-EXP(-q*Q364)*E364*_xlfn.NORM.S.DIST(Y364,0)*sigma/(2*SQRT(Q364))-r_dom*K*EXP(-r_dom*Q364)*_xlfn.NORM.S.DIST(Z364,1)+q*E364*EXP(-q*Q364)*_xlfn.NORM.S.DIST(Y364,1))/365)))</f>
        <v/>
      </c>
      <c r="Q364" s="83" t="str">
        <f t="shared" si="143"/>
        <v/>
      </c>
      <c r="R364" s="38"/>
      <c r="S364" s="68" t="str">
        <f t="shared" si="144"/>
        <v/>
      </c>
      <c r="T364" s="69" t="str">
        <f t="shared" si="145"/>
        <v/>
      </c>
      <c r="U364" s="70" t="str">
        <f t="shared" si="146"/>
        <v/>
      </c>
      <c r="V364" s="72" t="str">
        <f t="shared" si="147"/>
        <v/>
      </c>
      <c r="W364" s="2" t="str">
        <f t="shared" si="158"/>
        <v/>
      </c>
      <c r="X364" s="2" t="str">
        <f t="shared" si="153"/>
        <v/>
      </c>
      <c r="Y364" s="35" t="str">
        <f t="shared" ca="1" si="148"/>
        <v/>
      </c>
      <c r="Z364" s="36" t="str">
        <f t="shared" ca="1" si="149"/>
        <v/>
      </c>
      <c r="AA364" s="70" t="str">
        <f t="shared" si="150"/>
        <v/>
      </c>
      <c r="AB364" s="2"/>
      <c r="AC364" s="94" t="str">
        <f t="shared" si="154"/>
        <v/>
      </c>
      <c r="AD364" s="95" t="str">
        <f t="shared" si="155"/>
        <v/>
      </c>
      <c r="AE364" s="96" t="str">
        <f t="shared" si="156"/>
        <v/>
      </c>
      <c r="AF364" s="124" t="str">
        <f t="shared" si="157"/>
        <v/>
      </c>
      <c r="AG364" s="2"/>
      <c r="AH364" s="2"/>
      <c r="AI364" s="2"/>
      <c r="AJ364" s="2"/>
      <c r="AK364" s="2"/>
      <c r="AL364" s="2"/>
    </row>
    <row r="365" spans="1:38" x14ac:dyDescent="0.2">
      <c r="A365" s="45"/>
      <c r="B365" s="43" t="str">
        <f t="shared" si="136"/>
        <v/>
      </c>
      <c r="C365" s="96" t="str">
        <f t="shared" si="159"/>
        <v/>
      </c>
      <c r="D365" s="44" t="str">
        <f t="shared" si="137"/>
        <v/>
      </c>
      <c r="E365" s="52"/>
      <c r="F365" s="63" t="str">
        <f t="shared" si="138"/>
        <v/>
      </c>
      <c r="G365" s="56" t="str">
        <f t="shared" si="139"/>
        <v/>
      </c>
      <c r="H365" s="42"/>
      <c r="I365" s="2" t="str">
        <f t="shared" si="140"/>
        <v/>
      </c>
      <c r="J365" s="54" t="str">
        <f t="shared" si="151"/>
        <v/>
      </c>
      <c r="K365" s="55" t="str">
        <f t="shared" si="141"/>
        <v/>
      </c>
      <c r="L365" s="63" t="str">
        <f t="shared" si="142"/>
        <v/>
      </c>
      <c r="M365" s="96" t="str">
        <f t="shared" si="152"/>
        <v/>
      </c>
      <c r="N365" s="96" t="str">
        <f>IF(A365="","",IF(A365=Expiry,0,EXP(-q*Q365)*_xlfn.NORM.S.DIST(Y365,0)/(sigma*SQRT(Q365))*I365*Mult/100))</f>
        <v/>
      </c>
      <c r="O365" s="96" t="str">
        <f>IF(A365="","",IF(A365=Expiry,0,D365*E365*E365*EXP(-q*Q365)*_xlfn.NORM.S.DIST(Y365,0)*SQRT(Q365)/100))</f>
        <v/>
      </c>
      <c r="P365" s="69" t="str">
        <f>IF(A365="","",IF(A365=Expiry,0,AK365*I365*Mult*((-EXP(-q*Q365)*E365*_xlfn.NORM.S.DIST(Y365,0)*sigma/(2*SQRT(Q365))-r_dom*K*EXP(-r_dom*Q365)*_xlfn.NORM.S.DIST(Z365,1)+q*E365*EXP(-q*Q365)*_xlfn.NORM.S.DIST(Y365,1))/365)))</f>
        <v/>
      </c>
      <c r="Q365" s="83" t="str">
        <f t="shared" si="143"/>
        <v/>
      </c>
      <c r="R365" s="38"/>
      <c r="S365" s="68" t="str">
        <f t="shared" si="144"/>
        <v/>
      </c>
      <c r="T365" s="69" t="str">
        <f t="shared" si="145"/>
        <v/>
      </c>
      <c r="U365" s="70" t="str">
        <f t="shared" si="146"/>
        <v/>
      </c>
      <c r="V365" s="72" t="str">
        <f t="shared" si="147"/>
        <v/>
      </c>
      <c r="W365" s="2" t="str">
        <f t="shared" si="158"/>
        <v/>
      </c>
      <c r="X365" s="2" t="str">
        <f t="shared" si="153"/>
        <v/>
      </c>
      <c r="Y365" s="35" t="str">
        <f t="shared" ca="1" si="148"/>
        <v/>
      </c>
      <c r="Z365" s="36" t="str">
        <f t="shared" ca="1" si="149"/>
        <v/>
      </c>
      <c r="AA365" s="70" t="str">
        <f t="shared" si="150"/>
        <v/>
      </c>
      <c r="AB365" s="2"/>
      <c r="AC365" s="94" t="str">
        <f t="shared" si="154"/>
        <v/>
      </c>
      <c r="AD365" s="95" t="str">
        <f t="shared" si="155"/>
        <v/>
      </c>
      <c r="AE365" s="96" t="str">
        <f t="shared" si="156"/>
        <v/>
      </c>
      <c r="AF365" s="124" t="str">
        <f t="shared" si="157"/>
        <v/>
      </c>
      <c r="AG365" s="2"/>
      <c r="AH365" s="2"/>
      <c r="AI365" s="2"/>
      <c r="AJ365" s="2"/>
      <c r="AK365" s="2"/>
      <c r="AL365" s="2"/>
    </row>
    <row r="366" spans="1:38" x14ac:dyDescent="0.2">
      <c r="A366" s="45"/>
      <c r="B366" s="43" t="str">
        <f t="shared" si="136"/>
        <v/>
      </c>
      <c r="C366" s="96" t="str">
        <f t="shared" si="159"/>
        <v/>
      </c>
      <c r="D366" s="44" t="str">
        <f t="shared" si="137"/>
        <v/>
      </c>
      <c r="E366" s="52"/>
      <c r="F366" s="63" t="str">
        <f t="shared" si="138"/>
        <v/>
      </c>
      <c r="G366" s="56" t="str">
        <f t="shared" si="139"/>
        <v/>
      </c>
      <c r="H366" s="42"/>
      <c r="I366" s="2" t="str">
        <f t="shared" si="140"/>
        <v/>
      </c>
      <c r="J366" s="54" t="str">
        <f t="shared" si="151"/>
        <v/>
      </c>
      <c r="K366" s="55" t="str">
        <f t="shared" si="141"/>
        <v/>
      </c>
      <c r="L366" s="63" t="str">
        <f t="shared" si="142"/>
        <v/>
      </c>
      <c r="M366" s="96" t="str">
        <f t="shared" si="152"/>
        <v/>
      </c>
      <c r="N366" s="96" t="str">
        <f>IF(A366="","",IF(A366=Expiry,0,EXP(-q*Q366)*_xlfn.NORM.S.DIST(Y366,0)/(sigma*SQRT(Q366))*I366*Mult/100))</f>
        <v/>
      </c>
      <c r="O366" s="96" t="str">
        <f>IF(A366="","",IF(A366=Expiry,0,D366*E366*E366*EXP(-q*Q366)*_xlfn.NORM.S.DIST(Y366,0)*SQRT(Q366)/100))</f>
        <v/>
      </c>
      <c r="P366" s="69" t="str">
        <f>IF(A366="","",IF(A366=Expiry,0,AK366*I366*Mult*((-EXP(-q*Q366)*E366*_xlfn.NORM.S.DIST(Y366,0)*sigma/(2*SQRT(Q366))-r_dom*K*EXP(-r_dom*Q366)*_xlfn.NORM.S.DIST(Z366,1)+q*E366*EXP(-q*Q366)*_xlfn.NORM.S.DIST(Y366,1))/365)))</f>
        <v/>
      </c>
      <c r="Q366" s="83" t="str">
        <f t="shared" si="143"/>
        <v/>
      </c>
      <c r="R366" s="38"/>
      <c r="S366" s="68" t="str">
        <f t="shared" si="144"/>
        <v/>
      </c>
      <c r="T366" s="69" t="str">
        <f t="shared" si="145"/>
        <v/>
      </c>
      <c r="U366" s="70" t="str">
        <f t="shared" si="146"/>
        <v/>
      </c>
      <c r="V366" s="72" t="str">
        <f t="shared" si="147"/>
        <v/>
      </c>
      <c r="W366" s="2" t="str">
        <f t="shared" si="158"/>
        <v/>
      </c>
      <c r="X366" s="2" t="str">
        <f t="shared" si="153"/>
        <v/>
      </c>
      <c r="Y366" s="35" t="str">
        <f t="shared" ca="1" si="148"/>
        <v/>
      </c>
      <c r="Z366" s="36" t="str">
        <f t="shared" ca="1" si="149"/>
        <v/>
      </c>
      <c r="AA366" s="70" t="str">
        <f t="shared" si="150"/>
        <v/>
      </c>
      <c r="AB366" s="2"/>
      <c r="AC366" s="94" t="str">
        <f t="shared" si="154"/>
        <v/>
      </c>
      <c r="AD366" s="95" t="str">
        <f t="shared" si="155"/>
        <v/>
      </c>
      <c r="AE366" s="96" t="str">
        <f t="shared" si="156"/>
        <v/>
      </c>
      <c r="AF366" s="124" t="str">
        <f t="shared" si="157"/>
        <v/>
      </c>
      <c r="AG366" s="2"/>
      <c r="AH366" s="2"/>
      <c r="AI366" s="2"/>
      <c r="AJ366" s="2"/>
      <c r="AK366" s="2"/>
      <c r="AL366" s="2"/>
    </row>
    <row r="367" spans="1:38" x14ac:dyDescent="0.2">
      <c r="A367" s="45"/>
      <c r="B367" s="43" t="str">
        <f t="shared" si="136"/>
        <v/>
      </c>
      <c r="C367" s="96" t="str">
        <f t="shared" si="159"/>
        <v/>
      </c>
      <c r="D367" s="44" t="str">
        <f t="shared" si="137"/>
        <v/>
      </c>
      <c r="E367" s="52"/>
      <c r="F367" s="63" t="str">
        <f t="shared" si="138"/>
        <v/>
      </c>
      <c r="G367" s="56" t="str">
        <f t="shared" si="139"/>
        <v/>
      </c>
      <c r="H367" s="42"/>
      <c r="I367" s="2" t="str">
        <f t="shared" si="140"/>
        <v/>
      </c>
      <c r="J367" s="54" t="str">
        <f t="shared" si="151"/>
        <v/>
      </c>
      <c r="K367" s="55" t="str">
        <f t="shared" si="141"/>
        <v/>
      </c>
      <c r="L367" s="63" t="str">
        <f t="shared" si="142"/>
        <v/>
      </c>
      <c r="M367" s="96" t="str">
        <f t="shared" si="152"/>
        <v/>
      </c>
      <c r="N367" s="96" t="str">
        <f>IF(A367="","",IF(A367=Expiry,0,EXP(-q*Q367)*_xlfn.NORM.S.DIST(Y367,0)/(sigma*SQRT(Q367))*I367*Mult/100))</f>
        <v/>
      </c>
      <c r="O367" s="96" t="str">
        <f>IF(A367="","",IF(A367=Expiry,0,D367*E367*E367*EXP(-q*Q367)*_xlfn.NORM.S.DIST(Y367,0)*SQRT(Q367)/100))</f>
        <v/>
      </c>
      <c r="P367" s="69" t="str">
        <f>IF(A367="","",IF(A367=Expiry,0,AK367*I367*Mult*((-EXP(-q*Q367)*E367*_xlfn.NORM.S.DIST(Y367,0)*sigma/(2*SQRT(Q367))-r_dom*K*EXP(-r_dom*Q367)*_xlfn.NORM.S.DIST(Z367,1)+q*E367*EXP(-q*Q367)*_xlfn.NORM.S.DIST(Y367,1))/365)))</f>
        <v/>
      </c>
      <c r="Q367" s="83" t="str">
        <f t="shared" si="143"/>
        <v/>
      </c>
      <c r="R367" s="38"/>
      <c r="S367" s="68" t="str">
        <f t="shared" si="144"/>
        <v/>
      </c>
      <c r="T367" s="69" t="str">
        <f t="shared" si="145"/>
        <v/>
      </c>
      <c r="U367" s="70" t="str">
        <f t="shared" si="146"/>
        <v/>
      </c>
      <c r="V367" s="72" t="str">
        <f t="shared" si="147"/>
        <v/>
      </c>
      <c r="W367" s="2" t="str">
        <f t="shared" si="158"/>
        <v/>
      </c>
      <c r="X367" s="2" t="str">
        <f t="shared" si="153"/>
        <v/>
      </c>
      <c r="Y367" s="35" t="str">
        <f t="shared" ca="1" si="148"/>
        <v/>
      </c>
      <c r="Z367" s="36" t="str">
        <f t="shared" ca="1" si="149"/>
        <v/>
      </c>
      <c r="AA367" s="70" t="str">
        <f t="shared" si="150"/>
        <v/>
      </c>
      <c r="AB367" s="2"/>
      <c r="AC367" s="94" t="str">
        <f t="shared" si="154"/>
        <v/>
      </c>
      <c r="AD367" s="95" t="str">
        <f t="shared" si="155"/>
        <v/>
      </c>
      <c r="AE367" s="96" t="str">
        <f t="shared" si="156"/>
        <v/>
      </c>
      <c r="AF367" s="124" t="str">
        <f t="shared" si="157"/>
        <v/>
      </c>
      <c r="AG367" s="2"/>
      <c r="AH367" s="2"/>
      <c r="AI367" s="2"/>
      <c r="AJ367" s="2"/>
      <c r="AK367" s="2"/>
      <c r="AL367" s="2"/>
    </row>
    <row r="368" spans="1:38" x14ac:dyDescent="0.2">
      <c r="A368" s="45"/>
      <c r="B368" s="43" t="str">
        <f t="shared" si="136"/>
        <v/>
      </c>
      <c r="C368" s="96" t="str">
        <f t="shared" si="159"/>
        <v/>
      </c>
      <c r="D368" s="44" t="str">
        <f t="shared" si="137"/>
        <v/>
      </c>
      <c r="E368" s="52"/>
      <c r="F368" s="63" t="str">
        <f t="shared" si="138"/>
        <v/>
      </c>
      <c r="G368" s="56" t="str">
        <f t="shared" si="139"/>
        <v/>
      </c>
      <c r="H368" s="42"/>
      <c r="I368" s="2" t="str">
        <f t="shared" si="140"/>
        <v/>
      </c>
      <c r="J368" s="54" t="str">
        <f t="shared" si="151"/>
        <v/>
      </c>
      <c r="K368" s="55" t="str">
        <f t="shared" si="141"/>
        <v/>
      </c>
      <c r="L368" s="63" t="str">
        <f t="shared" si="142"/>
        <v/>
      </c>
      <c r="M368" s="96" t="str">
        <f t="shared" si="152"/>
        <v/>
      </c>
      <c r="N368" s="96" t="str">
        <f>IF(A368="","",IF(A368=Expiry,0,EXP(-q*Q368)*_xlfn.NORM.S.DIST(Y368,0)/(sigma*SQRT(Q368))*I368*Mult/100))</f>
        <v/>
      </c>
      <c r="O368" s="96" t="str">
        <f>IF(A368="","",IF(A368=Expiry,0,D368*E368*E368*EXP(-q*Q368)*_xlfn.NORM.S.DIST(Y368,0)*SQRT(Q368)/100))</f>
        <v/>
      </c>
      <c r="P368" s="69" t="str">
        <f>IF(A368="","",IF(A368=Expiry,0,AK368*I368*Mult*((-EXP(-q*Q368)*E368*_xlfn.NORM.S.DIST(Y368,0)*sigma/(2*SQRT(Q368))-r_dom*K*EXP(-r_dom*Q368)*_xlfn.NORM.S.DIST(Z368,1)+q*E368*EXP(-q*Q368)*_xlfn.NORM.S.DIST(Y368,1))/365)))</f>
        <v/>
      </c>
      <c r="Q368" s="83" t="str">
        <f t="shared" si="143"/>
        <v/>
      </c>
      <c r="R368" s="38"/>
      <c r="S368" s="68" t="str">
        <f t="shared" si="144"/>
        <v/>
      </c>
      <c r="T368" s="69" t="str">
        <f t="shared" si="145"/>
        <v/>
      </c>
      <c r="U368" s="70" t="str">
        <f t="shared" si="146"/>
        <v/>
      </c>
      <c r="V368" s="72" t="str">
        <f t="shared" si="147"/>
        <v/>
      </c>
      <c r="W368" s="2" t="str">
        <f t="shared" si="158"/>
        <v/>
      </c>
      <c r="X368" s="2" t="str">
        <f t="shared" si="153"/>
        <v/>
      </c>
      <c r="Y368" s="35" t="str">
        <f t="shared" ca="1" si="148"/>
        <v/>
      </c>
      <c r="Z368" s="36" t="str">
        <f t="shared" ca="1" si="149"/>
        <v/>
      </c>
      <c r="AA368" s="70" t="str">
        <f t="shared" si="150"/>
        <v/>
      </c>
      <c r="AB368" s="2"/>
      <c r="AC368" s="94" t="str">
        <f t="shared" si="154"/>
        <v/>
      </c>
      <c r="AD368" s="95" t="str">
        <f t="shared" si="155"/>
        <v/>
      </c>
      <c r="AE368" s="96" t="str">
        <f t="shared" si="156"/>
        <v/>
      </c>
      <c r="AF368" s="124" t="str">
        <f t="shared" si="157"/>
        <v/>
      </c>
      <c r="AG368" s="2"/>
      <c r="AH368" s="2"/>
      <c r="AI368" s="2"/>
      <c r="AJ368" s="2"/>
      <c r="AK368" s="2"/>
      <c r="AL368" s="2"/>
    </row>
    <row r="369" spans="1:38" x14ac:dyDescent="0.2">
      <c r="A369" s="45"/>
      <c r="B369" s="43" t="str">
        <f t="shared" si="136"/>
        <v/>
      </c>
      <c r="C369" s="96" t="str">
        <f t="shared" si="159"/>
        <v/>
      </c>
      <c r="D369" s="44" t="str">
        <f t="shared" si="137"/>
        <v/>
      </c>
      <c r="E369" s="52"/>
      <c r="F369" s="63" t="str">
        <f t="shared" si="138"/>
        <v/>
      </c>
      <c r="G369" s="56" t="str">
        <f t="shared" si="139"/>
        <v/>
      </c>
      <c r="H369" s="42"/>
      <c r="I369" s="2" t="str">
        <f t="shared" si="140"/>
        <v/>
      </c>
      <c r="J369" s="54" t="str">
        <f t="shared" si="151"/>
        <v/>
      </c>
      <c r="K369" s="55" t="str">
        <f t="shared" si="141"/>
        <v/>
      </c>
      <c r="L369" s="63" t="str">
        <f t="shared" si="142"/>
        <v/>
      </c>
      <c r="M369" s="96" t="str">
        <f t="shared" si="152"/>
        <v/>
      </c>
      <c r="N369" s="96" t="str">
        <f>IF(A369="","",IF(A369=Expiry,0,EXP(-q*Q369)*_xlfn.NORM.S.DIST(Y369,0)/(sigma*SQRT(Q369))*I369*Mult/100))</f>
        <v/>
      </c>
      <c r="O369" s="96" t="str">
        <f>IF(A369="","",IF(A369=Expiry,0,D369*E369*E369*EXP(-q*Q369)*_xlfn.NORM.S.DIST(Y369,0)*SQRT(Q369)/100))</f>
        <v/>
      </c>
      <c r="P369" s="69" t="str">
        <f>IF(A369="","",IF(A369=Expiry,0,AK369*I369*Mult*((-EXP(-q*Q369)*E369*_xlfn.NORM.S.DIST(Y369,0)*sigma/(2*SQRT(Q369))-r_dom*K*EXP(-r_dom*Q369)*_xlfn.NORM.S.DIST(Z369,1)+q*E369*EXP(-q*Q369)*_xlfn.NORM.S.DIST(Y369,1))/365)))</f>
        <v/>
      </c>
      <c r="Q369" s="83" t="str">
        <f t="shared" si="143"/>
        <v/>
      </c>
      <c r="R369" s="38"/>
      <c r="S369" s="68" t="str">
        <f t="shared" si="144"/>
        <v/>
      </c>
      <c r="T369" s="69" t="str">
        <f t="shared" si="145"/>
        <v/>
      </c>
      <c r="U369" s="70" t="str">
        <f t="shared" si="146"/>
        <v/>
      </c>
      <c r="V369" s="72" t="str">
        <f t="shared" si="147"/>
        <v/>
      </c>
      <c r="W369" s="2" t="str">
        <f t="shared" si="158"/>
        <v/>
      </c>
      <c r="X369" s="2" t="str">
        <f t="shared" si="153"/>
        <v/>
      </c>
      <c r="Y369" s="35" t="str">
        <f t="shared" ca="1" si="148"/>
        <v/>
      </c>
      <c r="Z369" s="36" t="str">
        <f t="shared" ca="1" si="149"/>
        <v/>
      </c>
      <c r="AA369" s="70" t="str">
        <f t="shared" si="150"/>
        <v/>
      </c>
      <c r="AB369" s="2"/>
      <c r="AC369" s="94" t="str">
        <f t="shared" si="154"/>
        <v/>
      </c>
      <c r="AD369" s="95" t="str">
        <f t="shared" si="155"/>
        <v/>
      </c>
      <c r="AE369" s="96" t="str">
        <f t="shared" si="156"/>
        <v/>
      </c>
      <c r="AF369" s="124" t="str">
        <f t="shared" si="157"/>
        <v/>
      </c>
      <c r="AG369" s="2"/>
      <c r="AH369" s="2"/>
      <c r="AI369" s="2"/>
      <c r="AJ369" s="2"/>
      <c r="AK369" s="2"/>
      <c r="AL369" s="2"/>
    </row>
    <row r="370" spans="1:38" x14ac:dyDescent="0.2">
      <c r="A370" s="45"/>
      <c r="B370" s="43" t="str">
        <f t="shared" ref="B370:B433" si="160">IF(A370="","",-(M370+C369))</f>
        <v/>
      </c>
      <c r="C370" s="96" t="str">
        <f t="shared" si="159"/>
        <v/>
      </c>
      <c r="D370" s="44" t="str">
        <f t="shared" ref="D370:D433" si="161">IF(A370="","",C370*E370)</f>
        <v/>
      </c>
      <c r="E370" s="52"/>
      <c r="F370" s="63" t="str">
        <f t="shared" ref="F370:F433" si="162">IF(A370="","",C369*(E370-E369))</f>
        <v/>
      </c>
      <c r="G370" s="56" t="str">
        <f t="shared" ref="G370:G433" si="163">IF(H370="","",J370)</f>
        <v/>
      </c>
      <c r="H370" s="42"/>
      <c r="I370" s="2" t="str">
        <f t="shared" ref="I370:I433" si="164">IF(A370="","",I369+H370)</f>
        <v/>
      </c>
      <c r="J370" s="54" t="str">
        <f t="shared" si="151"/>
        <v/>
      </c>
      <c r="K370" s="55" t="str">
        <f t="shared" ref="K370:K433" si="165">IF(I370="","",I370*Mult*J370)</f>
        <v/>
      </c>
      <c r="L370" s="63" t="str">
        <f t="shared" ref="L370:L433" si="166">IF(A370="","",Mult*(IFERROR(0,H370*(G370-J370))+(I370-H370)*(J370-J369)))</f>
        <v/>
      </c>
      <c r="M370" s="96" t="str">
        <f t="shared" si="152"/>
        <v/>
      </c>
      <c r="N370" s="96" t="str">
        <f>IF(A370="","",IF(A370=Expiry,0,EXP(-q*Q370)*_xlfn.NORM.S.DIST(Y370,0)/(sigma*SQRT(Q370))*I370*Mult/100))</f>
        <v/>
      </c>
      <c r="O370" s="96" t="str">
        <f>IF(A370="","",IF(A370=Expiry,0,D370*E370*E370*EXP(-q*Q370)*_xlfn.NORM.S.DIST(Y370,0)*SQRT(Q370)/100))</f>
        <v/>
      </c>
      <c r="P370" s="69" t="str">
        <f>IF(A370="","",IF(A370=Expiry,0,AK370*I370*Mult*((-EXP(-q*Q370)*E370*_xlfn.NORM.S.DIST(Y370,0)*sigma/(2*SQRT(Q370))-r_dom*K*EXP(-r_dom*Q370)*_xlfn.NORM.S.DIST(Z370,1)+q*E370*EXP(-q*Q370)*_xlfn.NORM.S.DIST(Y370,1))/365)))</f>
        <v/>
      </c>
      <c r="Q370" s="83" t="str">
        <f t="shared" ref="Q370:Q433" si="167">IF(A370="","",IF(OR(A370="",Expiry&lt;=A370),0,(Expiry-A370)/365))</f>
        <v/>
      </c>
      <c r="R370" s="38"/>
      <c r="S370" s="68" t="str">
        <f t="shared" ref="S370:S433" si="168">IF(A370="","",F370+L370)</f>
        <v/>
      </c>
      <c r="T370" s="69" t="str">
        <f t="shared" ref="T370:T433" si="169">IF(A370="","",T369+S370)</f>
        <v/>
      </c>
      <c r="U370" s="70" t="str">
        <f t="shared" ref="U370:U433" si="170">IF(A370="","",LN(T370/T369))</f>
        <v/>
      </c>
      <c r="V370" s="72" t="str">
        <f t="shared" ref="V370:V433" si="171">IF(A370="","",V369*EXP(U370))</f>
        <v/>
      </c>
      <c r="W370" s="2" t="str">
        <f t="shared" si="158"/>
        <v/>
      </c>
      <c r="X370" s="2" t="str">
        <f t="shared" si="153"/>
        <v/>
      </c>
      <c r="Y370" s="35" t="str">
        <f t="shared" ref="Y370:Y433" ca="1" si="172">IF(OR(A370="",A370=Expiry),"",((LN(E370/K)+(r_dom-q+sigma^2/2)*Q370))/(sigma*SQRT(Q370)))</f>
        <v/>
      </c>
      <c r="Z370" s="36" t="str">
        <f t="shared" ref="Z370:Z433" ca="1" si="173">IF(OR(A370="",A370=Expiry),"",Y370-sigma*SQRT(Q370))</f>
        <v/>
      </c>
      <c r="AA370" s="70" t="str">
        <f t="shared" ref="AA370:AA433" si="174">IF(A370="","",LN(E370/E369))</f>
        <v/>
      </c>
      <c r="AB370" s="2"/>
      <c r="AC370" s="94" t="str">
        <f t="shared" si="154"/>
        <v/>
      </c>
      <c r="AD370" s="95" t="str">
        <f t="shared" si="155"/>
        <v/>
      </c>
      <c r="AE370" s="96" t="str">
        <f t="shared" si="156"/>
        <v/>
      </c>
      <c r="AF370" s="124" t="str">
        <f t="shared" si="157"/>
        <v/>
      </c>
      <c r="AG370" s="2"/>
      <c r="AH370" s="2"/>
      <c r="AI370" s="2"/>
      <c r="AJ370" s="2"/>
      <c r="AK370" s="2"/>
      <c r="AL370" s="2"/>
    </row>
    <row r="371" spans="1:38" x14ac:dyDescent="0.2">
      <c r="A371" s="45"/>
      <c r="B371" s="43" t="str">
        <f t="shared" si="160"/>
        <v/>
      </c>
      <c r="C371" s="96" t="str">
        <f t="shared" si="159"/>
        <v/>
      </c>
      <c r="D371" s="44" t="str">
        <f t="shared" si="161"/>
        <v/>
      </c>
      <c r="E371" s="52"/>
      <c r="F371" s="63" t="str">
        <f t="shared" si="162"/>
        <v/>
      </c>
      <c r="G371" s="56" t="str">
        <f t="shared" si="163"/>
        <v/>
      </c>
      <c r="H371" s="42"/>
      <c r="I371" s="2" t="str">
        <f t="shared" si="164"/>
        <v/>
      </c>
      <c r="J371" s="54" t="str">
        <f t="shared" si="151"/>
        <v/>
      </c>
      <c r="K371" s="55" t="str">
        <f t="shared" si="165"/>
        <v/>
      </c>
      <c r="L371" s="63" t="str">
        <f t="shared" si="166"/>
        <v/>
      </c>
      <c r="M371" s="96" t="str">
        <f t="shared" si="152"/>
        <v/>
      </c>
      <c r="N371" s="96" t="str">
        <f>IF(A371="","",IF(A371=Expiry,0,EXP(-q*Q371)*_xlfn.NORM.S.DIST(Y371,0)/(sigma*SQRT(Q371))*I371*Mult/100))</f>
        <v/>
      </c>
      <c r="O371" s="96" t="str">
        <f>IF(A371="","",IF(A371=Expiry,0,D371*E371*E371*EXP(-q*Q371)*_xlfn.NORM.S.DIST(Y371,0)*SQRT(Q371)/100))</f>
        <v/>
      </c>
      <c r="P371" s="69" t="str">
        <f>IF(A371="","",IF(A371=Expiry,0,AK371*I371*Mult*((-EXP(-q*Q371)*E371*_xlfn.NORM.S.DIST(Y371,0)*sigma/(2*SQRT(Q371))-r_dom*K*EXP(-r_dom*Q371)*_xlfn.NORM.S.DIST(Z371,1)+q*E371*EXP(-q*Q371)*_xlfn.NORM.S.DIST(Y371,1))/365)))</f>
        <v/>
      </c>
      <c r="Q371" s="83" t="str">
        <f t="shared" si="167"/>
        <v/>
      </c>
      <c r="R371" s="38"/>
      <c r="S371" s="68" t="str">
        <f t="shared" si="168"/>
        <v/>
      </c>
      <c r="T371" s="69" t="str">
        <f t="shared" si="169"/>
        <v/>
      </c>
      <c r="U371" s="70" t="str">
        <f t="shared" si="170"/>
        <v/>
      </c>
      <c r="V371" s="72" t="str">
        <f t="shared" si="171"/>
        <v/>
      </c>
      <c r="W371" s="2" t="str">
        <f t="shared" si="158"/>
        <v/>
      </c>
      <c r="X371" s="2" t="str">
        <f t="shared" si="153"/>
        <v/>
      </c>
      <c r="Y371" s="35" t="str">
        <f t="shared" ca="1" si="172"/>
        <v/>
      </c>
      <c r="Z371" s="36" t="str">
        <f t="shared" ca="1" si="173"/>
        <v/>
      </c>
      <c r="AA371" s="70" t="str">
        <f t="shared" si="174"/>
        <v/>
      </c>
      <c r="AB371" s="2"/>
      <c r="AC371" s="94" t="str">
        <f t="shared" si="154"/>
        <v/>
      </c>
      <c r="AD371" s="95" t="str">
        <f t="shared" si="155"/>
        <v/>
      </c>
      <c r="AE371" s="96" t="str">
        <f t="shared" si="156"/>
        <v/>
      </c>
      <c r="AF371" s="124" t="str">
        <f t="shared" si="157"/>
        <v/>
      </c>
      <c r="AG371" s="2"/>
      <c r="AH371" s="2"/>
      <c r="AI371" s="2"/>
      <c r="AJ371" s="2"/>
      <c r="AK371" s="2"/>
      <c r="AL371" s="2"/>
    </row>
    <row r="372" spans="1:38" x14ac:dyDescent="0.2">
      <c r="A372" s="45"/>
      <c r="B372" s="43" t="str">
        <f t="shared" si="160"/>
        <v/>
      </c>
      <c r="C372" s="96" t="str">
        <f t="shared" si="159"/>
        <v/>
      </c>
      <c r="D372" s="44" t="str">
        <f t="shared" si="161"/>
        <v/>
      </c>
      <c r="E372" s="52"/>
      <c r="F372" s="63" t="str">
        <f t="shared" si="162"/>
        <v/>
      </c>
      <c r="G372" s="56" t="str">
        <f t="shared" si="163"/>
        <v/>
      </c>
      <c r="H372" s="42"/>
      <c r="I372" s="2" t="str">
        <f t="shared" si="164"/>
        <v/>
      </c>
      <c r="J372" s="54" t="str">
        <f t="shared" si="151"/>
        <v/>
      </c>
      <c r="K372" s="55" t="str">
        <f t="shared" si="165"/>
        <v/>
      </c>
      <c r="L372" s="63" t="str">
        <f t="shared" si="166"/>
        <v/>
      </c>
      <c r="M372" s="96" t="str">
        <f t="shared" si="152"/>
        <v/>
      </c>
      <c r="N372" s="96" t="str">
        <f>IF(A372="","",IF(A372=Expiry,0,EXP(-q*Q372)*_xlfn.NORM.S.DIST(Y372,0)/(sigma*SQRT(Q372))*I372*Mult/100))</f>
        <v/>
      </c>
      <c r="O372" s="96" t="str">
        <f>IF(A372="","",IF(A372=Expiry,0,D372*E372*E372*EXP(-q*Q372)*_xlfn.NORM.S.DIST(Y372,0)*SQRT(Q372)/100))</f>
        <v/>
      </c>
      <c r="P372" s="69" t="str">
        <f>IF(A372="","",IF(A372=Expiry,0,AK372*I372*Mult*((-EXP(-q*Q372)*E372*_xlfn.NORM.S.DIST(Y372,0)*sigma/(2*SQRT(Q372))-r_dom*K*EXP(-r_dom*Q372)*_xlfn.NORM.S.DIST(Z372,1)+q*E372*EXP(-q*Q372)*_xlfn.NORM.S.DIST(Y372,1))/365)))</f>
        <v/>
      </c>
      <c r="Q372" s="83" t="str">
        <f t="shared" si="167"/>
        <v/>
      </c>
      <c r="R372" s="38"/>
      <c r="S372" s="68" t="str">
        <f t="shared" si="168"/>
        <v/>
      </c>
      <c r="T372" s="69" t="str">
        <f t="shared" si="169"/>
        <v/>
      </c>
      <c r="U372" s="70" t="str">
        <f t="shared" si="170"/>
        <v/>
      </c>
      <c r="V372" s="72" t="str">
        <f t="shared" si="171"/>
        <v/>
      </c>
      <c r="W372" s="2" t="str">
        <f t="shared" si="158"/>
        <v/>
      </c>
      <c r="X372" s="2" t="str">
        <f t="shared" si="153"/>
        <v/>
      </c>
      <c r="Y372" s="35" t="str">
        <f t="shared" ca="1" si="172"/>
        <v/>
      </c>
      <c r="Z372" s="36" t="str">
        <f t="shared" ca="1" si="173"/>
        <v/>
      </c>
      <c r="AA372" s="70" t="str">
        <f t="shared" si="174"/>
        <v/>
      </c>
      <c r="AB372" s="2"/>
      <c r="AC372" s="94" t="str">
        <f t="shared" si="154"/>
        <v/>
      </c>
      <c r="AD372" s="95" t="str">
        <f t="shared" si="155"/>
        <v/>
      </c>
      <c r="AE372" s="96" t="str">
        <f t="shared" si="156"/>
        <v/>
      </c>
      <c r="AF372" s="124" t="str">
        <f t="shared" si="157"/>
        <v/>
      </c>
      <c r="AG372" s="2"/>
      <c r="AH372" s="2"/>
      <c r="AI372" s="2"/>
      <c r="AJ372" s="2"/>
      <c r="AK372" s="2"/>
      <c r="AL372" s="2"/>
    </row>
    <row r="373" spans="1:38" x14ac:dyDescent="0.2">
      <c r="A373" s="45"/>
      <c r="B373" s="43" t="str">
        <f t="shared" si="160"/>
        <v/>
      </c>
      <c r="C373" s="96" t="str">
        <f t="shared" si="159"/>
        <v/>
      </c>
      <c r="D373" s="44" t="str">
        <f t="shared" si="161"/>
        <v/>
      </c>
      <c r="E373" s="52"/>
      <c r="F373" s="63" t="str">
        <f t="shared" si="162"/>
        <v/>
      </c>
      <c r="G373" s="56" t="str">
        <f t="shared" si="163"/>
        <v/>
      </c>
      <c r="H373" s="42"/>
      <c r="I373" s="2" t="str">
        <f t="shared" si="164"/>
        <v/>
      </c>
      <c r="J373" s="54" t="str">
        <f t="shared" si="151"/>
        <v/>
      </c>
      <c r="K373" s="55" t="str">
        <f t="shared" si="165"/>
        <v/>
      </c>
      <c r="L373" s="63" t="str">
        <f t="shared" si="166"/>
        <v/>
      </c>
      <c r="M373" s="96" t="str">
        <f t="shared" si="152"/>
        <v/>
      </c>
      <c r="N373" s="96" t="str">
        <f>IF(A373="","",IF(A373=Expiry,0,EXP(-q*Q373)*_xlfn.NORM.S.DIST(Y373,0)/(sigma*SQRT(Q373))*I373*Mult/100))</f>
        <v/>
      </c>
      <c r="O373" s="96" t="str">
        <f>IF(A373="","",IF(A373=Expiry,0,D373*E373*E373*EXP(-q*Q373)*_xlfn.NORM.S.DIST(Y373,0)*SQRT(Q373)/100))</f>
        <v/>
      </c>
      <c r="P373" s="69" t="str">
        <f>IF(A373="","",IF(A373=Expiry,0,AK373*I373*Mult*((-EXP(-q*Q373)*E373*_xlfn.NORM.S.DIST(Y373,0)*sigma/(2*SQRT(Q373))-r_dom*K*EXP(-r_dom*Q373)*_xlfn.NORM.S.DIST(Z373,1)+q*E373*EXP(-q*Q373)*_xlfn.NORM.S.DIST(Y373,1))/365)))</f>
        <v/>
      </c>
      <c r="Q373" s="83" t="str">
        <f t="shared" si="167"/>
        <v/>
      </c>
      <c r="R373" s="38"/>
      <c r="S373" s="68" t="str">
        <f t="shared" si="168"/>
        <v/>
      </c>
      <c r="T373" s="69" t="str">
        <f t="shared" si="169"/>
        <v/>
      </c>
      <c r="U373" s="70" t="str">
        <f t="shared" si="170"/>
        <v/>
      </c>
      <c r="V373" s="72" t="str">
        <f t="shared" si="171"/>
        <v/>
      </c>
      <c r="W373" s="2" t="str">
        <f t="shared" si="158"/>
        <v/>
      </c>
      <c r="X373" s="2" t="str">
        <f t="shared" si="153"/>
        <v/>
      </c>
      <c r="Y373" s="35" t="str">
        <f t="shared" ca="1" si="172"/>
        <v/>
      </c>
      <c r="Z373" s="36" t="str">
        <f t="shared" ca="1" si="173"/>
        <v/>
      </c>
      <c r="AA373" s="70" t="str">
        <f t="shared" si="174"/>
        <v/>
      </c>
      <c r="AB373" s="2"/>
      <c r="AC373" s="94" t="str">
        <f t="shared" si="154"/>
        <v/>
      </c>
      <c r="AD373" s="95" t="str">
        <f t="shared" si="155"/>
        <v/>
      </c>
      <c r="AE373" s="96" t="str">
        <f t="shared" si="156"/>
        <v/>
      </c>
      <c r="AF373" s="124" t="str">
        <f t="shared" si="157"/>
        <v/>
      </c>
      <c r="AG373" s="2"/>
      <c r="AH373" s="2"/>
      <c r="AI373" s="2"/>
      <c r="AJ373" s="2"/>
      <c r="AK373" s="2"/>
      <c r="AL373" s="2"/>
    </row>
    <row r="374" spans="1:38" x14ac:dyDescent="0.2">
      <c r="A374" s="45"/>
      <c r="B374" s="43" t="str">
        <f t="shared" si="160"/>
        <v/>
      </c>
      <c r="C374" s="96" t="str">
        <f t="shared" si="159"/>
        <v/>
      </c>
      <c r="D374" s="44" t="str">
        <f t="shared" si="161"/>
        <v/>
      </c>
      <c r="E374" s="52"/>
      <c r="F374" s="63" t="str">
        <f t="shared" si="162"/>
        <v/>
      </c>
      <c r="G374" s="56" t="str">
        <f t="shared" si="163"/>
        <v/>
      </c>
      <c r="H374" s="42"/>
      <c r="I374" s="2" t="str">
        <f t="shared" si="164"/>
        <v/>
      </c>
      <c r="J374" s="54" t="str">
        <f t="shared" si="151"/>
        <v/>
      </c>
      <c r="K374" s="55" t="str">
        <f t="shared" si="165"/>
        <v/>
      </c>
      <c r="L374" s="63" t="str">
        <f t="shared" si="166"/>
        <v/>
      </c>
      <c r="M374" s="96" t="str">
        <f t="shared" si="152"/>
        <v/>
      </c>
      <c r="N374" s="96" t="str">
        <f>IF(A374="","",IF(A374=Expiry,0,EXP(-q*Q374)*_xlfn.NORM.S.DIST(Y374,0)/(sigma*SQRT(Q374))*I374*Mult/100))</f>
        <v/>
      </c>
      <c r="O374" s="96" t="str">
        <f>IF(A374="","",IF(A374=Expiry,0,D374*E374*E374*EXP(-q*Q374)*_xlfn.NORM.S.DIST(Y374,0)*SQRT(Q374)/100))</f>
        <v/>
      </c>
      <c r="P374" s="69" t="str">
        <f>IF(A374="","",IF(A374=Expiry,0,AK374*I374*Mult*((-EXP(-q*Q374)*E374*_xlfn.NORM.S.DIST(Y374,0)*sigma/(2*SQRT(Q374))-r_dom*K*EXP(-r_dom*Q374)*_xlfn.NORM.S.DIST(Z374,1)+q*E374*EXP(-q*Q374)*_xlfn.NORM.S.DIST(Y374,1))/365)))</f>
        <v/>
      </c>
      <c r="Q374" s="83" t="str">
        <f t="shared" si="167"/>
        <v/>
      </c>
      <c r="R374" s="38"/>
      <c r="S374" s="68" t="str">
        <f t="shared" si="168"/>
        <v/>
      </c>
      <c r="T374" s="69" t="str">
        <f t="shared" si="169"/>
        <v/>
      </c>
      <c r="U374" s="70" t="str">
        <f t="shared" si="170"/>
        <v/>
      </c>
      <c r="V374" s="72" t="str">
        <f t="shared" si="171"/>
        <v/>
      </c>
      <c r="W374" s="2" t="str">
        <f t="shared" si="158"/>
        <v/>
      </c>
      <c r="X374" s="2" t="str">
        <f t="shared" si="153"/>
        <v/>
      </c>
      <c r="Y374" s="35" t="str">
        <f t="shared" ca="1" si="172"/>
        <v/>
      </c>
      <c r="Z374" s="36" t="str">
        <f t="shared" ca="1" si="173"/>
        <v/>
      </c>
      <c r="AA374" s="70" t="str">
        <f t="shared" si="174"/>
        <v/>
      </c>
      <c r="AB374" s="2"/>
      <c r="AC374" s="94" t="str">
        <f t="shared" si="154"/>
        <v/>
      </c>
      <c r="AD374" s="95" t="str">
        <f t="shared" si="155"/>
        <v/>
      </c>
      <c r="AE374" s="96" t="str">
        <f t="shared" si="156"/>
        <v/>
      </c>
      <c r="AF374" s="124" t="str">
        <f t="shared" si="157"/>
        <v/>
      </c>
      <c r="AG374" s="2"/>
      <c r="AH374" s="2"/>
      <c r="AI374" s="2"/>
      <c r="AJ374" s="2"/>
      <c r="AK374" s="2"/>
      <c r="AL374" s="2"/>
    </row>
    <row r="375" spans="1:38" x14ac:dyDescent="0.2">
      <c r="A375" s="45"/>
      <c r="B375" s="43" t="str">
        <f t="shared" si="160"/>
        <v/>
      </c>
      <c r="C375" s="96" t="str">
        <f t="shared" si="159"/>
        <v/>
      </c>
      <c r="D375" s="44" t="str">
        <f t="shared" si="161"/>
        <v/>
      </c>
      <c r="E375" s="52"/>
      <c r="F375" s="63" t="str">
        <f t="shared" si="162"/>
        <v/>
      </c>
      <c r="G375" s="56" t="str">
        <f t="shared" si="163"/>
        <v/>
      </c>
      <c r="H375" s="42"/>
      <c r="I375" s="2" t="str">
        <f t="shared" si="164"/>
        <v/>
      </c>
      <c r="J375" s="54" t="str">
        <f t="shared" si="151"/>
        <v/>
      </c>
      <c r="K375" s="55" t="str">
        <f t="shared" si="165"/>
        <v/>
      </c>
      <c r="L375" s="63" t="str">
        <f t="shared" si="166"/>
        <v/>
      </c>
      <c r="M375" s="96" t="str">
        <f t="shared" si="152"/>
        <v/>
      </c>
      <c r="N375" s="96" t="str">
        <f>IF(A375="","",IF(A375=Expiry,0,EXP(-q*Q375)*_xlfn.NORM.S.DIST(Y375,0)/(sigma*SQRT(Q375))*I375*Mult/100))</f>
        <v/>
      </c>
      <c r="O375" s="96" t="str">
        <f>IF(A375="","",IF(A375=Expiry,0,D375*E375*E375*EXP(-q*Q375)*_xlfn.NORM.S.DIST(Y375,0)*SQRT(Q375)/100))</f>
        <v/>
      </c>
      <c r="P375" s="69" t="str">
        <f>IF(A375="","",IF(A375=Expiry,0,AK375*I375*Mult*((-EXP(-q*Q375)*E375*_xlfn.NORM.S.DIST(Y375,0)*sigma/(2*SQRT(Q375))-r_dom*K*EXP(-r_dom*Q375)*_xlfn.NORM.S.DIST(Z375,1)+q*E375*EXP(-q*Q375)*_xlfn.NORM.S.DIST(Y375,1))/365)))</f>
        <v/>
      </c>
      <c r="Q375" s="83" t="str">
        <f t="shared" si="167"/>
        <v/>
      </c>
      <c r="R375" s="38"/>
      <c r="S375" s="68" t="str">
        <f t="shared" si="168"/>
        <v/>
      </c>
      <c r="T375" s="69" t="str">
        <f t="shared" si="169"/>
        <v/>
      </c>
      <c r="U375" s="70" t="str">
        <f t="shared" si="170"/>
        <v/>
      </c>
      <c r="V375" s="72" t="str">
        <f t="shared" si="171"/>
        <v/>
      </c>
      <c r="W375" s="2" t="str">
        <f t="shared" si="158"/>
        <v/>
      </c>
      <c r="X375" s="2" t="str">
        <f t="shared" si="153"/>
        <v/>
      </c>
      <c r="Y375" s="35" t="str">
        <f t="shared" ca="1" si="172"/>
        <v/>
      </c>
      <c r="Z375" s="36" t="str">
        <f t="shared" ca="1" si="173"/>
        <v/>
      </c>
      <c r="AA375" s="70" t="str">
        <f t="shared" si="174"/>
        <v/>
      </c>
      <c r="AB375" s="2"/>
      <c r="AC375" s="94" t="str">
        <f t="shared" si="154"/>
        <v/>
      </c>
      <c r="AD375" s="95" t="str">
        <f t="shared" si="155"/>
        <v/>
      </c>
      <c r="AE375" s="96" t="str">
        <f t="shared" si="156"/>
        <v/>
      </c>
      <c r="AF375" s="124" t="str">
        <f t="shared" si="157"/>
        <v/>
      </c>
      <c r="AG375" s="2"/>
      <c r="AH375" s="2"/>
      <c r="AI375" s="2"/>
      <c r="AJ375" s="2"/>
      <c r="AK375" s="2"/>
      <c r="AL375" s="2"/>
    </row>
    <row r="376" spans="1:38" x14ac:dyDescent="0.2">
      <c r="A376" s="45"/>
      <c r="B376" s="43" t="str">
        <f t="shared" si="160"/>
        <v/>
      </c>
      <c r="C376" s="96" t="str">
        <f t="shared" si="159"/>
        <v/>
      </c>
      <c r="D376" s="44" t="str">
        <f t="shared" si="161"/>
        <v/>
      </c>
      <c r="E376" s="52"/>
      <c r="F376" s="63" t="str">
        <f t="shared" si="162"/>
        <v/>
      </c>
      <c r="G376" s="56" t="str">
        <f t="shared" si="163"/>
        <v/>
      </c>
      <c r="H376" s="42"/>
      <c r="I376" s="2" t="str">
        <f t="shared" si="164"/>
        <v/>
      </c>
      <c r="J376" s="54" t="str">
        <f t="shared" si="151"/>
        <v/>
      </c>
      <c r="K376" s="55" t="str">
        <f t="shared" si="165"/>
        <v/>
      </c>
      <c r="L376" s="63" t="str">
        <f t="shared" si="166"/>
        <v/>
      </c>
      <c r="M376" s="96" t="str">
        <f t="shared" si="152"/>
        <v/>
      </c>
      <c r="N376" s="96" t="str">
        <f>IF(A376="","",IF(A376=Expiry,0,EXP(-q*Q376)*_xlfn.NORM.S.DIST(Y376,0)/(sigma*SQRT(Q376))*I376*Mult/100))</f>
        <v/>
      </c>
      <c r="O376" s="96" t="str">
        <f>IF(A376="","",IF(A376=Expiry,0,D376*E376*E376*EXP(-q*Q376)*_xlfn.NORM.S.DIST(Y376,0)*SQRT(Q376)/100))</f>
        <v/>
      </c>
      <c r="P376" s="69" t="str">
        <f>IF(A376="","",IF(A376=Expiry,0,AK376*I376*Mult*((-EXP(-q*Q376)*E376*_xlfn.NORM.S.DIST(Y376,0)*sigma/(2*SQRT(Q376))-r_dom*K*EXP(-r_dom*Q376)*_xlfn.NORM.S.DIST(Z376,1)+q*E376*EXP(-q*Q376)*_xlfn.NORM.S.DIST(Y376,1))/365)))</f>
        <v/>
      </c>
      <c r="Q376" s="83" t="str">
        <f t="shared" si="167"/>
        <v/>
      </c>
      <c r="R376" s="38"/>
      <c r="S376" s="68" t="str">
        <f t="shared" si="168"/>
        <v/>
      </c>
      <c r="T376" s="69" t="str">
        <f t="shared" si="169"/>
        <v/>
      </c>
      <c r="U376" s="70" t="str">
        <f t="shared" si="170"/>
        <v/>
      </c>
      <c r="V376" s="72" t="str">
        <f t="shared" si="171"/>
        <v/>
      </c>
      <c r="W376" s="2" t="str">
        <f t="shared" si="158"/>
        <v/>
      </c>
      <c r="X376" s="2" t="str">
        <f t="shared" si="153"/>
        <v/>
      </c>
      <c r="Y376" s="35" t="str">
        <f t="shared" ca="1" si="172"/>
        <v/>
      </c>
      <c r="Z376" s="36" t="str">
        <f t="shared" ca="1" si="173"/>
        <v/>
      </c>
      <c r="AA376" s="70" t="str">
        <f t="shared" si="174"/>
        <v/>
      </c>
      <c r="AB376" s="2"/>
      <c r="AC376" s="94" t="str">
        <f t="shared" si="154"/>
        <v/>
      </c>
      <c r="AD376" s="95" t="str">
        <f t="shared" si="155"/>
        <v/>
      </c>
      <c r="AE376" s="96" t="str">
        <f t="shared" si="156"/>
        <v/>
      </c>
      <c r="AF376" s="124" t="str">
        <f t="shared" si="157"/>
        <v/>
      </c>
      <c r="AG376" s="2"/>
      <c r="AH376" s="2"/>
      <c r="AI376" s="2"/>
      <c r="AJ376" s="2"/>
      <c r="AK376" s="2"/>
      <c r="AL376" s="2"/>
    </row>
    <row r="377" spans="1:38" x14ac:dyDescent="0.2">
      <c r="A377" s="45"/>
      <c r="B377" s="43" t="str">
        <f t="shared" si="160"/>
        <v/>
      </c>
      <c r="C377" s="96" t="str">
        <f t="shared" si="159"/>
        <v/>
      </c>
      <c r="D377" s="44" t="str">
        <f t="shared" si="161"/>
        <v/>
      </c>
      <c r="E377" s="52"/>
      <c r="F377" s="63" t="str">
        <f t="shared" si="162"/>
        <v/>
      </c>
      <c r="G377" s="56" t="str">
        <f t="shared" si="163"/>
        <v/>
      </c>
      <c r="H377" s="42"/>
      <c r="I377" s="2" t="str">
        <f t="shared" si="164"/>
        <v/>
      </c>
      <c r="J377" s="54" t="str">
        <f t="shared" si="151"/>
        <v/>
      </c>
      <c r="K377" s="55" t="str">
        <f t="shared" si="165"/>
        <v/>
      </c>
      <c r="L377" s="63" t="str">
        <f t="shared" si="166"/>
        <v/>
      </c>
      <c r="M377" s="96" t="str">
        <f t="shared" si="152"/>
        <v/>
      </c>
      <c r="N377" s="96" t="str">
        <f>IF(A377="","",IF(A377=Expiry,0,EXP(-q*Q377)*_xlfn.NORM.S.DIST(Y377,0)/(sigma*SQRT(Q377))*I377*Mult/100))</f>
        <v/>
      </c>
      <c r="O377" s="96" t="str">
        <f>IF(A377="","",IF(A377=Expiry,0,D377*E377*E377*EXP(-q*Q377)*_xlfn.NORM.S.DIST(Y377,0)*SQRT(Q377)/100))</f>
        <v/>
      </c>
      <c r="P377" s="69" t="str">
        <f>IF(A377="","",IF(A377=Expiry,0,AK377*I377*Mult*((-EXP(-q*Q377)*E377*_xlfn.NORM.S.DIST(Y377,0)*sigma/(2*SQRT(Q377))-r_dom*K*EXP(-r_dom*Q377)*_xlfn.NORM.S.DIST(Z377,1)+q*E377*EXP(-q*Q377)*_xlfn.NORM.S.DIST(Y377,1))/365)))</f>
        <v/>
      </c>
      <c r="Q377" s="83" t="str">
        <f t="shared" si="167"/>
        <v/>
      </c>
      <c r="R377" s="38"/>
      <c r="S377" s="68" t="str">
        <f t="shared" si="168"/>
        <v/>
      </c>
      <c r="T377" s="69" t="str">
        <f t="shared" si="169"/>
        <v/>
      </c>
      <c r="U377" s="70" t="str">
        <f t="shared" si="170"/>
        <v/>
      </c>
      <c r="V377" s="72" t="str">
        <f t="shared" si="171"/>
        <v/>
      </c>
      <c r="W377" s="2" t="str">
        <f t="shared" si="158"/>
        <v/>
      </c>
      <c r="X377" s="2" t="str">
        <f t="shared" si="153"/>
        <v/>
      </c>
      <c r="Y377" s="35" t="str">
        <f t="shared" ca="1" si="172"/>
        <v/>
      </c>
      <c r="Z377" s="36" t="str">
        <f t="shared" ca="1" si="173"/>
        <v/>
      </c>
      <c r="AA377" s="70" t="str">
        <f t="shared" si="174"/>
        <v/>
      </c>
      <c r="AB377" s="2"/>
      <c r="AC377" s="94" t="str">
        <f t="shared" si="154"/>
        <v/>
      </c>
      <c r="AD377" s="95" t="str">
        <f t="shared" si="155"/>
        <v/>
      </c>
      <c r="AE377" s="96" t="str">
        <f t="shared" si="156"/>
        <v/>
      </c>
      <c r="AF377" s="124" t="str">
        <f t="shared" si="157"/>
        <v/>
      </c>
      <c r="AG377" s="2"/>
      <c r="AH377" s="2"/>
      <c r="AI377" s="2"/>
      <c r="AJ377" s="2"/>
      <c r="AK377" s="2"/>
      <c r="AL377" s="2"/>
    </row>
    <row r="378" spans="1:38" x14ac:dyDescent="0.2">
      <c r="A378" s="45"/>
      <c r="B378" s="43" t="str">
        <f t="shared" si="160"/>
        <v/>
      </c>
      <c r="C378" s="96" t="str">
        <f t="shared" si="159"/>
        <v/>
      </c>
      <c r="D378" s="44" t="str">
        <f t="shared" si="161"/>
        <v/>
      </c>
      <c r="E378" s="52"/>
      <c r="F378" s="63" t="str">
        <f t="shared" si="162"/>
        <v/>
      </c>
      <c r="G378" s="56" t="str">
        <f t="shared" si="163"/>
        <v/>
      </c>
      <c r="H378" s="42"/>
      <c r="I378" s="2" t="str">
        <f t="shared" si="164"/>
        <v/>
      </c>
      <c r="J378" s="54" t="str">
        <f t="shared" si="151"/>
        <v/>
      </c>
      <c r="K378" s="55" t="str">
        <f t="shared" si="165"/>
        <v/>
      </c>
      <c r="L378" s="63" t="str">
        <f t="shared" si="166"/>
        <v/>
      </c>
      <c r="M378" s="96" t="str">
        <f t="shared" si="152"/>
        <v/>
      </c>
      <c r="N378" s="96" t="str">
        <f>IF(A378="","",IF(A378=Expiry,0,EXP(-q*Q378)*_xlfn.NORM.S.DIST(Y378,0)/(sigma*SQRT(Q378))*I378*Mult/100))</f>
        <v/>
      </c>
      <c r="O378" s="96" t="str">
        <f>IF(A378="","",IF(A378=Expiry,0,D378*E378*E378*EXP(-q*Q378)*_xlfn.NORM.S.DIST(Y378,0)*SQRT(Q378)/100))</f>
        <v/>
      </c>
      <c r="P378" s="69" t="str">
        <f>IF(A378="","",IF(A378=Expiry,0,AK378*I378*Mult*((-EXP(-q*Q378)*E378*_xlfn.NORM.S.DIST(Y378,0)*sigma/(2*SQRT(Q378))-r_dom*K*EXP(-r_dom*Q378)*_xlfn.NORM.S.DIST(Z378,1)+q*E378*EXP(-q*Q378)*_xlfn.NORM.S.DIST(Y378,1))/365)))</f>
        <v/>
      </c>
      <c r="Q378" s="83" t="str">
        <f t="shared" si="167"/>
        <v/>
      </c>
      <c r="R378" s="38"/>
      <c r="S378" s="68" t="str">
        <f t="shared" si="168"/>
        <v/>
      </c>
      <c r="T378" s="69" t="str">
        <f t="shared" si="169"/>
        <v/>
      </c>
      <c r="U378" s="70" t="str">
        <f t="shared" si="170"/>
        <v/>
      </c>
      <c r="V378" s="72" t="str">
        <f t="shared" si="171"/>
        <v/>
      </c>
      <c r="W378" s="2" t="str">
        <f t="shared" si="158"/>
        <v/>
      </c>
      <c r="X378" s="2" t="str">
        <f t="shared" si="153"/>
        <v/>
      </c>
      <c r="Y378" s="35" t="str">
        <f t="shared" ca="1" si="172"/>
        <v/>
      </c>
      <c r="Z378" s="36" t="str">
        <f t="shared" ca="1" si="173"/>
        <v/>
      </c>
      <c r="AA378" s="70" t="str">
        <f t="shared" si="174"/>
        <v/>
      </c>
      <c r="AB378" s="2"/>
      <c r="AC378" s="94" t="str">
        <f t="shared" si="154"/>
        <v/>
      </c>
      <c r="AD378" s="95" t="str">
        <f t="shared" si="155"/>
        <v/>
      </c>
      <c r="AE378" s="96" t="str">
        <f t="shared" si="156"/>
        <v/>
      </c>
      <c r="AF378" s="124" t="str">
        <f t="shared" si="157"/>
        <v/>
      </c>
      <c r="AG378" s="2"/>
      <c r="AH378" s="2"/>
      <c r="AI378" s="2"/>
      <c r="AJ378" s="2"/>
      <c r="AK378" s="2"/>
      <c r="AL378" s="2"/>
    </row>
    <row r="379" spans="1:38" x14ac:dyDescent="0.2">
      <c r="A379" s="45"/>
      <c r="B379" s="43" t="str">
        <f t="shared" si="160"/>
        <v/>
      </c>
      <c r="C379" s="96" t="str">
        <f t="shared" si="159"/>
        <v/>
      </c>
      <c r="D379" s="44" t="str">
        <f t="shared" si="161"/>
        <v/>
      </c>
      <c r="E379" s="52"/>
      <c r="F379" s="63" t="str">
        <f t="shared" si="162"/>
        <v/>
      </c>
      <c r="G379" s="56" t="str">
        <f t="shared" si="163"/>
        <v/>
      </c>
      <c r="H379" s="42"/>
      <c r="I379" s="2" t="str">
        <f t="shared" si="164"/>
        <v/>
      </c>
      <c r="J379" s="54" t="str">
        <f t="shared" si="151"/>
        <v/>
      </c>
      <c r="K379" s="55" t="str">
        <f t="shared" si="165"/>
        <v/>
      </c>
      <c r="L379" s="63" t="str">
        <f t="shared" si="166"/>
        <v/>
      </c>
      <c r="M379" s="96" t="str">
        <f t="shared" si="152"/>
        <v/>
      </c>
      <c r="N379" s="96" t="str">
        <f>IF(A379="","",IF(A379=Expiry,0,EXP(-q*Q379)*_xlfn.NORM.S.DIST(Y379,0)/(sigma*SQRT(Q379))*I379*Mult/100))</f>
        <v/>
      </c>
      <c r="O379" s="96" t="str">
        <f>IF(A379="","",IF(A379=Expiry,0,D379*E379*E379*EXP(-q*Q379)*_xlfn.NORM.S.DIST(Y379,0)*SQRT(Q379)/100))</f>
        <v/>
      </c>
      <c r="P379" s="69" t="str">
        <f>IF(A379="","",IF(A379=Expiry,0,AK379*I379*Mult*((-EXP(-q*Q379)*E379*_xlfn.NORM.S.DIST(Y379,0)*sigma/(2*SQRT(Q379))-r_dom*K*EXP(-r_dom*Q379)*_xlfn.NORM.S.DIST(Z379,1)+q*E379*EXP(-q*Q379)*_xlfn.NORM.S.DIST(Y379,1))/365)))</f>
        <v/>
      </c>
      <c r="Q379" s="83" t="str">
        <f t="shared" si="167"/>
        <v/>
      </c>
      <c r="R379" s="38"/>
      <c r="S379" s="68" t="str">
        <f t="shared" si="168"/>
        <v/>
      </c>
      <c r="T379" s="69" t="str">
        <f t="shared" si="169"/>
        <v/>
      </c>
      <c r="U379" s="70" t="str">
        <f t="shared" si="170"/>
        <v/>
      </c>
      <c r="V379" s="72" t="str">
        <f t="shared" si="171"/>
        <v/>
      </c>
      <c r="W379" s="2" t="str">
        <f t="shared" si="158"/>
        <v/>
      </c>
      <c r="X379" s="2" t="str">
        <f t="shared" si="153"/>
        <v/>
      </c>
      <c r="Y379" s="35" t="str">
        <f t="shared" ca="1" si="172"/>
        <v/>
      </c>
      <c r="Z379" s="36" t="str">
        <f t="shared" ca="1" si="173"/>
        <v/>
      </c>
      <c r="AA379" s="70" t="str">
        <f t="shared" si="174"/>
        <v/>
      </c>
      <c r="AB379" s="2"/>
      <c r="AC379" s="94" t="str">
        <f t="shared" si="154"/>
        <v/>
      </c>
      <c r="AD379" s="95" t="str">
        <f t="shared" si="155"/>
        <v/>
      </c>
      <c r="AE379" s="96" t="str">
        <f t="shared" si="156"/>
        <v/>
      </c>
      <c r="AF379" s="124" t="str">
        <f t="shared" si="157"/>
        <v/>
      </c>
      <c r="AG379" s="2"/>
      <c r="AH379" s="2"/>
      <c r="AI379" s="2"/>
      <c r="AJ379" s="2"/>
      <c r="AK379" s="2"/>
      <c r="AL379" s="2"/>
    </row>
    <row r="380" spans="1:38" x14ac:dyDescent="0.2">
      <c r="A380" s="45"/>
      <c r="B380" s="43" t="str">
        <f t="shared" si="160"/>
        <v/>
      </c>
      <c r="C380" s="96" t="str">
        <f t="shared" si="159"/>
        <v/>
      </c>
      <c r="D380" s="44" t="str">
        <f t="shared" si="161"/>
        <v/>
      </c>
      <c r="E380" s="52"/>
      <c r="F380" s="63" t="str">
        <f t="shared" si="162"/>
        <v/>
      </c>
      <c r="G380" s="56" t="str">
        <f t="shared" si="163"/>
        <v/>
      </c>
      <c r="H380" s="42"/>
      <c r="I380" s="2" t="str">
        <f t="shared" si="164"/>
        <v/>
      </c>
      <c r="J380" s="54" t="str">
        <f t="shared" si="151"/>
        <v/>
      </c>
      <c r="K380" s="55" t="str">
        <f t="shared" si="165"/>
        <v/>
      </c>
      <c r="L380" s="63" t="str">
        <f t="shared" si="166"/>
        <v/>
      </c>
      <c r="M380" s="96" t="str">
        <f t="shared" si="152"/>
        <v/>
      </c>
      <c r="N380" s="96" t="str">
        <f>IF(A380="","",IF(A380=Expiry,0,EXP(-q*Q380)*_xlfn.NORM.S.DIST(Y380,0)/(sigma*SQRT(Q380))*I380*Mult/100))</f>
        <v/>
      </c>
      <c r="O380" s="96" t="str">
        <f>IF(A380="","",IF(A380=Expiry,0,D380*E380*E380*EXP(-q*Q380)*_xlfn.NORM.S.DIST(Y380,0)*SQRT(Q380)/100))</f>
        <v/>
      </c>
      <c r="P380" s="69" t="str">
        <f>IF(A380="","",IF(A380=Expiry,0,AK380*I380*Mult*((-EXP(-q*Q380)*E380*_xlfn.NORM.S.DIST(Y380,0)*sigma/(2*SQRT(Q380))-r_dom*K*EXP(-r_dom*Q380)*_xlfn.NORM.S.DIST(Z380,1)+q*E380*EXP(-q*Q380)*_xlfn.NORM.S.DIST(Y380,1))/365)))</f>
        <v/>
      </c>
      <c r="Q380" s="83" t="str">
        <f t="shared" si="167"/>
        <v/>
      </c>
      <c r="R380" s="38"/>
      <c r="S380" s="68" t="str">
        <f t="shared" si="168"/>
        <v/>
      </c>
      <c r="T380" s="69" t="str">
        <f t="shared" si="169"/>
        <v/>
      </c>
      <c r="U380" s="70" t="str">
        <f t="shared" si="170"/>
        <v/>
      </c>
      <c r="V380" s="72" t="str">
        <f t="shared" si="171"/>
        <v/>
      </c>
      <c r="W380" s="2" t="str">
        <f t="shared" si="158"/>
        <v/>
      </c>
      <c r="X380" s="2" t="str">
        <f t="shared" si="153"/>
        <v/>
      </c>
      <c r="Y380" s="35" t="str">
        <f t="shared" ca="1" si="172"/>
        <v/>
      </c>
      <c r="Z380" s="36" t="str">
        <f t="shared" ca="1" si="173"/>
        <v/>
      </c>
      <c r="AA380" s="70" t="str">
        <f t="shared" si="174"/>
        <v/>
      </c>
      <c r="AB380" s="2"/>
      <c r="AC380" s="94" t="str">
        <f t="shared" si="154"/>
        <v/>
      </c>
      <c r="AD380" s="95" t="str">
        <f t="shared" si="155"/>
        <v/>
      </c>
      <c r="AE380" s="96" t="str">
        <f t="shared" si="156"/>
        <v/>
      </c>
      <c r="AF380" s="124" t="str">
        <f t="shared" si="157"/>
        <v/>
      </c>
      <c r="AG380" s="2"/>
      <c r="AH380" s="2"/>
      <c r="AI380" s="2"/>
      <c r="AJ380" s="2"/>
      <c r="AK380" s="2"/>
      <c r="AL380" s="2"/>
    </row>
    <row r="381" spans="1:38" x14ac:dyDescent="0.2">
      <c r="A381" s="45"/>
      <c r="B381" s="43" t="str">
        <f t="shared" si="160"/>
        <v/>
      </c>
      <c r="C381" s="96" t="str">
        <f t="shared" si="159"/>
        <v/>
      </c>
      <c r="D381" s="44" t="str">
        <f t="shared" si="161"/>
        <v/>
      </c>
      <c r="E381" s="52"/>
      <c r="F381" s="63" t="str">
        <f t="shared" si="162"/>
        <v/>
      </c>
      <c r="G381" s="56" t="str">
        <f t="shared" si="163"/>
        <v/>
      </c>
      <c r="H381" s="42"/>
      <c r="I381" s="2" t="str">
        <f t="shared" si="164"/>
        <v/>
      </c>
      <c r="J381" s="54" t="str">
        <f t="shared" si="151"/>
        <v/>
      </c>
      <c r="K381" s="55" t="str">
        <f t="shared" si="165"/>
        <v/>
      </c>
      <c r="L381" s="63" t="str">
        <f t="shared" si="166"/>
        <v/>
      </c>
      <c r="M381" s="96" t="str">
        <f t="shared" si="152"/>
        <v/>
      </c>
      <c r="N381" s="96" t="str">
        <f>IF(A381="","",IF(A381=Expiry,0,EXP(-q*Q381)*_xlfn.NORM.S.DIST(Y381,0)/(sigma*SQRT(Q381))*I381*Mult/100))</f>
        <v/>
      </c>
      <c r="O381" s="96" t="str">
        <f>IF(A381="","",IF(A381=Expiry,0,D381*E381*E381*EXP(-q*Q381)*_xlfn.NORM.S.DIST(Y381,0)*SQRT(Q381)/100))</f>
        <v/>
      </c>
      <c r="P381" s="69" t="str">
        <f>IF(A381="","",IF(A381=Expiry,0,AK381*I381*Mult*((-EXP(-q*Q381)*E381*_xlfn.NORM.S.DIST(Y381,0)*sigma/(2*SQRT(Q381))-r_dom*K*EXP(-r_dom*Q381)*_xlfn.NORM.S.DIST(Z381,1)+q*E381*EXP(-q*Q381)*_xlfn.NORM.S.DIST(Y381,1))/365)))</f>
        <v/>
      </c>
      <c r="Q381" s="83" t="str">
        <f t="shared" si="167"/>
        <v/>
      </c>
      <c r="R381" s="38"/>
      <c r="S381" s="68" t="str">
        <f t="shared" si="168"/>
        <v/>
      </c>
      <c r="T381" s="69" t="str">
        <f t="shared" si="169"/>
        <v/>
      </c>
      <c r="U381" s="70" t="str">
        <f t="shared" si="170"/>
        <v/>
      </c>
      <c r="V381" s="72" t="str">
        <f t="shared" si="171"/>
        <v/>
      </c>
      <c r="W381" s="2" t="str">
        <f t="shared" si="158"/>
        <v/>
      </c>
      <c r="X381" s="2" t="str">
        <f t="shared" si="153"/>
        <v/>
      </c>
      <c r="Y381" s="35" t="str">
        <f t="shared" ca="1" si="172"/>
        <v/>
      </c>
      <c r="Z381" s="36" t="str">
        <f t="shared" ca="1" si="173"/>
        <v/>
      </c>
      <c r="AA381" s="70" t="str">
        <f t="shared" si="174"/>
        <v/>
      </c>
      <c r="AB381" s="2"/>
      <c r="AC381" s="94" t="str">
        <f t="shared" si="154"/>
        <v/>
      </c>
      <c r="AD381" s="95" t="str">
        <f t="shared" si="155"/>
        <v/>
      </c>
      <c r="AE381" s="96" t="str">
        <f t="shared" si="156"/>
        <v/>
      </c>
      <c r="AF381" s="124" t="str">
        <f t="shared" si="157"/>
        <v/>
      </c>
      <c r="AG381" s="2"/>
      <c r="AH381" s="2"/>
      <c r="AI381" s="2"/>
      <c r="AJ381" s="2"/>
      <c r="AK381" s="2"/>
      <c r="AL381" s="2"/>
    </row>
    <row r="382" spans="1:38" x14ac:dyDescent="0.2">
      <c r="A382" s="45"/>
      <c r="B382" s="43" t="str">
        <f t="shared" si="160"/>
        <v/>
      </c>
      <c r="C382" s="96" t="str">
        <f t="shared" si="159"/>
        <v/>
      </c>
      <c r="D382" s="44" t="str">
        <f t="shared" si="161"/>
        <v/>
      </c>
      <c r="E382" s="52"/>
      <c r="F382" s="63" t="str">
        <f t="shared" si="162"/>
        <v/>
      </c>
      <c r="G382" s="56" t="str">
        <f t="shared" si="163"/>
        <v/>
      </c>
      <c r="H382" s="42"/>
      <c r="I382" s="2" t="str">
        <f t="shared" si="164"/>
        <v/>
      </c>
      <c r="J382" s="54" t="str">
        <f t="shared" si="151"/>
        <v/>
      </c>
      <c r="K382" s="55" t="str">
        <f t="shared" si="165"/>
        <v/>
      </c>
      <c r="L382" s="63" t="str">
        <f t="shared" si="166"/>
        <v/>
      </c>
      <c r="M382" s="96" t="str">
        <f t="shared" si="152"/>
        <v/>
      </c>
      <c r="N382" s="96" t="str">
        <f>IF(A382="","",IF(A382=Expiry,0,EXP(-q*Q382)*_xlfn.NORM.S.DIST(Y382,0)/(sigma*SQRT(Q382))*I382*Mult/100))</f>
        <v/>
      </c>
      <c r="O382" s="96" t="str">
        <f>IF(A382="","",IF(A382=Expiry,0,D382*E382*E382*EXP(-q*Q382)*_xlfn.NORM.S.DIST(Y382,0)*SQRT(Q382)/100))</f>
        <v/>
      </c>
      <c r="P382" s="69" t="str">
        <f>IF(A382="","",IF(A382=Expiry,0,AK382*I382*Mult*((-EXP(-q*Q382)*E382*_xlfn.NORM.S.DIST(Y382,0)*sigma/(2*SQRT(Q382))-r_dom*K*EXP(-r_dom*Q382)*_xlfn.NORM.S.DIST(Z382,1)+q*E382*EXP(-q*Q382)*_xlfn.NORM.S.DIST(Y382,1))/365)))</f>
        <v/>
      </c>
      <c r="Q382" s="83" t="str">
        <f t="shared" si="167"/>
        <v/>
      </c>
      <c r="R382" s="38"/>
      <c r="S382" s="68" t="str">
        <f t="shared" si="168"/>
        <v/>
      </c>
      <c r="T382" s="69" t="str">
        <f t="shared" si="169"/>
        <v/>
      </c>
      <c r="U382" s="70" t="str">
        <f t="shared" si="170"/>
        <v/>
      </c>
      <c r="V382" s="72" t="str">
        <f t="shared" si="171"/>
        <v/>
      </c>
      <c r="W382" s="2" t="str">
        <f t="shared" si="158"/>
        <v/>
      </c>
      <c r="X382" s="2" t="str">
        <f t="shared" si="153"/>
        <v/>
      </c>
      <c r="Y382" s="35" t="str">
        <f t="shared" ca="1" si="172"/>
        <v/>
      </c>
      <c r="Z382" s="36" t="str">
        <f t="shared" ca="1" si="173"/>
        <v/>
      </c>
      <c r="AA382" s="70" t="str">
        <f t="shared" si="174"/>
        <v/>
      </c>
      <c r="AB382" s="2"/>
      <c r="AC382" s="94" t="str">
        <f t="shared" si="154"/>
        <v/>
      </c>
      <c r="AD382" s="95" t="str">
        <f t="shared" si="155"/>
        <v/>
      </c>
      <c r="AE382" s="96" t="str">
        <f t="shared" si="156"/>
        <v/>
      </c>
      <c r="AF382" s="124" t="str">
        <f t="shared" si="157"/>
        <v/>
      </c>
      <c r="AG382" s="2"/>
      <c r="AH382" s="2"/>
      <c r="AI382" s="2"/>
      <c r="AJ382" s="2"/>
      <c r="AK382" s="2"/>
      <c r="AL382" s="2"/>
    </row>
    <row r="383" spans="1:38" x14ac:dyDescent="0.2">
      <c r="A383" s="45"/>
      <c r="B383" s="43" t="str">
        <f t="shared" si="160"/>
        <v/>
      </c>
      <c r="C383" s="96" t="str">
        <f t="shared" si="159"/>
        <v/>
      </c>
      <c r="D383" s="44" t="str">
        <f t="shared" si="161"/>
        <v/>
      </c>
      <c r="E383" s="52"/>
      <c r="F383" s="63" t="str">
        <f t="shared" si="162"/>
        <v/>
      </c>
      <c r="G383" s="56" t="str">
        <f t="shared" si="163"/>
        <v/>
      </c>
      <c r="H383" s="42"/>
      <c r="I383" s="2" t="str">
        <f t="shared" si="164"/>
        <v/>
      </c>
      <c r="J383" s="54" t="str">
        <f t="shared" si="151"/>
        <v/>
      </c>
      <c r="K383" s="55" t="str">
        <f t="shared" si="165"/>
        <v/>
      </c>
      <c r="L383" s="63" t="str">
        <f t="shared" si="166"/>
        <v/>
      </c>
      <c r="M383" s="96" t="str">
        <f t="shared" si="152"/>
        <v/>
      </c>
      <c r="N383" s="96" t="str">
        <f>IF(A383="","",IF(A383=Expiry,0,EXP(-q*Q383)*_xlfn.NORM.S.DIST(Y383,0)/(sigma*SQRT(Q383))*I383*Mult/100))</f>
        <v/>
      </c>
      <c r="O383" s="96" t="str">
        <f>IF(A383="","",IF(A383=Expiry,0,D383*E383*E383*EXP(-q*Q383)*_xlfn.NORM.S.DIST(Y383,0)*SQRT(Q383)/100))</f>
        <v/>
      </c>
      <c r="P383" s="69" t="str">
        <f>IF(A383="","",IF(A383=Expiry,0,AK383*I383*Mult*((-EXP(-q*Q383)*E383*_xlfn.NORM.S.DIST(Y383,0)*sigma/(2*SQRT(Q383))-r_dom*K*EXP(-r_dom*Q383)*_xlfn.NORM.S.DIST(Z383,1)+q*E383*EXP(-q*Q383)*_xlfn.NORM.S.DIST(Y383,1))/365)))</f>
        <v/>
      </c>
      <c r="Q383" s="83" t="str">
        <f t="shared" si="167"/>
        <v/>
      </c>
      <c r="R383" s="38"/>
      <c r="S383" s="68" t="str">
        <f t="shared" si="168"/>
        <v/>
      </c>
      <c r="T383" s="69" t="str">
        <f t="shared" si="169"/>
        <v/>
      </c>
      <c r="U383" s="70" t="str">
        <f t="shared" si="170"/>
        <v/>
      </c>
      <c r="V383" s="72" t="str">
        <f t="shared" si="171"/>
        <v/>
      </c>
      <c r="W383" s="2" t="str">
        <f t="shared" si="158"/>
        <v/>
      </c>
      <c r="X383" s="2" t="str">
        <f t="shared" si="153"/>
        <v/>
      </c>
      <c r="Y383" s="35" t="str">
        <f t="shared" ca="1" si="172"/>
        <v/>
      </c>
      <c r="Z383" s="36" t="str">
        <f t="shared" ca="1" si="173"/>
        <v/>
      </c>
      <c r="AA383" s="70" t="str">
        <f t="shared" si="174"/>
        <v/>
      </c>
      <c r="AB383" s="2"/>
      <c r="AC383" s="94" t="str">
        <f t="shared" si="154"/>
        <v/>
      </c>
      <c r="AD383" s="95" t="str">
        <f t="shared" si="155"/>
        <v/>
      </c>
      <c r="AE383" s="96" t="str">
        <f t="shared" si="156"/>
        <v/>
      </c>
      <c r="AF383" s="124" t="str">
        <f t="shared" si="157"/>
        <v/>
      </c>
      <c r="AG383" s="2"/>
      <c r="AH383" s="2"/>
      <c r="AI383" s="2"/>
      <c r="AJ383" s="2"/>
      <c r="AK383" s="2"/>
      <c r="AL383" s="2"/>
    </row>
    <row r="384" spans="1:38" x14ac:dyDescent="0.2">
      <c r="A384" s="45"/>
      <c r="B384" s="43" t="str">
        <f t="shared" si="160"/>
        <v/>
      </c>
      <c r="C384" s="96" t="str">
        <f t="shared" si="159"/>
        <v/>
      </c>
      <c r="D384" s="44" t="str">
        <f t="shared" si="161"/>
        <v/>
      </c>
      <c r="E384" s="52"/>
      <c r="F384" s="63" t="str">
        <f t="shared" si="162"/>
        <v/>
      </c>
      <c r="G384" s="56" t="str">
        <f t="shared" si="163"/>
        <v/>
      </c>
      <c r="H384" s="42"/>
      <c r="I384" s="2" t="str">
        <f t="shared" si="164"/>
        <v/>
      </c>
      <c r="J384" s="54" t="str">
        <f t="shared" si="151"/>
        <v/>
      </c>
      <c r="K384" s="55" t="str">
        <f t="shared" si="165"/>
        <v/>
      </c>
      <c r="L384" s="63" t="str">
        <f t="shared" si="166"/>
        <v/>
      </c>
      <c r="M384" s="96" t="str">
        <f t="shared" si="152"/>
        <v/>
      </c>
      <c r="N384" s="96" t="str">
        <f>IF(A384="","",IF(A384=Expiry,0,EXP(-q*Q384)*_xlfn.NORM.S.DIST(Y384,0)/(sigma*SQRT(Q384))*I384*Mult/100))</f>
        <v/>
      </c>
      <c r="O384" s="96" t="str">
        <f>IF(A384="","",IF(A384=Expiry,0,D384*E384*E384*EXP(-q*Q384)*_xlfn.NORM.S.DIST(Y384,0)*SQRT(Q384)/100))</f>
        <v/>
      </c>
      <c r="P384" s="69" t="str">
        <f>IF(A384="","",IF(A384=Expiry,0,AK384*I384*Mult*((-EXP(-q*Q384)*E384*_xlfn.NORM.S.DIST(Y384,0)*sigma/(2*SQRT(Q384))-r_dom*K*EXP(-r_dom*Q384)*_xlfn.NORM.S.DIST(Z384,1)+q*E384*EXP(-q*Q384)*_xlfn.NORM.S.DIST(Y384,1))/365)))</f>
        <v/>
      </c>
      <c r="Q384" s="83" t="str">
        <f t="shared" si="167"/>
        <v/>
      </c>
      <c r="R384" s="38"/>
      <c r="S384" s="68" t="str">
        <f t="shared" si="168"/>
        <v/>
      </c>
      <c r="T384" s="69" t="str">
        <f t="shared" si="169"/>
        <v/>
      </c>
      <c r="U384" s="70" t="str">
        <f t="shared" si="170"/>
        <v/>
      </c>
      <c r="V384" s="72" t="str">
        <f t="shared" si="171"/>
        <v/>
      </c>
      <c r="W384" s="2" t="str">
        <f t="shared" si="158"/>
        <v/>
      </c>
      <c r="X384" s="2" t="str">
        <f t="shared" si="153"/>
        <v/>
      </c>
      <c r="Y384" s="35" t="str">
        <f t="shared" ca="1" si="172"/>
        <v/>
      </c>
      <c r="Z384" s="36" t="str">
        <f t="shared" ca="1" si="173"/>
        <v/>
      </c>
      <c r="AA384" s="70" t="str">
        <f t="shared" si="174"/>
        <v/>
      </c>
      <c r="AB384" s="2"/>
      <c r="AC384" s="94" t="str">
        <f t="shared" si="154"/>
        <v/>
      </c>
      <c r="AD384" s="95" t="str">
        <f t="shared" si="155"/>
        <v/>
      </c>
      <c r="AE384" s="96" t="str">
        <f t="shared" si="156"/>
        <v/>
      </c>
      <c r="AF384" s="124" t="str">
        <f t="shared" si="157"/>
        <v/>
      </c>
      <c r="AG384" s="2"/>
      <c r="AH384" s="2"/>
      <c r="AI384" s="2"/>
      <c r="AJ384" s="2"/>
      <c r="AK384" s="2"/>
      <c r="AL384" s="2"/>
    </row>
    <row r="385" spans="1:38" x14ac:dyDescent="0.2">
      <c r="A385" s="45"/>
      <c r="B385" s="43" t="str">
        <f t="shared" si="160"/>
        <v/>
      </c>
      <c r="C385" s="96" t="str">
        <f t="shared" si="159"/>
        <v/>
      </c>
      <c r="D385" s="44" t="str">
        <f t="shared" si="161"/>
        <v/>
      </c>
      <c r="E385" s="52"/>
      <c r="F385" s="63" t="str">
        <f t="shared" si="162"/>
        <v/>
      </c>
      <c r="G385" s="56" t="str">
        <f t="shared" si="163"/>
        <v/>
      </c>
      <c r="H385" s="42"/>
      <c r="I385" s="2" t="str">
        <f t="shared" si="164"/>
        <v/>
      </c>
      <c r="J385" s="54" t="str">
        <f t="shared" si="151"/>
        <v/>
      </c>
      <c r="K385" s="55" t="str">
        <f t="shared" si="165"/>
        <v/>
      </c>
      <c r="L385" s="63" t="str">
        <f t="shared" si="166"/>
        <v/>
      </c>
      <c r="M385" s="96" t="str">
        <f t="shared" si="152"/>
        <v/>
      </c>
      <c r="N385" s="96" t="str">
        <f>IF(A385="","",IF(A385=Expiry,0,EXP(-q*Q385)*_xlfn.NORM.S.DIST(Y385,0)/(sigma*SQRT(Q385))*I385*Mult/100))</f>
        <v/>
      </c>
      <c r="O385" s="96" t="str">
        <f>IF(A385="","",IF(A385=Expiry,0,D385*E385*E385*EXP(-q*Q385)*_xlfn.NORM.S.DIST(Y385,0)*SQRT(Q385)/100))</f>
        <v/>
      </c>
      <c r="P385" s="69" t="str">
        <f>IF(A385="","",IF(A385=Expiry,0,AK385*I385*Mult*((-EXP(-q*Q385)*E385*_xlfn.NORM.S.DIST(Y385,0)*sigma/(2*SQRT(Q385))-r_dom*K*EXP(-r_dom*Q385)*_xlfn.NORM.S.DIST(Z385,1)+q*E385*EXP(-q*Q385)*_xlfn.NORM.S.DIST(Y385,1))/365)))</f>
        <v/>
      </c>
      <c r="Q385" s="83" t="str">
        <f t="shared" si="167"/>
        <v/>
      </c>
      <c r="R385" s="38"/>
      <c r="S385" s="68" t="str">
        <f t="shared" si="168"/>
        <v/>
      </c>
      <c r="T385" s="69" t="str">
        <f t="shared" si="169"/>
        <v/>
      </c>
      <c r="U385" s="70" t="str">
        <f t="shared" si="170"/>
        <v/>
      </c>
      <c r="V385" s="72" t="str">
        <f t="shared" si="171"/>
        <v/>
      </c>
      <c r="W385" s="2" t="str">
        <f t="shared" si="158"/>
        <v/>
      </c>
      <c r="X385" s="2" t="str">
        <f t="shared" si="153"/>
        <v/>
      </c>
      <c r="Y385" s="35" t="str">
        <f t="shared" ca="1" si="172"/>
        <v/>
      </c>
      <c r="Z385" s="36" t="str">
        <f t="shared" ca="1" si="173"/>
        <v/>
      </c>
      <c r="AA385" s="70" t="str">
        <f t="shared" si="174"/>
        <v/>
      </c>
      <c r="AB385" s="2"/>
      <c r="AC385" s="94" t="str">
        <f t="shared" si="154"/>
        <v/>
      </c>
      <c r="AD385" s="95" t="str">
        <f t="shared" si="155"/>
        <v/>
      </c>
      <c r="AE385" s="96" t="str">
        <f t="shared" si="156"/>
        <v/>
      </c>
      <c r="AF385" s="124" t="str">
        <f t="shared" si="157"/>
        <v/>
      </c>
      <c r="AG385" s="2"/>
      <c r="AH385" s="2"/>
      <c r="AI385" s="2"/>
      <c r="AJ385" s="2"/>
      <c r="AK385" s="2"/>
      <c r="AL385" s="2"/>
    </row>
    <row r="386" spans="1:38" x14ac:dyDescent="0.2">
      <c r="A386" s="45"/>
      <c r="B386" s="43" t="str">
        <f t="shared" si="160"/>
        <v/>
      </c>
      <c r="C386" s="96" t="str">
        <f t="shared" si="159"/>
        <v/>
      </c>
      <c r="D386" s="44" t="str">
        <f t="shared" si="161"/>
        <v/>
      </c>
      <c r="E386" s="52"/>
      <c r="F386" s="63" t="str">
        <f t="shared" si="162"/>
        <v/>
      </c>
      <c r="G386" s="56" t="str">
        <f t="shared" si="163"/>
        <v/>
      </c>
      <c r="H386" s="42"/>
      <c r="I386" s="2" t="str">
        <f t="shared" si="164"/>
        <v/>
      </c>
      <c r="J386" s="54" t="str">
        <f t="shared" si="151"/>
        <v/>
      </c>
      <c r="K386" s="55" t="str">
        <f t="shared" si="165"/>
        <v/>
      </c>
      <c r="L386" s="63" t="str">
        <f t="shared" si="166"/>
        <v/>
      </c>
      <c r="M386" s="96" t="str">
        <f t="shared" si="152"/>
        <v/>
      </c>
      <c r="N386" s="96" t="str">
        <f>IF(A386="","",IF(A386=Expiry,0,EXP(-q*Q386)*_xlfn.NORM.S.DIST(Y386,0)/(sigma*SQRT(Q386))*I386*Mult/100))</f>
        <v/>
      </c>
      <c r="O386" s="96" t="str">
        <f>IF(A386="","",IF(A386=Expiry,0,D386*E386*E386*EXP(-q*Q386)*_xlfn.NORM.S.DIST(Y386,0)*SQRT(Q386)/100))</f>
        <v/>
      </c>
      <c r="P386" s="69" t="str">
        <f>IF(A386="","",IF(A386=Expiry,0,AK386*I386*Mult*((-EXP(-q*Q386)*E386*_xlfn.NORM.S.DIST(Y386,0)*sigma/(2*SQRT(Q386))-r_dom*K*EXP(-r_dom*Q386)*_xlfn.NORM.S.DIST(Z386,1)+q*E386*EXP(-q*Q386)*_xlfn.NORM.S.DIST(Y386,1))/365)))</f>
        <v/>
      </c>
      <c r="Q386" s="83" t="str">
        <f t="shared" si="167"/>
        <v/>
      </c>
      <c r="R386" s="38"/>
      <c r="S386" s="68" t="str">
        <f t="shared" si="168"/>
        <v/>
      </c>
      <c r="T386" s="69" t="str">
        <f t="shared" si="169"/>
        <v/>
      </c>
      <c r="U386" s="70" t="str">
        <f t="shared" si="170"/>
        <v/>
      </c>
      <c r="V386" s="72" t="str">
        <f t="shared" si="171"/>
        <v/>
      </c>
      <c r="W386" s="2" t="str">
        <f t="shared" si="158"/>
        <v/>
      </c>
      <c r="X386" s="2" t="str">
        <f t="shared" si="153"/>
        <v/>
      </c>
      <c r="Y386" s="35" t="str">
        <f t="shared" ca="1" si="172"/>
        <v/>
      </c>
      <c r="Z386" s="36" t="str">
        <f t="shared" ca="1" si="173"/>
        <v/>
      </c>
      <c r="AA386" s="70" t="str">
        <f t="shared" si="174"/>
        <v/>
      </c>
      <c r="AB386" s="2"/>
      <c r="AC386" s="94" t="str">
        <f t="shared" si="154"/>
        <v/>
      </c>
      <c r="AD386" s="95" t="str">
        <f t="shared" si="155"/>
        <v/>
      </c>
      <c r="AE386" s="96" t="str">
        <f t="shared" si="156"/>
        <v/>
      </c>
      <c r="AF386" s="124" t="str">
        <f t="shared" si="157"/>
        <v/>
      </c>
      <c r="AG386" s="2"/>
      <c r="AH386" s="2"/>
      <c r="AI386" s="2"/>
      <c r="AJ386" s="2"/>
      <c r="AK386" s="2"/>
      <c r="AL386" s="2"/>
    </row>
    <row r="387" spans="1:38" x14ac:dyDescent="0.2">
      <c r="A387" s="45"/>
      <c r="B387" s="43" t="str">
        <f t="shared" si="160"/>
        <v/>
      </c>
      <c r="C387" s="96" t="str">
        <f t="shared" si="159"/>
        <v/>
      </c>
      <c r="D387" s="44" t="str">
        <f t="shared" si="161"/>
        <v/>
      </c>
      <c r="E387" s="52"/>
      <c r="F387" s="63" t="str">
        <f t="shared" si="162"/>
        <v/>
      </c>
      <c r="G387" s="56" t="str">
        <f t="shared" si="163"/>
        <v/>
      </c>
      <c r="H387" s="42"/>
      <c r="I387" s="2" t="str">
        <f t="shared" si="164"/>
        <v/>
      </c>
      <c r="J387" s="54" t="str">
        <f t="shared" si="151"/>
        <v/>
      </c>
      <c r="K387" s="55" t="str">
        <f t="shared" si="165"/>
        <v/>
      </c>
      <c r="L387" s="63" t="str">
        <f t="shared" si="166"/>
        <v/>
      </c>
      <c r="M387" s="96" t="str">
        <f t="shared" si="152"/>
        <v/>
      </c>
      <c r="N387" s="96" t="str">
        <f>IF(A387="","",IF(A387=Expiry,0,EXP(-q*Q387)*_xlfn.NORM.S.DIST(Y387,0)/(sigma*SQRT(Q387))*I387*Mult/100))</f>
        <v/>
      </c>
      <c r="O387" s="96" t="str">
        <f>IF(A387="","",IF(A387=Expiry,0,D387*E387*E387*EXP(-q*Q387)*_xlfn.NORM.S.DIST(Y387,0)*SQRT(Q387)/100))</f>
        <v/>
      </c>
      <c r="P387" s="69" t="str">
        <f>IF(A387="","",IF(A387=Expiry,0,AK387*I387*Mult*((-EXP(-q*Q387)*E387*_xlfn.NORM.S.DIST(Y387,0)*sigma/(2*SQRT(Q387))-r_dom*K*EXP(-r_dom*Q387)*_xlfn.NORM.S.DIST(Z387,1)+q*E387*EXP(-q*Q387)*_xlfn.NORM.S.DIST(Y387,1))/365)))</f>
        <v/>
      </c>
      <c r="Q387" s="83" t="str">
        <f t="shared" si="167"/>
        <v/>
      </c>
      <c r="R387" s="38"/>
      <c r="S387" s="68" t="str">
        <f t="shared" si="168"/>
        <v/>
      </c>
      <c r="T387" s="69" t="str">
        <f t="shared" si="169"/>
        <v/>
      </c>
      <c r="U387" s="70" t="str">
        <f t="shared" si="170"/>
        <v/>
      </c>
      <c r="V387" s="72" t="str">
        <f t="shared" si="171"/>
        <v/>
      </c>
      <c r="W387" s="2" t="str">
        <f t="shared" si="158"/>
        <v/>
      </c>
      <c r="X387" s="2" t="str">
        <f t="shared" si="153"/>
        <v/>
      </c>
      <c r="Y387" s="35" t="str">
        <f t="shared" ca="1" si="172"/>
        <v/>
      </c>
      <c r="Z387" s="36" t="str">
        <f t="shared" ca="1" si="173"/>
        <v/>
      </c>
      <c r="AA387" s="70" t="str">
        <f t="shared" si="174"/>
        <v/>
      </c>
      <c r="AB387" s="2"/>
      <c r="AC387" s="94" t="str">
        <f t="shared" si="154"/>
        <v/>
      </c>
      <c r="AD387" s="95" t="str">
        <f t="shared" si="155"/>
        <v/>
      </c>
      <c r="AE387" s="96" t="str">
        <f t="shared" si="156"/>
        <v/>
      </c>
      <c r="AF387" s="124" t="str">
        <f t="shared" si="157"/>
        <v/>
      </c>
      <c r="AG387" s="2"/>
      <c r="AH387" s="2"/>
      <c r="AI387" s="2"/>
      <c r="AJ387" s="2"/>
      <c r="AK387" s="2"/>
      <c r="AL387" s="2"/>
    </row>
    <row r="388" spans="1:38" x14ac:dyDescent="0.2">
      <c r="A388" s="45"/>
      <c r="B388" s="43" t="str">
        <f t="shared" si="160"/>
        <v/>
      </c>
      <c r="C388" s="96" t="str">
        <f t="shared" si="159"/>
        <v/>
      </c>
      <c r="D388" s="44" t="str">
        <f t="shared" si="161"/>
        <v/>
      </c>
      <c r="E388" s="52"/>
      <c r="F388" s="63" t="str">
        <f t="shared" si="162"/>
        <v/>
      </c>
      <c r="G388" s="56" t="str">
        <f t="shared" si="163"/>
        <v/>
      </c>
      <c r="H388" s="42"/>
      <c r="I388" s="2" t="str">
        <f t="shared" si="164"/>
        <v/>
      </c>
      <c r="J388" s="54" t="str">
        <f t="shared" si="151"/>
        <v/>
      </c>
      <c r="K388" s="55" t="str">
        <f t="shared" si="165"/>
        <v/>
      </c>
      <c r="L388" s="63" t="str">
        <f t="shared" si="166"/>
        <v/>
      </c>
      <c r="M388" s="96" t="str">
        <f t="shared" si="152"/>
        <v/>
      </c>
      <c r="N388" s="96" t="str">
        <f>IF(A388="","",IF(A388=Expiry,0,EXP(-q*Q388)*_xlfn.NORM.S.DIST(Y388,0)/(sigma*SQRT(Q388))*I388*Mult/100))</f>
        <v/>
      </c>
      <c r="O388" s="96" t="str">
        <f>IF(A388="","",IF(A388=Expiry,0,D388*E388*E388*EXP(-q*Q388)*_xlfn.NORM.S.DIST(Y388,0)*SQRT(Q388)/100))</f>
        <v/>
      </c>
      <c r="P388" s="69" t="str">
        <f>IF(A388="","",IF(A388=Expiry,0,AK388*I388*Mult*((-EXP(-q*Q388)*E388*_xlfn.NORM.S.DIST(Y388,0)*sigma/(2*SQRT(Q388))-r_dom*K*EXP(-r_dom*Q388)*_xlfn.NORM.S.DIST(Z388,1)+q*E388*EXP(-q*Q388)*_xlfn.NORM.S.DIST(Y388,1))/365)))</f>
        <v/>
      </c>
      <c r="Q388" s="83" t="str">
        <f t="shared" si="167"/>
        <v/>
      </c>
      <c r="R388" s="38"/>
      <c r="S388" s="68" t="str">
        <f t="shared" si="168"/>
        <v/>
      </c>
      <c r="T388" s="69" t="str">
        <f t="shared" si="169"/>
        <v/>
      </c>
      <c r="U388" s="70" t="str">
        <f t="shared" si="170"/>
        <v/>
      </c>
      <c r="V388" s="72" t="str">
        <f t="shared" si="171"/>
        <v/>
      </c>
      <c r="W388" s="2" t="str">
        <f t="shared" si="158"/>
        <v/>
      </c>
      <c r="X388" s="2" t="str">
        <f t="shared" si="153"/>
        <v/>
      </c>
      <c r="Y388" s="35" t="str">
        <f t="shared" ca="1" si="172"/>
        <v/>
      </c>
      <c r="Z388" s="36" t="str">
        <f t="shared" ca="1" si="173"/>
        <v/>
      </c>
      <c r="AA388" s="70" t="str">
        <f t="shared" si="174"/>
        <v/>
      </c>
      <c r="AB388" s="2"/>
      <c r="AC388" s="94" t="str">
        <f t="shared" si="154"/>
        <v/>
      </c>
      <c r="AD388" s="95" t="str">
        <f t="shared" si="155"/>
        <v/>
      </c>
      <c r="AE388" s="96" t="str">
        <f t="shared" si="156"/>
        <v/>
      </c>
      <c r="AF388" s="124" t="str">
        <f t="shared" si="157"/>
        <v/>
      </c>
      <c r="AG388" s="2"/>
      <c r="AH388" s="2"/>
      <c r="AI388" s="2"/>
      <c r="AJ388" s="2"/>
      <c r="AK388" s="2"/>
      <c r="AL388" s="2"/>
    </row>
    <row r="389" spans="1:38" x14ac:dyDescent="0.2">
      <c r="A389" s="45"/>
      <c r="B389" s="43" t="str">
        <f t="shared" si="160"/>
        <v/>
      </c>
      <c r="C389" s="96" t="str">
        <f t="shared" si="159"/>
        <v/>
      </c>
      <c r="D389" s="44" t="str">
        <f t="shared" si="161"/>
        <v/>
      </c>
      <c r="E389" s="52"/>
      <c r="F389" s="63" t="str">
        <f t="shared" si="162"/>
        <v/>
      </c>
      <c r="G389" s="56" t="str">
        <f t="shared" si="163"/>
        <v/>
      </c>
      <c r="H389" s="42"/>
      <c r="I389" s="2" t="str">
        <f t="shared" si="164"/>
        <v/>
      </c>
      <c r="J389" s="54" t="str">
        <f t="shared" si="151"/>
        <v/>
      </c>
      <c r="K389" s="55" t="str">
        <f t="shared" si="165"/>
        <v/>
      </c>
      <c r="L389" s="63" t="str">
        <f t="shared" si="166"/>
        <v/>
      </c>
      <c r="M389" s="96" t="str">
        <f t="shared" si="152"/>
        <v/>
      </c>
      <c r="N389" s="96" t="str">
        <f>IF(A389="","",IF(A389=Expiry,0,EXP(-q*Q389)*_xlfn.NORM.S.DIST(Y389,0)/(sigma*SQRT(Q389))*I389*Mult/100))</f>
        <v/>
      </c>
      <c r="O389" s="96" t="str">
        <f>IF(A389="","",IF(A389=Expiry,0,D389*E389*E389*EXP(-q*Q389)*_xlfn.NORM.S.DIST(Y389,0)*SQRT(Q389)/100))</f>
        <v/>
      </c>
      <c r="P389" s="69" t="str">
        <f>IF(A389="","",IF(A389=Expiry,0,AK389*I389*Mult*((-EXP(-q*Q389)*E389*_xlfn.NORM.S.DIST(Y389,0)*sigma/(2*SQRT(Q389))-r_dom*K*EXP(-r_dom*Q389)*_xlfn.NORM.S.DIST(Z389,1)+q*E389*EXP(-q*Q389)*_xlfn.NORM.S.DIST(Y389,1))/365)))</f>
        <v/>
      </c>
      <c r="Q389" s="83" t="str">
        <f t="shared" si="167"/>
        <v/>
      </c>
      <c r="R389" s="38"/>
      <c r="S389" s="68" t="str">
        <f t="shared" si="168"/>
        <v/>
      </c>
      <c r="T389" s="69" t="str">
        <f t="shared" si="169"/>
        <v/>
      </c>
      <c r="U389" s="70" t="str">
        <f t="shared" si="170"/>
        <v/>
      </c>
      <c r="V389" s="72" t="str">
        <f t="shared" si="171"/>
        <v/>
      </c>
      <c r="W389" s="2" t="str">
        <f t="shared" si="158"/>
        <v/>
      </c>
      <c r="X389" s="2" t="str">
        <f t="shared" si="153"/>
        <v/>
      </c>
      <c r="Y389" s="35" t="str">
        <f t="shared" ca="1" si="172"/>
        <v/>
      </c>
      <c r="Z389" s="36" t="str">
        <f t="shared" ca="1" si="173"/>
        <v/>
      </c>
      <c r="AA389" s="70" t="str">
        <f t="shared" si="174"/>
        <v/>
      </c>
      <c r="AB389" s="2"/>
      <c r="AC389" s="94" t="str">
        <f t="shared" si="154"/>
        <v/>
      </c>
      <c r="AD389" s="95" t="str">
        <f t="shared" si="155"/>
        <v/>
      </c>
      <c r="AE389" s="96" t="str">
        <f t="shared" si="156"/>
        <v/>
      </c>
      <c r="AF389" s="124" t="str">
        <f t="shared" si="157"/>
        <v/>
      </c>
      <c r="AG389" s="2"/>
      <c r="AH389" s="2"/>
      <c r="AI389" s="2"/>
      <c r="AJ389" s="2"/>
      <c r="AK389" s="2"/>
      <c r="AL389" s="2"/>
    </row>
    <row r="390" spans="1:38" x14ac:dyDescent="0.2">
      <c r="A390" s="45"/>
      <c r="B390" s="43" t="str">
        <f t="shared" si="160"/>
        <v/>
      </c>
      <c r="C390" s="96" t="str">
        <f t="shared" si="159"/>
        <v/>
      </c>
      <c r="D390" s="44" t="str">
        <f t="shared" si="161"/>
        <v/>
      </c>
      <c r="E390" s="52"/>
      <c r="F390" s="63" t="str">
        <f t="shared" si="162"/>
        <v/>
      </c>
      <c r="G390" s="56" t="str">
        <f t="shared" si="163"/>
        <v/>
      </c>
      <c r="H390" s="42"/>
      <c r="I390" s="2" t="str">
        <f t="shared" si="164"/>
        <v/>
      </c>
      <c r="J390" s="54" t="str">
        <f t="shared" si="151"/>
        <v/>
      </c>
      <c r="K390" s="55" t="str">
        <f t="shared" si="165"/>
        <v/>
      </c>
      <c r="L390" s="63" t="str">
        <f t="shared" si="166"/>
        <v/>
      </c>
      <c r="M390" s="96" t="str">
        <f t="shared" si="152"/>
        <v/>
      </c>
      <c r="N390" s="96" t="str">
        <f>IF(A390="","",IF(A390=Expiry,0,EXP(-q*Q390)*_xlfn.NORM.S.DIST(Y390,0)/(sigma*SQRT(Q390))*I390*Mult/100))</f>
        <v/>
      </c>
      <c r="O390" s="96" t="str">
        <f>IF(A390="","",IF(A390=Expiry,0,D390*E390*E390*EXP(-q*Q390)*_xlfn.NORM.S.DIST(Y390,0)*SQRT(Q390)/100))</f>
        <v/>
      </c>
      <c r="P390" s="69" t="str">
        <f>IF(A390="","",IF(A390=Expiry,0,AK390*I390*Mult*((-EXP(-q*Q390)*E390*_xlfn.NORM.S.DIST(Y390,0)*sigma/(2*SQRT(Q390))-r_dom*K*EXP(-r_dom*Q390)*_xlfn.NORM.S.DIST(Z390,1)+q*E390*EXP(-q*Q390)*_xlfn.NORM.S.DIST(Y390,1))/365)))</f>
        <v/>
      </c>
      <c r="Q390" s="83" t="str">
        <f t="shared" si="167"/>
        <v/>
      </c>
      <c r="R390" s="38"/>
      <c r="S390" s="68" t="str">
        <f t="shared" si="168"/>
        <v/>
      </c>
      <c r="T390" s="69" t="str">
        <f t="shared" si="169"/>
        <v/>
      </c>
      <c r="U390" s="70" t="str">
        <f t="shared" si="170"/>
        <v/>
      </c>
      <c r="V390" s="72" t="str">
        <f t="shared" si="171"/>
        <v/>
      </c>
      <c r="W390" s="2" t="str">
        <f t="shared" si="158"/>
        <v/>
      </c>
      <c r="X390" s="2" t="str">
        <f t="shared" si="153"/>
        <v/>
      </c>
      <c r="Y390" s="35" t="str">
        <f t="shared" ca="1" si="172"/>
        <v/>
      </c>
      <c r="Z390" s="36" t="str">
        <f t="shared" ca="1" si="173"/>
        <v/>
      </c>
      <c r="AA390" s="70" t="str">
        <f t="shared" si="174"/>
        <v/>
      </c>
      <c r="AB390" s="2"/>
      <c r="AC390" s="94" t="str">
        <f t="shared" si="154"/>
        <v/>
      </c>
      <c r="AD390" s="95" t="str">
        <f t="shared" si="155"/>
        <v/>
      </c>
      <c r="AE390" s="96" t="str">
        <f t="shared" si="156"/>
        <v/>
      </c>
      <c r="AF390" s="124" t="str">
        <f t="shared" si="157"/>
        <v/>
      </c>
      <c r="AG390" s="2"/>
      <c r="AH390" s="2"/>
      <c r="AI390" s="2"/>
      <c r="AJ390" s="2"/>
      <c r="AK390" s="2"/>
      <c r="AL390" s="2"/>
    </row>
    <row r="391" spans="1:38" x14ac:dyDescent="0.2">
      <c r="A391" s="45"/>
      <c r="B391" s="43" t="str">
        <f t="shared" si="160"/>
        <v/>
      </c>
      <c r="C391" s="96" t="str">
        <f t="shared" si="159"/>
        <v/>
      </c>
      <c r="D391" s="44" t="str">
        <f t="shared" si="161"/>
        <v/>
      </c>
      <c r="E391" s="52"/>
      <c r="F391" s="63" t="str">
        <f t="shared" si="162"/>
        <v/>
      </c>
      <c r="G391" s="56" t="str">
        <f t="shared" si="163"/>
        <v/>
      </c>
      <c r="H391" s="42"/>
      <c r="I391" s="2" t="str">
        <f t="shared" si="164"/>
        <v/>
      </c>
      <c r="J391" s="54" t="str">
        <f t="shared" si="151"/>
        <v/>
      </c>
      <c r="K391" s="55" t="str">
        <f t="shared" si="165"/>
        <v/>
      </c>
      <c r="L391" s="63" t="str">
        <f t="shared" si="166"/>
        <v/>
      </c>
      <c r="M391" s="96" t="str">
        <f t="shared" si="152"/>
        <v/>
      </c>
      <c r="N391" s="96" t="str">
        <f>IF(A391="","",IF(A391=Expiry,0,EXP(-q*Q391)*_xlfn.NORM.S.DIST(Y391,0)/(sigma*SQRT(Q391))*I391*Mult/100))</f>
        <v/>
      </c>
      <c r="O391" s="96" t="str">
        <f>IF(A391="","",IF(A391=Expiry,0,D391*E391*E391*EXP(-q*Q391)*_xlfn.NORM.S.DIST(Y391,0)*SQRT(Q391)/100))</f>
        <v/>
      </c>
      <c r="P391" s="69" t="str">
        <f>IF(A391="","",IF(A391=Expiry,0,AK391*I391*Mult*((-EXP(-q*Q391)*E391*_xlfn.NORM.S.DIST(Y391,0)*sigma/(2*SQRT(Q391))-r_dom*K*EXP(-r_dom*Q391)*_xlfn.NORM.S.DIST(Z391,1)+q*E391*EXP(-q*Q391)*_xlfn.NORM.S.DIST(Y391,1))/365)))</f>
        <v/>
      </c>
      <c r="Q391" s="83" t="str">
        <f t="shared" si="167"/>
        <v/>
      </c>
      <c r="R391" s="38"/>
      <c r="S391" s="68" t="str">
        <f t="shared" si="168"/>
        <v/>
      </c>
      <c r="T391" s="69" t="str">
        <f t="shared" si="169"/>
        <v/>
      </c>
      <c r="U391" s="70" t="str">
        <f t="shared" si="170"/>
        <v/>
      </c>
      <c r="V391" s="72" t="str">
        <f t="shared" si="171"/>
        <v/>
      </c>
      <c r="W391" s="2" t="str">
        <f t="shared" si="158"/>
        <v/>
      </c>
      <c r="X391" s="2" t="str">
        <f t="shared" si="153"/>
        <v/>
      </c>
      <c r="Y391" s="35" t="str">
        <f t="shared" ca="1" si="172"/>
        <v/>
      </c>
      <c r="Z391" s="36" t="str">
        <f t="shared" ca="1" si="173"/>
        <v/>
      </c>
      <c r="AA391" s="70" t="str">
        <f t="shared" si="174"/>
        <v/>
      </c>
      <c r="AB391" s="2"/>
      <c r="AC391" s="94" t="str">
        <f t="shared" si="154"/>
        <v/>
      </c>
      <c r="AD391" s="95" t="str">
        <f t="shared" si="155"/>
        <v/>
      </c>
      <c r="AE391" s="96" t="str">
        <f t="shared" si="156"/>
        <v/>
      </c>
      <c r="AF391" s="124" t="str">
        <f t="shared" si="157"/>
        <v/>
      </c>
      <c r="AG391" s="2"/>
      <c r="AH391" s="2"/>
      <c r="AI391" s="2"/>
      <c r="AJ391" s="2"/>
      <c r="AK391" s="2"/>
      <c r="AL391" s="2"/>
    </row>
    <row r="392" spans="1:38" x14ac:dyDescent="0.2">
      <c r="A392" s="45"/>
      <c r="B392" s="43" t="str">
        <f t="shared" si="160"/>
        <v/>
      </c>
      <c r="C392" s="96" t="str">
        <f t="shared" si="159"/>
        <v/>
      </c>
      <c r="D392" s="44" t="str">
        <f t="shared" si="161"/>
        <v/>
      </c>
      <c r="E392" s="52"/>
      <c r="F392" s="63" t="str">
        <f t="shared" si="162"/>
        <v/>
      </c>
      <c r="G392" s="56" t="str">
        <f t="shared" si="163"/>
        <v/>
      </c>
      <c r="H392" s="42"/>
      <c r="I392" s="2" t="str">
        <f t="shared" si="164"/>
        <v/>
      </c>
      <c r="J392" s="54" t="str">
        <f t="shared" si="151"/>
        <v/>
      </c>
      <c r="K392" s="55" t="str">
        <f t="shared" si="165"/>
        <v/>
      </c>
      <c r="L392" s="63" t="str">
        <f t="shared" si="166"/>
        <v/>
      </c>
      <c r="M392" s="96" t="str">
        <f t="shared" si="152"/>
        <v/>
      </c>
      <c r="N392" s="96" t="str">
        <f>IF(A392="","",IF(A392=Expiry,0,EXP(-q*Q392)*_xlfn.NORM.S.DIST(Y392,0)/(sigma*SQRT(Q392))*I392*Mult/100))</f>
        <v/>
      </c>
      <c r="O392" s="96" t="str">
        <f>IF(A392="","",IF(A392=Expiry,0,D392*E392*E392*EXP(-q*Q392)*_xlfn.NORM.S.DIST(Y392,0)*SQRT(Q392)/100))</f>
        <v/>
      </c>
      <c r="P392" s="69" t="str">
        <f>IF(A392="","",IF(A392=Expiry,0,AK392*I392*Mult*((-EXP(-q*Q392)*E392*_xlfn.NORM.S.DIST(Y392,0)*sigma/(2*SQRT(Q392))-r_dom*K*EXP(-r_dom*Q392)*_xlfn.NORM.S.DIST(Z392,1)+q*E392*EXP(-q*Q392)*_xlfn.NORM.S.DIST(Y392,1))/365)))</f>
        <v/>
      </c>
      <c r="Q392" s="83" t="str">
        <f t="shared" si="167"/>
        <v/>
      </c>
      <c r="R392" s="38"/>
      <c r="S392" s="68" t="str">
        <f t="shared" si="168"/>
        <v/>
      </c>
      <c r="T392" s="69" t="str">
        <f t="shared" si="169"/>
        <v/>
      </c>
      <c r="U392" s="70" t="str">
        <f t="shared" si="170"/>
        <v/>
      </c>
      <c r="V392" s="72" t="str">
        <f t="shared" si="171"/>
        <v/>
      </c>
      <c r="W392" s="2" t="str">
        <f t="shared" si="158"/>
        <v/>
      </c>
      <c r="X392" s="2" t="str">
        <f t="shared" si="153"/>
        <v/>
      </c>
      <c r="Y392" s="35" t="str">
        <f t="shared" ca="1" si="172"/>
        <v/>
      </c>
      <c r="Z392" s="36" t="str">
        <f t="shared" ca="1" si="173"/>
        <v/>
      </c>
      <c r="AA392" s="70" t="str">
        <f t="shared" si="174"/>
        <v/>
      </c>
      <c r="AB392" s="2"/>
      <c r="AC392" s="94" t="str">
        <f t="shared" si="154"/>
        <v/>
      </c>
      <c r="AD392" s="95" t="str">
        <f t="shared" si="155"/>
        <v/>
      </c>
      <c r="AE392" s="96" t="str">
        <f t="shared" si="156"/>
        <v/>
      </c>
      <c r="AF392" s="124" t="str">
        <f t="shared" si="157"/>
        <v/>
      </c>
      <c r="AG392" s="2"/>
      <c r="AH392" s="2"/>
      <c r="AI392" s="2"/>
      <c r="AJ392" s="2"/>
      <c r="AK392" s="2"/>
      <c r="AL392" s="2"/>
    </row>
    <row r="393" spans="1:38" x14ac:dyDescent="0.2">
      <c r="A393" s="45"/>
      <c r="B393" s="43" t="str">
        <f t="shared" si="160"/>
        <v/>
      </c>
      <c r="C393" s="96" t="str">
        <f t="shared" si="159"/>
        <v/>
      </c>
      <c r="D393" s="44" t="str">
        <f t="shared" si="161"/>
        <v/>
      </c>
      <c r="E393" s="52"/>
      <c r="F393" s="63" t="str">
        <f t="shared" si="162"/>
        <v/>
      </c>
      <c r="G393" s="56" t="str">
        <f t="shared" si="163"/>
        <v/>
      </c>
      <c r="H393" s="42"/>
      <c r="I393" s="2" t="str">
        <f t="shared" si="164"/>
        <v/>
      </c>
      <c r="J393" s="54" t="str">
        <f t="shared" si="151"/>
        <v/>
      </c>
      <c r="K393" s="55" t="str">
        <f t="shared" si="165"/>
        <v/>
      </c>
      <c r="L393" s="63" t="str">
        <f t="shared" si="166"/>
        <v/>
      </c>
      <c r="M393" s="96" t="str">
        <f t="shared" si="152"/>
        <v/>
      </c>
      <c r="N393" s="96" t="str">
        <f>IF(A393="","",IF(A393=Expiry,0,EXP(-q*Q393)*_xlfn.NORM.S.DIST(Y393,0)/(sigma*SQRT(Q393))*I393*Mult/100))</f>
        <v/>
      </c>
      <c r="O393" s="96" t="str">
        <f>IF(A393="","",IF(A393=Expiry,0,D393*E393*E393*EXP(-q*Q393)*_xlfn.NORM.S.DIST(Y393,0)*SQRT(Q393)/100))</f>
        <v/>
      </c>
      <c r="P393" s="69" t="str">
        <f>IF(A393="","",IF(A393=Expiry,0,AK393*I393*Mult*((-EXP(-q*Q393)*E393*_xlfn.NORM.S.DIST(Y393,0)*sigma/(2*SQRT(Q393))-r_dom*K*EXP(-r_dom*Q393)*_xlfn.NORM.S.DIST(Z393,1)+q*E393*EXP(-q*Q393)*_xlfn.NORM.S.DIST(Y393,1))/365)))</f>
        <v/>
      </c>
      <c r="Q393" s="83" t="str">
        <f t="shared" si="167"/>
        <v/>
      </c>
      <c r="R393" s="38"/>
      <c r="S393" s="68" t="str">
        <f t="shared" si="168"/>
        <v/>
      </c>
      <c r="T393" s="69" t="str">
        <f t="shared" si="169"/>
        <v/>
      </c>
      <c r="U393" s="70" t="str">
        <f t="shared" si="170"/>
        <v/>
      </c>
      <c r="V393" s="72" t="str">
        <f t="shared" si="171"/>
        <v/>
      </c>
      <c r="W393" s="2" t="str">
        <f t="shared" si="158"/>
        <v/>
      </c>
      <c r="X393" s="2" t="str">
        <f t="shared" si="153"/>
        <v/>
      </c>
      <c r="Y393" s="35" t="str">
        <f t="shared" ca="1" si="172"/>
        <v/>
      </c>
      <c r="Z393" s="36" t="str">
        <f t="shared" ca="1" si="173"/>
        <v/>
      </c>
      <c r="AA393" s="70" t="str">
        <f t="shared" si="174"/>
        <v/>
      </c>
      <c r="AB393" s="2"/>
      <c r="AC393" s="94" t="str">
        <f t="shared" si="154"/>
        <v/>
      </c>
      <c r="AD393" s="95" t="str">
        <f t="shared" si="155"/>
        <v/>
      </c>
      <c r="AE393" s="96" t="str">
        <f t="shared" si="156"/>
        <v/>
      </c>
      <c r="AF393" s="124" t="str">
        <f t="shared" si="157"/>
        <v/>
      </c>
      <c r="AG393" s="2"/>
      <c r="AH393" s="2"/>
      <c r="AI393" s="2"/>
      <c r="AJ393" s="2"/>
      <c r="AK393" s="2"/>
      <c r="AL393" s="2"/>
    </row>
    <row r="394" spans="1:38" x14ac:dyDescent="0.2">
      <c r="A394" s="45"/>
      <c r="B394" s="43" t="str">
        <f t="shared" si="160"/>
        <v/>
      </c>
      <c r="C394" s="96" t="str">
        <f t="shared" si="159"/>
        <v/>
      </c>
      <c r="D394" s="44" t="str">
        <f t="shared" si="161"/>
        <v/>
      </c>
      <c r="E394" s="52"/>
      <c r="F394" s="63" t="str">
        <f t="shared" si="162"/>
        <v/>
      </c>
      <c r="G394" s="56" t="str">
        <f t="shared" si="163"/>
        <v/>
      </c>
      <c r="H394" s="42"/>
      <c r="I394" s="2" t="str">
        <f t="shared" si="164"/>
        <v/>
      </c>
      <c r="J394" s="54" t="str">
        <f t="shared" si="151"/>
        <v/>
      </c>
      <c r="K394" s="55" t="str">
        <f t="shared" si="165"/>
        <v/>
      </c>
      <c r="L394" s="63" t="str">
        <f t="shared" si="166"/>
        <v/>
      </c>
      <c r="M394" s="96" t="str">
        <f t="shared" si="152"/>
        <v/>
      </c>
      <c r="N394" s="96" t="str">
        <f>IF(A394="","",IF(A394=Expiry,0,EXP(-q*Q394)*_xlfn.NORM.S.DIST(Y394,0)/(sigma*SQRT(Q394))*I394*Mult/100))</f>
        <v/>
      </c>
      <c r="O394" s="96" t="str">
        <f>IF(A394="","",IF(A394=Expiry,0,D394*E394*E394*EXP(-q*Q394)*_xlfn.NORM.S.DIST(Y394,0)*SQRT(Q394)/100))</f>
        <v/>
      </c>
      <c r="P394" s="69" t="str">
        <f>IF(A394="","",IF(A394=Expiry,0,AK394*I394*Mult*((-EXP(-q*Q394)*E394*_xlfn.NORM.S.DIST(Y394,0)*sigma/(2*SQRT(Q394))-r_dom*K*EXP(-r_dom*Q394)*_xlfn.NORM.S.DIST(Z394,1)+q*E394*EXP(-q*Q394)*_xlfn.NORM.S.DIST(Y394,1))/365)))</f>
        <v/>
      </c>
      <c r="Q394" s="83" t="str">
        <f t="shared" si="167"/>
        <v/>
      </c>
      <c r="R394" s="38"/>
      <c r="S394" s="68" t="str">
        <f t="shared" si="168"/>
        <v/>
      </c>
      <c r="T394" s="69" t="str">
        <f t="shared" si="169"/>
        <v/>
      </c>
      <c r="U394" s="70" t="str">
        <f t="shared" si="170"/>
        <v/>
      </c>
      <c r="V394" s="72" t="str">
        <f t="shared" si="171"/>
        <v/>
      </c>
      <c r="W394" s="2" t="str">
        <f t="shared" si="158"/>
        <v/>
      </c>
      <c r="X394" s="2" t="str">
        <f t="shared" si="153"/>
        <v/>
      </c>
      <c r="Y394" s="35" t="str">
        <f t="shared" ca="1" si="172"/>
        <v/>
      </c>
      <c r="Z394" s="36" t="str">
        <f t="shared" ca="1" si="173"/>
        <v/>
      </c>
      <c r="AA394" s="70" t="str">
        <f t="shared" si="174"/>
        <v/>
      </c>
      <c r="AB394" s="2"/>
      <c r="AC394" s="94" t="str">
        <f t="shared" si="154"/>
        <v/>
      </c>
      <c r="AD394" s="95" t="str">
        <f t="shared" si="155"/>
        <v/>
      </c>
      <c r="AE394" s="96" t="str">
        <f t="shared" si="156"/>
        <v/>
      </c>
      <c r="AF394" s="124" t="str">
        <f t="shared" si="157"/>
        <v/>
      </c>
      <c r="AG394" s="2"/>
      <c r="AH394" s="2"/>
      <c r="AI394" s="2"/>
      <c r="AJ394" s="2"/>
      <c r="AK394" s="2"/>
      <c r="AL394" s="2"/>
    </row>
    <row r="395" spans="1:38" x14ac:dyDescent="0.2">
      <c r="A395" s="45"/>
      <c r="B395" s="43" t="str">
        <f t="shared" si="160"/>
        <v/>
      </c>
      <c r="C395" s="96" t="str">
        <f t="shared" si="159"/>
        <v/>
      </c>
      <c r="D395" s="44" t="str">
        <f t="shared" si="161"/>
        <v/>
      </c>
      <c r="E395" s="52"/>
      <c r="F395" s="63" t="str">
        <f t="shared" si="162"/>
        <v/>
      </c>
      <c r="G395" s="56" t="str">
        <f t="shared" si="163"/>
        <v/>
      </c>
      <c r="H395" s="42"/>
      <c r="I395" s="2" t="str">
        <f t="shared" si="164"/>
        <v/>
      </c>
      <c r="J395" s="54" t="str">
        <f t="shared" si="151"/>
        <v/>
      </c>
      <c r="K395" s="55" t="str">
        <f t="shared" si="165"/>
        <v/>
      </c>
      <c r="L395" s="63" t="str">
        <f t="shared" si="166"/>
        <v/>
      </c>
      <c r="M395" s="96" t="str">
        <f t="shared" si="152"/>
        <v/>
      </c>
      <c r="N395" s="96" t="str">
        <f>IF(A395="","",IF(A395=Expiry,0,EXP(-q*Q395)*_xlfn.NORM.S.DIST(Y395,0)/(sigma*SQRT(Q395))*I395*Mult/100))</f>
        <v/>
      </c>
      <c r="O395" s="96" t="str">
        <f>IF(A395="","",IF(A395=Expiry,0,D395*E395*E395*EXP(-q*Q395)*_xlfn.NORM.S.DIST(Y395,0)*SQRT(Q395)/100))</f>
        <v/>
      </c>
      <c r="P395" s="69" t="str">
        <f>IF(A395="","",IF(A395=Expiry,0,AK395*I395*Mult*((-EXP(-q*Q395)*E395*_xlfn.NORM.S.DIST(Y395,0)*sigma/(2*SQRT(Q395))-r_dom*K*EXP(-r_dom*Q395)*_xlfn.NORM.S.DIST(Z395,1)+q*E395*EXP(-q*Q395)*_xlfn.NORM.S.DIST(Y395,1))/365)))</f>
        <v/>
      </c>
      <c r="Q395" s="83" t="str">
        <f t="shared" si="167"/>
        <v/>
      </c>
      <c r="R395" s="38"/>
      <c r="S395" s="68" t="str">
        <f t="shared" si="168"/>
        <v/>
      </c>
      <c r="T395" s="69" t="str">
        <f t="shared" si="169"/>
        <v/>
      </c>
      <c r="U395" s="70" t="str">
        <f t="shared" si="170"/>
        <v/>
      </c>
      <c r="V395" s="72" t="str">
        <f t="shared" si="171"/>
        <v/>
      </c>
      <c r="W395" s="2" t="str">
        <f t="shared" si="158"/>
        <v/>
      </c>
      <c r="X395" s="2" t="str">
        <f t="shared" si="153"/>
        <v/>
      </c>
      <c r="Y395" s="35" t="str">
        <f t="shared" ca="1" si="172"/>
        <v/>
      </c>
      <c r="Z395" s="36" t="str">
        <f t="shared" ca="1" si="173"/>
        <v/>
      </c>
      <c r="AA395" s="70" t="str">
        <f t="shared" si="174"/>
        <v/>
      </c>
      <c r="AB395" s="2"/>
      <c r="AC395" s="94" t="str">
        <f t="shared" si="154"/>
        <v/>
      </c>
      <c r="AD395" s="95" t="str">
        <f t="shared" si="155"/>
        <v/>
      </c>
      <c r="AE395" s="96" t="str">
        <f t="shared" si="156"/>
        <v/>
      </c>
      <c r="AF395" s="124" t="str">
        <f t="shared" si="157"/>
        <v/>
      </c>
      <c r="AG395" s="2"/>
      <c r="AH395" s="2"/>
      <c r="AI395" s="2"/>
      <c r="AJ395" s="2"/>
      <c r="AK395" s="2"/>
      <c r="AL395" s="2"/>
    </row>
    <row r="396" spans="1:38" x14ac:dyDescent="0.2">
      <c r="A396" s="45"/>
      <c r="B396" s="43" t="str">
        <f t="shared" si="160"/>
        <v/>
      </c>
      <c r="C396" s="96" t="str">
        <f t="shared" si="159"/>
        <v/>
      </c>
      <c r="D396" s="44" t="str">
        <f t="shared" si="161"/>
        <v/>
      </c>
      <c r="E396" s="52"/>
      <c r="F396" s="63" t="str">
        <f t="shared" si="162"/>
        <v/>
      </c>
      <c r="G396" s="56" t="str">
        <f t="shared" si="163"/>
        <v/>
      </c>
      <c r="H396" s="42"/>
      <c r="I396" s="2" t="str">
        <f t="shared" si="164"/>
        <v/>
      </c>
      <c r="J396" s="54" t="str">
        <f t="shared" si="151"/>
        <v/>
      </c>
      <c r="K396" s="55" t="str">
        <f t="shared" si="165"/>
        <v/>
      </c>
      <c r="L396" s="63" t="str">
        <f t="shared" si="166"/>
        <v/>
      </c>
      <c r="M396" s="96" t="str">
        <f t="shared" si="152"/>
        <v/>
      </c>
      <c r="N396" s="96" t="str">
        <f>IF(A396="","",IF(A396=Expiry,0,EXP(-q*Q396)*_xlfn.NORM.S.DIST(Y396,0)/(sigma*SQRT(Q396))*I396*Mult/100))</f>
        <v/>
      </c>
      <c r="O396" s="96" t="str">
        <f>IF(A396="","",IF(A396=Expiry,0,D396*E396*E396*EXP(-q*Q396)*_xlfn.NORM.S.DIST(Y396,0)*SQRT(Q396)/100))</f>
        <v/>
      </c>
      <c r="P396" s="69" t="str">
        <f>IF(A396="","",IF(A396=Expiry,0,AK396*I396*Mult*((-EXP(-q*Q396)*E396*_xlfn.NORM.S.DIST(Y396,0)*sigma/(2*SQRT(Q396))-r_dom*K*EXP(-r_dom*Q396)*_xlfn.NORM.S.DIST(Z396,1)+q*E396*EXP(-q*Q396)*_xlfn.NORM.S.DIST(Y396,1))/365)))</f>
        <v/>
      </c>
      <c r="Q396" s="83" t="str">
        <f t="shared" si="167"/>
        <v/>
      </c>
      <c r="R396" s="38"/>
      <c r="S396" s="68" t="str">
        <f t="shared" si="168"/>
        <v/>
      </c>
      <c r="T396" s="69" t="str">
        <f t="shared" si="169"/>
        <v/>
      </c>
      <c r="U396" s="70" t="str">
        <f t="shared" si="170"/>
        <v/>
      </c>
      <c r="V396" s="72" t="str">
        <f t="shared" si="171"/>
        <v/>
      </c>
      <c r="W396" s="2" t="str">
        <f t="shared" si="158"/>
        <v/>
      </c>
      <c r="X396" s="2" t="str">
        <f t="shared" si="153"/>
        <v/>
      </c>
      <c r="Y396" s="35" t="str">
        <f t="shared" ca="1" si="172"/>
        <v/>
      </c>
      <c r="Z396" s="36" t="str">
        <f t="shared" ca="1" si="173"/>
        <v/>
      </c>
      <c r="AA396" s="70" t="str">
        <f t="shared" si="174"/>
        <v/>
      </c>
      <c r="AB396" s="2"/>
      <c r="AC396" s="94" t="str">
        <f t="shared" si="154"/>
        <v/>
      </c>
      <c r="AD396" s="95" t="str">
        <f t="shared" si="155"/>
        <v/>
      </c>
      <c r="AE396" s="96" t="str">
        <f t="shared" si="156"/>
        <v/>
      </c>
      <c r="AF396" s="124" t="str">
        <f t="shared" si="157"/>
        <v/>
      </c>
      <c r="AG396" s="2"/>
      <c r="AH396" s="2"/>
      <c r="AI396" s="2"/>
      <c r="AJ396" s="2"/>
      <c r="AK396" s="2"/>
      <c r="AL396" s="2"/>
    </row>
    <row r="397" spans="1:38" x14ac:dyDescent="0.2">
      <c r="A397" s="45"/>
      <c r="B397" s="43" t="str">
        <f t="shared" si="160"/>
        <v/>
      </c>
      <c r="C397" s="96" t="str">
        <f t="shared" si="159"/>
        <v/>
      </c>
      <c r="D397" s="44" t="str">
        <f t="shared" si="161"/>
        <v/>
      </c>
      <c r="E397" s="52"/>
      <c r="F397" s="63" t="str">
        <f t="shared" si="162"/>
        <v/>
      </c>
      <c r="G397" s="56" t="str">
        <f t="shared" si="163"/>
        <v/>
      </c>
      <c r="H397" s="42"/>
      <c r="I397" s="2" t="str">
        <f t="shared" si="164"/>
        <v/>
      </c>
      <c r="J397" s="54" t="str">
        <f t="shared" si="151"/>
        <v/>
      </c>
      <c r="K397" s="55" t="str">
        <f t="shared" si="165"/>
        <v/>
      </c>
      <c r="L397" s="63" t="str">
        <f t="shared" si="166"/>
        <v/>
      </c>
      <c r="M397" s="96" t="str">
        <f t="shared" si="152"/>
        <v/>
      </c>
      <c r="N397" s="96" t="str">
        <f>IF(A397="","",IF(A397=Expiry,0,EXP(-q*Q397)*_xlfn.NORM.S.DIST(Y397,0)/(sigma*SQRT(Q397))*I397*Mult/100))</f>
        <v/>
      </c>
      <c r="O397" s="96" t="str">
        <f>IF(A397="","",IF(A397=Expiry,0,D397*E397*E397*EXP(-q*Q397)*_xlfn.NORM.S.DIST(Y397,0)*SQRT(Q397)/100))</f>
        <v/>
      </c>
      <c r="P397" s="69" t="str">
        <f>IF(A397="","",IF(A397=Expiry,0,AK397*I397*Mult*((-EXP(-q*Q397)*E397*_xlfn.NORM.S.DIST(Y397,0)*sigma/(2*SQRT(Q397))-r_dom*K*EXP(-r_dom*Q397)*_xlfn.NORM.S.DIST(Z397,1)+q*E397*EXP(-q*Q397)*_xlfn.NORM.S.DIST(Y397,1))/365)))</f>
        <v/>
      </c>
      <c r="Q397" s="83" t="str">
        <f t="shared" si="167"/>
        <v/>
      </c>
      <c r="R397" s="38"/>
      <c r="S397" s="68" t="str">
        <f t="shared" si="168"/>
        <v/>
      </c>
      <c r="T397" s="69" t="str">
        <f t="shared" si="169"/>
        <v/>
      </c>
      <c r="U397" s="70" t="str">
        <f t="shared" si="170"/>
        <v/>
      </c>
      <c r="V397" s="72" t="str">
        <f t="shared" si="171"/>
        <v/>
      </c>
      <c r="W397" s="2" t="str">
        <f t="shared" si="158"/>
        <v/>
      </c>
      <c r="X397" s="2" t="str">
        <f t="shared" si="153"/>
        <v/>
      </c>
      <c r="Y397" s="35" t="str">
        <f t="shared" ca="1" si="172"/>
        <v/>
      </c>
      <c r="Z397" s="36" t="str">
        <f t="shared" ca="1" si="173"/>
        <v/>
      </c>
      <c r="AA397" s="70" t="str">
        <f t="shared" si="174"/>
        <v/>
      </c>
      <c r="AB397" s="2"/>
      <c r="AC397" s="94" t="str">
        <f t="shared" si="154"/>
        <v/>
      </c>
      <c r="AD397" s="95" t="str">
        <f t="shared" si="155"/>
        <v/>
      </c>
      <c r="AE397" s="96" t="str">
        <f t="shared" si="156"/>
        <v/>
      </c>
      <c r="AF397" s="124" t="str">
        <f t="shared" si="157"/>
        <v/>
      </c>
      <c r="AG397" s="2"/>
      <c r="AH397" s="2"/>
      <c r="AI397" s="2"/>
      <c r="AJ397" s="2"/>
      <c r="AK397" s="2"/>
      <c r="AL397" s="2"/>
    </row>
    <row r="398" spans="1:38" x14ac:dyDescent="0.2">
      <c r="A398" s="45"/>
      <c r="B398" s="43" t="str">
        <f t="shared" si="160"/>
        <v/>
      </c>
      <c r="C398" s="96" t="str">
        <f t="shared" si="159"/>
        <v/>
      </c>
      <c r="D398" s="44" t="str">
        <f t="shared" si="161"/>
        <v/>
      </c>
      <c r="E398" s="52"/>
      <c r="F398" s="63" t="str">
        <f t="shared" si="162"/>
        <v/>
      </c>
      <c r="G398" s="56" t="str">
        <f t="shared" si="163"/>
        <v/>
      </c>
      <c r="H398" s="42"/>
      <c r="I398" s="2" t="str">
        <f t="shared" si="164"/>
        <v/>
      </c>
      <c r="J398" s="54" t="str">
        <f t="shared" si="151"/>
        <v/>
      </c>
      <c r="K398" s="55" t="str">
        <f t="shared" si="165"/>
        <v/>
      </c>
      <c r="L398" s="63" t="str">
        <f t="shared" si="166"/>
        <v/>
      </c>
      <c r="M398" s="96" t="str">
        <f t="shared" si="152"/>
        <v/>
      </c>
      <c r="N398" s="96" t="str">
        <f>IF(A398="","",IF(A398=Expiry,0,EXP(-q*Q398)*_xlfn.NORM.S.DIST(Y398,0)/(sigma*SQRT(Q398))*I398*Mult/100))</f>
        <v/>
      </c>
      <c r="O398" s="96" t="str">
        <f>IF(A398="","",IF(A398=Expiry,0,D398*E398*E398*EXP(-q*Q398)*_xlfn.NORM.S.DIST(Y398,0)*SQRT(Q398)/100))</f>
        <v/>
      </c>
      <c r="P398" s="69" t="str">
        <f>IF(A398="","",IF(A398=Expiry,0,AK398*I398*Mult*((-EXP(-q*Q398)*E398*_xlfn.NORM.S.DIST(Y398,0)*sigma/(2*SQRT(Q398))-r_dom*K*EXP(-r_dom*Q398)*_xlfn.NORM.S.DIST(Z398,1)+q*E398*EXP(-q*Q398)*_xlfn.NORM.S.DIST(Y398,1))/365)))</f>
        <v/>
      </c>
      <c r="Q398" s="83" t="str">
        <f t="shared" si="167"/>
        <v/>
      </c>
      <c r="R398" s="38"/>
      <c r="S398" s="68" t="str">
        <f t="shared" si="168"/>
        <v/>
      </c>
      <c r="T398" s="69" t="str">
        <f t="shared" si="169"/>
        <v/>
      </c>
      <c r="U398" s="70" t="str">
        <f t="shared" si="170"/>
        <v/>
      </c>
      <c r="V398" s="72" t="str">
        <f t="shared" si="171"/>
        <v/>
      </c>
      <c r="W398" s="2" t="str">
        <f t="shared" si="158"/>
        <v/>
      </c>
      <c r="X398" s="2" t="str">
        <f t="shared" si="153"/>
        <v/>
      </c>
      <c r="Y398" s="35" t="str">
        <f t="shared" ca="1" si="172"/>
        <v/>
      </c>
      <c r="Z398" s="36" t="str">
        <f t="shared" ca="1" si="173"/>
        <v/>
      </c>
      <c r="AA398" s="70" t="str">
        <f t="shared" si="174"/>
        <v/>
      </c>
      <c r="AB398" s="2"/>
      <c r="AC398" s="94" t="str">
        <f t="shared" si="154"/>
        <v/>
      </c>
      <c r="AD398" s="95" t="str">
        <f t="shared" si="155"/>
        <v/>
      </c>
      <c r="AE398" s="96" t="str">
        <f t="shared" si="156"/>
        <v/>
      </c>
      <c r="AF398" s="124" t="str">
        <f t="shared" si="157"/>
        <v/>
      </c>
      <c r="AG398" s="2"/>
      <c r="AH398" s="2"/>
      <c r="AI398" s="2"/>
      <c r="AJ398" s="2"/>
      <c r="AK398" s="2"/>
      <c r="AL398" s="2"/>
    </row>
    <row r="399" spans="1:38" x14ac:dyDescent="0.2">
      <c r="A399" s="45"/>
      <c r="B399" s="43" t="str">
        <f t="shared" si="160"/>
        <v/>
      </c>
      <c r="C399" s="96" t="str">
        <f t="shared" si="159"/>
        <v/>
      </c>
      <c r="D399" s="44" t="str">
        <f t="shared" si="161"/>
        <v/>
      </c>
      <c r="E399" s="52"/>
      <c r="F399" s="63" t="str">
        <f t="shared" si="162"/>
        <v/>
      </c>
      <c r="G399" s="56" t="str">
        <f t="shared" si="163"/>
        <v/>
      </c>
      <c r="H399" s="42"/>
      <c r="I399" s="2" t="str">
        <f t="shared" si="164"/>
        <v/>
      </c>
      <c r="J399" s="54" t="str">
        <f t="shared" si="151"/>
        <v/>
      </c>
      <c r="K399" s="55" t="str">
        <f t="shared" si="165"/>
        <v/>
      </c>
      <c r="L399" s="63" t="str">
        <f t="shared" si="166"/>
        <v/>
      </c>
      <c r="M399" s="96" t="str">
        <f t="shared" si="152"/>
        <v/>
      </c>
      <c r="N399" s="96" t="str">
        <f>IF(A399="","",IF(A399=Expiry,0,EXP(-q*Q399)*_xlfn.NORM.S.DIST(Y399,0)/(sigma*SQRT(Q399))*I399*Mult/100))</f>
        <v/>
      </c>
      <c r="O399" s="96" t="str">
        <f>IF(A399="","",IF(A399=Expiry,0,D399*E399*E399*EXP(-q*Q399)*_xlfn.NORM.S.DIST(Y399,0)*SQRT(Q399)/100))</f>
        <v/>
      </c>
      <c r="P399" s="69" t="str">
        <f>IF(A399="","",IF(A399=Expiry,0,AK399*I399*Mult*((-EXP(-q*Q399)*E399*_xlfn.NORM.S.DIST(Y399,0)*sigma/(2*SQRT(Q399))-r_dom*K*EXP(-r_dom*Q399)*_xlfn.NORM.S.DIST(Z399,1)+q*E399*EXP(-q*Q399)*_xlfn.NORM.S.DIST(Y399,1))/365)))</f>
        <v/>
      </c>
      <c r="Q399" s="83" t="str">
        <f t="shared" si="167"/>
        <v/>
      </c>
      <c r="R399" s="38"/>
      <c r="S399" s="68" t="str">
        <f t="shared" si="168"/>
        <v/>
      </c>
      <c r="T399" s="69" t="str">
        <f t="shared" si="169"/>
        <v/>
      </c>
      <c r="U399" s="70" t="str">
        <f t="shared" si="170"/>
        <v/>
      </c>
      <c r="V399" s="72" t="str">
        <f t="shared" si="171"/>
        <v/>
      </c>
      <c r="W399" s="2" t="str">
        <f t="shared" si="158"/>
        <v/>
      </c>
      <c r="X399" s="2" t="str">
        <f t="shared" si="153"/>
        <v/>
      </c>
      <c r="Y399" s="35" t="str">
        <f t="shared" ca="1" si="172"/>
        <v/>
      </c>
      <c r="Z399" s="36" t="str">
        <f t="shared" ca="1" si="173"/>
        <v/>
      </c>
      <c r="AA399" s="70" t="str">
        <f t="shared" si="174"/>
        <v/>
      </c>
      <c r="AB399" s="2"/>
      <c r="AC399" s="94" t="str">
        <f t="shared" si="154"/>
        <v/>
      </c>
      <c r="AD399" s="95" t="str">
        <f t="shared" si="155"/>
        <v/>
      </c>
      <c r="AE399" s="96" t="str">
        <f t="shared" si="156"/>
        <v/>
      </c>
      <c r="AF399" s="124" t="str">
        <f t="shared" si="157"/>
        <v/>
      </c>
      <c r="AG399" s="2"/>
      <c r="AH399" s="2"/>
      <c r="AI399" s="2"/>
      <c r="AJ399" s="2"/>
      <c r="AK399" s="2"/>
      <c r="AL399" s="2"/>
    </row>
    <row r="400" spans="1:38" x14ac:dyDescent="0.2">
      <c r="A400" s="45"/>
      <c r="B400" s="43" t="str">
        <f t="shared" si="160"/>
        <v/>
      </c>
      <c r="C400" s="96" t="str">
        <f t="shared" si="159"/>
        <v/>
      </c>
      <c r="D400" s="44" t="str">
        <f t="shared" si="161"/>
        <v/>
      </c>
      <c r="E400" s="52"/>
      <c r="F400" s="63" t="str">
        <f t="shared" si="162"/>
        <v/>
      </c>
      <c r="G400" s="56" t="str">
        <f t="shared" si="163"/>
        <v/>
      </c>
      <c r="H400" s="42"/>
      <c r="I400" s="2" t="str">
        <f t="shared" si="164"/>
        <v/>
      </c>
      <c r="J400" s="54" t="str">
        <f t="shared" si="151"/>
        <v/>
      </c>
      <c r="K400" s="55" t="str">
        <f t="shared" si="165"/>
        <v/>
      </c>
      <c r="L400" s="63" t="str">
        <f t="shared" si="166"/>
        <v/>
      </c>
      <c r="M400" s="96" t="str">
        <f t="shared" si="152"/>
        <v/>
      </c>
      <c r="N400" s="96" t="str">
        <f>IF(A400="","",IF(A400=Expiry,0,EXP(-q*Q400)*_xlfn.NORM.S.DIST(Y400,0)/(sigma*SQRT(Q400))*I400*Mult/100))</f>
        <v/>
      </c>
      <c r="O400" s="96" t="str">
        <f>IF(A400="","",IF(A400=Expiry,0,D400*E400*E400*EXP(-q*Q400)*_xlfn.NORM.S.DIST(Y400,0)*SQRT(Q400)/100))</f>
        <v/>
      </c>
      <c r="P400" s="69" t="str">
        <f>IF(A400="","",IF(A400=Expiry,0,AK400*I400*Mult*((-EXP(-q*Q400)*E400*_xlfn.NORM.S.DIST(Y400,0)*sigma/(2*SQRT(Q400))-r_dom*K*EXP(-r_dom*Q400)*_xlfn.NORM.S.DIST(Z400,1)+q*E400*EXP(-q*Q400)*_xlfn.NORM.S.DIST(Y400,1))/365)))</f>
        <v/>
      </c>
      <c r="Q400" s="83" t="str">
        <f t="shared" si="167"/>
        <v/>
      </c>
      <c r="R400" s="38"/>
      <c r="S400" s="68" t="str">
        <f t="shared" si="168"/>
        <v/>
      </c>
      <c r="T400" s="69" t="str">
        <f t="shared" si="169"/>
        <v/>
      </c>
      <c r="U400" s="70" t="str">
        <f t="shared" si="170"/>
        <v/>
      </c>
      <c r="V400" s="72" t="str">
        <f t="shared" si="171"/>
        <v/>
      </c>
      <c r="W400" s="2" t="str">
        <f t="shared" si="158"/>
        <v/>
      </c>
      <c r="X400" s="2" t="str">
        <f t="shared" si="153"/>
        <v/>
      </c>
      <c r="Y400" s="35" t="str">
        <f t="shared" ca="1" si="172"/>
        <v/>
      </c>
      <c r="Z400" s="36" t="str">
        <f t="shared" ca="1" si="173"/>
        <v/>
      </c>
      <c r="AA400" s="70" t="str">
        <f t="shared" si="174"/>
        <v/>
      </c>
      <c r="AB400" s="2"/>
      <c r="AC400" s="94" t="str">
        <f t="shared" si="154"/>
        <v/>
      </c>
      <c r="AD400" s="95" t="str">
        <f t="shared" si="155"/>
        <v/>
      </c>
      <c r="AE400" s="96" t="str">
        <f t="shared" si="156"/>
        <v/>
      </c>
      <c r="AF400" s="124" t="str">
        <f t="shared" si="157"/>
        <v/>
      </c>
      <c r="AG400" s="2"/>
      <c r="AH400" s="2"/>
      <c r="AI400" s="2"/>
      <c r="AJ400" s="2"/>
      <c r="AK400" s="2"/>
      <c r="AL400" s="2"/>
    </row>
    <row r="401" spans="1:38" x14ac:dyDescent="0.2">
      <c r="A401" s="45"/>
      <c r="B401" s="43" t="str">
        <f t="shared" si="160"/>
        <v/>
      </c>
      <c r="C401" s="96" t="str">
        <f t="shared" si="159"/>
        <v/>
      </c>
      <c r="D401" s="44" t="str">
        <f t="shared" si="161"/>
        <v/>
      </c>
      <c r="E401" s="52"/>
      <c r="F401" s="63" t="str">
        <f t="shared" si="162"/>
        <v/>
      </c>
      <c r="G401" s="56" t="str">
        <f t="shared" si="163"/>
        <v/>
      </c>
      <c r="H401" s="42"/>
      <c r="I401" s="2" t="str">
        <f t="shared" si="164"/>
        <v/>
      </c>
      <c r="J401" s="54" t="str">
        <f t="shared" si="151"/>
        <v/>
      </c>
      <c r="K401" s="55" t="str">
        <f t="shared" si="165"/>
        <v/>
      </c>
      <c r="L401" s="63" t="str">
        <f t="shared" si="166"/>
        <v/>
      </c>
      <c r="M401" s="96" t="str">
        <f t="shared" si="152"/>
        <v/>
      </c>
      <c r="N401" s="96" t="str">
        <f>IF(A401="","",IF(A401=Expiry,0,EXP(-q*Q401)*_xlfn.NORM.S.DIST(Y401,0)/(sigma*SQRT(Q401))*I401*Mult/100))</f>
        <v/>
      </c>
      <c r="O401" s="96" t="str">
        <f>IF(A401="","",IF(A401=Expiry,0,D401*E401*E401*EXP(-q*Q401)*_xlfn.NORM.S.DIST(Y401,0)*SQRT(Q401)/100))</f>
        <v/>
      </c>
      <c r="P401" s="69" t="str">
        <f>IF(A401="","",IF(A401=Expiry,0,AK401*I401*Mult*((-EXP(-q*Q401)*E401*_xlfn.NORM.S.DIST(Y401,0)*sigma/(2*SQRT(Q401))-r_dom*K*EXP(-r_dom*Q401)*_xlfn.NORM.S.DIST(Z401,1)+q*E401*EXP(-q*Q401)*_xlfn.NORM.S.DIST(Y401,1))/365)))</f>
        <v/>
      </c>
      <c r="Q401" s="83" t="str">
        <f t="shared" si="167"/>
        <v/>
      </c>
      <c r="R401" s="38"/>
      <c r="S401" s="68" t="str">
        <f t="shared" si="168"/>
        <v/>
      </c>
      <c r="T401" s="69" t="str">
        <f t="shared" si="169"/>
        <v/>
      </c>
      <c r="U401" s="70" t="str">
        <f t="shared" si="170"/>
        <v/>
      </c>
      <c r="V401" s="72" t="str">
        <f t="shared" si="171"/>
        <v/>
      </c>
      <c r="W401" s="2" t="str">
        <f t="shared" si="158"/>
        <v/>
      </c>
      <c r="X401" s="2" t="str">
        <f t="shared" si="153"/>
        <v/>
      </c>
      <c r="Y401" s="35" t="str">
        <f t="shared" ca="1" si="172"/>
        <v/>
      </c>
      <c r="Z401" s="36" t="str">
        <f t="shared" ca="1" si="173"/>
        <v/>
      </c>
      <c r="AA401" s="70" t="str">
        <f t="shared" si="174"/>
        <v/>
      </c>
      <c r="AB401" s="2"/>
      <c r="AC401" s="94" t="str">
        <f t="shared" si="154"/>
        <v/>
      </c>
      <c r="AD401" s="95" t="str">
        <f t="shared" si="155"/>
        <v/>
      </c>
      <c r="AE401" s="96" t="str">
        <f t="shared" si="156"/>
        <v/>
      </c>
      <c r="AF401" s="124" t="str">
        <f t="shared" si="157"/>
        <v/>
      </c>
      <c r="AG401" s="2"/>
      <c r="AH401" s="2"/>
      <c r="AI401" s="2"/>
      <c r="AJ401" s="2"/>
      <c r="AK401" s="2"/>
      <c r="AL401" s="2"/>
    </row>
    <row r="402" spans="1:38" x14ac:dyDescent="0.2">
      <c r="A402" s="45"/>
      <c r="B402" s="43" t="str">
        <f t="shared" si="160"/>
        <v/>
      </c>
      <c r="C402" s="96" t="str">
        <f t="shared" si="159"/>
        <v/>
      </c>
      <c r="D402" s="44" t="str">
        <f t="shared" si="161"/>
        <v/>
      </c>
      <c r="E402" s="52"/>
      <c r="F402" s="63" t="str">
        <f t="shared" si="162"/>
        <v/>
      </c>
      <c r="G402" s="56" t="str">
        <f t="shared" si="163"/>
        <v/>
      </c>
      <c r="H402" s="42"/>
      <c r="I402" s="2" t="str">
        <f t="shared" si="164"/>
        <v/>
      </c>
      <c r="J402" s="54" t="str">
        <f t="shared" si="151"/>
        <v/>
      </c>
      <c r="K402" s="55" t="str">
        <f t="shared" si="165"/>
        <v/>
      </c>
      <c r="L402" s="63" t="str">
        <f t="shared" si="166"/>
        <v/>
      </c>
      <c r="M402" s="96" t="str">
        <f t="shared" si="152"/>
        <v/>
      </c>
      <c r="N402" s="96" t="str">
        <f>IF(A402="","",IF(A402=Expiry,0,EXP(-q*Q402)*_xlfn.NORM.S.DIST(Y402,0)/(sigma*SQRT(Q402))*I402*Mult/100))</f>
        <v/>
      </c>
      <c r="O402" s="96" t="str">
        <f>IF(A402="","",IF(A402=Expiry,0,D402*E402*E402*EXP(-q*Q402)*_xlfn.NORM.S.DIST(Y402,0)*SQRT(Q402)/100))</f>
        <v/>
      </c>
      <c r="P402" s="69" t="str">
        <f>IF(A402="","",IF(A402=Expiry,0,AK402*I402*Mult*((-EXP(-q*Q402)*E402*_xlfn.NORM.S.DIST(Y402,0)*sigma/(2*SQRT(Q402))-r_dom*K*EXP(-r_dom*Q402)*_xlfn.NORM.S.DIST(Z402,1)+q*E402*EXP(-q*Q402)*_xlfn.NORM.S.DIST(Y402,1))/365)))</f>
        <v/>
      </c>
      <c r="Q402" s="83" t="str">
        <f t="shared" si="167"/>
        <v/>
      </c>
      <c r="R402" s="38"/>
      <c r="S402" s="68" t="str">
        <f t="shared" si="168"/>
        <v/>
      </c>
      <c r="T402" s="69" t="str">
        <f t="shared" si="169"/>
        <v/>
      </c>
      <c r="U402" s="70" t="str">
        <f t="shared" si="170"/>
        <v/>
      </c>
      <c r="V402" s="72" t="str">
        <f t="shared" si="171"/>
        <v/>
      </c>
      <c r="W402" s="2" t="str">
        <f t="shared" si="158"/>
        <v/>
      </c>
      <c r="X402" s="2" t="str">
        <f t="shared" si="153"/>
        <v/>
      </c>
      <c r="Y402" s="35" t="str">
        <f t="shared" ca="1" si="172"/>
        <v/>
      </c>
      <c r="Z402" s="36" t="str">
        <f t="shared" ca="1" si="173"/>
        <v/>
      </c>
      <c r="AA402" s="70" t="str">
        <f t="shared" si="174"/>
        <v/>
      </c>
      <c r="AB402" s="2"/>
      <c r="AC402" s="94" t="str">
        <f t="shared" si="154"/>
        <v/>
      </c>
      <c r="AD402" s="95" t="str">
        <f t="shared" si="155"/>
        <v/>
      </c>
      <c r="AE402" s="96" t="str">
        <f t="shared" si="156"/>
        <v/>
      </c>
      <c r="AF402" s="124" t="str">
        <f t="shared" si="157"/>
        <v/>
      </c>
      <c r="AG402" s="2"/>
      <c r="AH402" s="2"/>
      <c r="AI402" s="2"/>
      <c r="AJ402" s="2"/>
      <c r="AK402" s="2"/>
      <c r="AL402" s="2"/>
    </row>
    <row r="403" spans="1:38" x14ac:dyDescent="0.2">
      <c r="A403" s="45"/>
      <c r="B403" s="43" t="str">
        <f t="shared" si="160"/>
        <v/>
      </c>
      <c r="C403" s="96" t="str">
        <f t="shared" si="159"/>
        <v/>
      </c>
      <c r="D403" s="44" t="str">
        <f t="shared" si="161"/>
        <v/>
      </c>
      <c r="E403" s="52"/>
      <c r="F403" s="63" t="str">
        <f t="shared" si="162"/>
        <v/>
      </c>
      <c r="G403" s="56" t="str">
        <f t="shared" si="163"/>
        <v/>
      </c>
      <c r="H403" s="42"/>
      <c r="I403" s="2" t="str">
        <f t="shared" si="164"/>
        <v/>
      </c>
      <c r="J403" s="54" t="str">
        <f t="shared" si="151"/>
        <v/>
      </c>
      <c r="K403" s="55" t="str">
        <f t="shared" si="165"/>
        <v/>
      </c>
      <c r="L403" s="63" t="str">
        <f t="shared" si="166"/>
        <v/>
      </c>
      <c r="M403" s="96" t="str">
        <f t="shared" si="152"/>
        <v/>
      </c>
      <c r="N403" s="96" t="str">
        <f>IF(A403="","",IF(A403=Expiry,0,EXP(-q*Q403)*_xlfn.NORM.S.DIST(Y403,0)/(sigma*SQRT(Q403))*I403*Mult/100))</f>
        <v/>
      </c>
      <c r="O403" s="96" t="str">
        <f>IF(A403="","",IF(A403=Expiry,0,D403*E403*E403*EXP(-q*Q403)*_xlfn.NORM.S.DIST(Y403,0)*SQRT(Q403)/100))</f>
        <v/>
      </c>
      <c r="P403" s="69" t="str">
        <f>IF(A403="","",IF(A403=Expiry,0,AK403*I403*Mult*((-EXP(-q*Q403)*E403*_xlfn.NORM.S.DIST(Y403,0)*sigma/(2*SQRT(Q403))-r_dom*K*EXP(-r_dom*Q403)*_xlfn.NORM.S.DIST(Z403,1)+q*E403*EXP(-q*Q403)*_xlfn.NORM.S.DIST(Y403,1))/365)))</f>
        <v/>
      </c>
      <c r="Q403" s="83" t="str">
        <f t="shared" si="167"/>
        <v/>
      </c>
      <c r="R403" s="38"/>
      <c r="S403" s="68" t="str">
        <f t="shared" si="168"/>
        <v/>
      </c>
      <c r="T403" s="69" t="str">
        <f t="shared" si="169"/>
        <v/>
      </c>
      <c r="U403" s="70" t="str">
        <f t="shared" si="170"/>
        <v/>
      </c>
      <c r="V403" s="72" t="str">
        <f t="shared" si="171"/>
        <v/>
      </c>
      <c r="W403" s="2" t="str">
        <f t="shared" si="158"/>
        <v/>
      </c>
      <c r="X403" s="2" t="str">
        <f t="shared" si="153"/>
        <v/>
      </c>
      <c r="Y403" s="35" t="str">
        <f t="shared" ca="1" si="172"/>
        <v/>
      </c>
      <c r="Z403" s="36" t="str">
        <f t="shared" ca="1" si="173"/>
        <v/>
      </c>
      <c r="AA403" s="70" t="str">
        <f t="shared" si="174"/>
        <v/>
      </c>
      <c r="AB403" s="2"/>
      <c r="AC403" s="94" t="str">
        <f t="shared" si="154"/>
        <v/>
      </c>
      <c r="AD403" s="95" t="str">
        <f t="shared" si="155"/>
        <v/>
      </c>
      <c r="AE403" s="96" t="str">
        <f t="shared" si="156"/>
        <v/>
      </c>
      <c r="AF403" s="124" t="str">
        <f t="shared" si="157"/>
        <v/>
      </c>
      <c r="AG403" s="2"/>
      <c r="AH403" s="2"/>
      <c r="AI403" s="2"/>
      <c r="AJ403" s="2"/>
      <c r="AK403" s="2"/>
      <c r="AL403" s="2"/>
    </row>
    <row r="404" spans="1:38" x14ac:dyDescent="0.2">
      <c r="A404" s="45"/>
      <c r="B404" s="43" t="str">
        <f t="shared" si="160"/>
        <v/>
      </c>
      <c r="C404" s="96" t="str">
        <f t="shared" si="159"/>
        <v/>
      </c>
      <c r="D404" s="44" t="str">
        <f t="shared" si="161"/>
        <v/>
      </c>
      <c r="E404" s="52"/>
      <c r="F404" s="63" t="str">
        <f t="shared" si="162"/>
        <v/>
      </c>
      <c r="G404" s="56" t="str">
        <f t="shared" si="163"/>
        <v/>
      </c>
      <c r="H404" s="42"/>
      <c r="I404" s="2" t="str">
        <f t="shared" si="164"/>
        <v/>
      </c>
      <c r="J404" s="54" t="str">
        <f t="shared" si="151"/>
        <v/>
      </c>
      <c r="K404" s="55" t="str">
        <f t="shared" si="165"/>
        <v/>
      </c>
      <c r="L404" s="63" t="str">
        <f t="shared" si="166"/>
        <v/>
      </c>
      <c r="M404" s="96" t="str">
        <f t="shared" si="152"/>
        <v/>
      </c>
      <c r="N404" s="96" t="str">
        <f>IF(A404="","",IF(A404=Expiry,0,EXP(-q*Q404)*_xlfn.NORM.S.DIST(Y404,0)/(sigma*SQRT(Q404))*I404*Mult/100))</f>
        <v/>
      </c>
      <c r="O404" s="96" t="str">
        <f>IF(A404="","",IF(A404=Expiry,0,D404*E404*E404*EXP(-q*Q404)*_xlfn.NORM.S.DIST(Y404,0)*SQRT(Q404)/100))</f>
        <v/>
      </c>
      <c r="P404" s="69" t="str">
        <f>IF(A404="","",IF(A404=Expiry,0,AK404*I404*Mult*((-EXP(-q*Q404)*E404*_xlfn.NORM.S.DIST(Y404,0)*sigma/(2*SQRT(Q404))-r_dom*K*EXP(-r_dom*Q404)*_xlfn.NORM.S.DIST(Z404,1)+q*E404*EXP(-q*Q404)*_xlfn.NORM.S.DIST(Y404,1))/365)))</f>
        <v/>
      </c>
      <c r="Q404" s="83" t="str">
        <f t="shared" si="167"/>
        <v/>
      </c>
      <c r="R404" s="38"/>
      <c r="S404" s="68" t="str">
        <f t="shared" si="168"/>
        <v/>
      </c>
      <c r="T404" s="69" t="str">
        <f t="shared" si="169"/>
        <v/>
      </c>
      <c r="U404" s="70" t="str">
        <f t="shared" si="170"/>
        <v/>
      </c>
      <c r="V404" s="72" t="str">
        <f t="shared" si="171"/>
        <v/>
      </c>
      <c r="W404" s="2" t="str">
        <f t="shared" si="158"/>
        <v/>
      </c>
      <c r="X404" s="2" t="str">
        <f t="shared" si="153"/>
        <v/>
      </c>
      <c r="Y404" s="35" t="str">
        <f t="shared" ca="1" si="172"/>
        <v/>
      </c>
      <c r="Z404" s="36" t="str">
        <f t="shared" ca="1" si="173"/>
        <v/>
      </c>
      <c r="AA404" s="70" t="str">
        <f t="shared" si="174"/>
        <v/>
      </c>
      <c r="AB404" s="2"/>
      <c r="AC404" s="94" t="str">
        <f t="shared" si="154"/>
        <v/>
      </c>
      <c r="AD404" s="95" t="str">
        <f t="shared" si="155"/>
        <v/>
      </c>
      <c r="AE404" s="96" t="str">
        <f t="shared" si="156"/>
        <v/>
      </c>
      <c r="AF404" s="124" t="str">
        <f t="shared" si="157"/>
        <v/>
      </c>
      <c r="AG404" s="2"/>
      <c r="AH404" s="2"/>
      <c r="AI404" s="2"/>
      <c r="AJ404" s="2"/>
      <c r="AK404" s="2"/>
      <c r="AL404" s="2"/>
    </row>
    <row r="405" spans="1:38" x14ac:dyDescent="0.2">
      <c r="A405" s="45"/>
      <c r="B405" s="43" t="str">
        <f t="shared" si="160"/>
        <v/>
      </c>
      <c r="C405" s="96" t="str">
        <f t="shared" si="159"/>
        <v/>
      </c>
      <c r="D405" s="44" t="str">
        <f t="shared" si="161"/>
        <v/>
      </c>
      <c r="E405" s="52"/>
      <c r="F405" s="63" t="str">
        <f t="shared" si="162"/>
        <v/>
      </c>
      <c r="G405" s="56" t="str">
        <f t="shared" si="163"/>
        <v/>
      </c>
      <c r="H405" s="42"/>
      <c r="I405" s="2" t="str">
        <f t="shared" si="164"/>
        <v/>
      </c>
      <c r="J405" s="54" t="str">
        <f t="shared" si="151"/>
        <v/>
      </c>
      <c r="K405" s="55" t="str">
        <f t="shared" si="165"/>
        <v/>
      </c>
      <c r="L405" s="63" t="str">
        <f t="shared" si="166"/>
        <v/>
      </c>
      <c r="M405" s="96" t="str">
        <f t="shared" si="152"/>
        <v/>
      </c>
      <c r="N405" s="96" t="str">
        <f>IF(A405="","",IF(A405=Expiry,0,EXP(-q*Q405)*_xlfn.NORM.S.DIST(Y405,0)/(sigma*SQRT(Q405))*I405*Mult/100))</f>
        <v/>
      </c>
      <c r="O405" s="96" t="str">
        <f>IF(A405="","",IF(A405=Expiry,0,D405*E405*E405*EXP(-q*Q405)*_xlfn.NORM.S.DIST(Y405,0)*SQRT(Q405)/100))</f>
        <v/>
      </c>
      <c r="P405" s="69" t="str">
        <f>IF(A405="","",IF(A405=Expiry,0,AK405*I405*Mult*((-EXP(-q*Q405)*E405*_xlfn.NORM.S.DIST(Y405,0)*sigma/(2*SQRT(Q405))-r_dom*K*EXP(-r_dom*Q405)*_xlfn.NORM.S.DIST(Z405,1)+q*E405*EXP(-q*Q405)*_xlfn.NORM.S.DIST(Y405,1))/365)))</f>
        <v/>
      </c>
      <c r="Q405" s="83" t="str">
        <f t="shared" si="167"/>
        <v/>
      </c>
      <c r="R405" s="38"/>
      <c r="S405" s="68" t="str">
        <f t="shared" si="168"/>
        <v/>
      </c>
      <c r="T405" s="69" t="str">
        <f t="shared" si="169"/>
        <v/>
      </c>
      <c r="U405" s="70" t="str">
        <f t="shared" si="170"/>
        <v/>
      </c>
      <c r="V405" s="72" t="str">
        <f t="shared" si="171"/>
        <v/>
      </c>
      <c r="W405" s="2" t="str">
        <f t="shared" si="158"/>
        <v/>
      </c>
      <c r="X405" s="2" t="str">
        <f t="shared" si="153"/>
        <v/>
      </c>
      <c r="Y405" s="35" t="str">
        <f t="shared" ca="1" si="172"/>
        <v/>
      </c>
      <c r="Z405" s="36" t="str">
        <f t="shared" ca="1" si="173"/>
        <v/>
      </c>
      <c r="AA405" s="70" t="str">
        <f t="shared" si="174"/>
        <v/>
      </c>
      <c r="AB405" s="2"/>
      <c r="AC405" s="94" t="str">
        <f t="shared" si="154"/>
        <v/>
      </c>
      <c r="AD405" s="95" t="str">
        <f t="shared" si="155"/>
        <v/>
      </c>
      <c r="AE405" s="96" t="str">
        <f t="shared" si="156"/>
        <v/>
      </c>
      <c r="AF405" s="124" t="str">
        <f t="shared" si="157"/>
        <v/>
      </c>
      <c r="AG405" s="2"/>
      <c r="AH405" s="2"/>
      <c r="AI405" s="2"/>
      <c r="AJ405" s="2"/>
      <c r="AK405" s="2"/>
      <c r="AL405" s="2"/>
    </row>
    <row r="406" spans="1:38" x14ac:dyDescent="0.2">
      <c r="A406" s="45"/>
      <c r="B406" s="43" t="str">
        <f t="shared" si="160"/>
        <v/>
      </c>
      <c r="C406" s="96" t="str">
        <f t="shared" si="159"/>
        <v/>
      </c>
      <c r="D406" s="44" t="str">
        <f t="shared" si="161"/>
        <v/>
      </c>
      <c r="E406" s="52"/>
      <c r="F406" s="63" t="str">
        <f t="shared" si="162"/>
        <v/>
      </c>
      <c r="G406" s="56" t="str">
        <f t="shared" si="163"/>
        <v/>
      </c>
      <c r="H406" s="42"/>
      <c r="I406" s="2" t="str">
        <f t="shared" si="164"/>
        <v/>
      </c>
      <c r="J406" s="54" t="str">
        <f t="shared" si="151"/>
        <v/>
      </c>
      <c r="K406" s="55" t="str">
        <f t="shared" si="165"/>
        <v/>
      </c>
      <c r="L406" s="63" t="str">
        <f t="shared" si="166"/>
        <v/>
      </c>
      <c r="M406" s="96" t="str">
        <f t="shared" si="152"/>
        <v/>
      </c>
      <c r="N406" s="96" t="str">
        <f>IF(A406="","",IF(A406=Expiry,0,EXP(-q*Q406)*_xlfn.NORM.S.DIST(Y406,0)/(sigma*SQRT(Q406))*I406*Mult/100))</f>
        <v/>
      </c>
      <c r="O406" s="96" t="str">
        <f>IF(A406="","",IF(A406=Expiry,0,D406*E406*E406*EXP(-q*Q406)*_xlfn.NORM.S.DIST(Y406,0)*SQRT(Q406)/100))</f>
        <v/>
      </c>
      <c r="P406" s="69" t="str">
        <f>IF(A406="","",IF(A406=Expiry,0,AK406*I406*Mult*((-EXP(-q*Q406)*E406*_xlfn.NORM.S.DIST(Y406,0)*sigma/(2*SQRT(Q406))-r_dom*K*EXP(-r_dom*Q406)*_xlfn.NORM.S.DIST(Z406,1)+q*E406*EXP(-q*Q406)*_xlfn.NORM.S.DIST(Y406,1))/365)))</f>
        <v/>
      </c>
      <c r="Q406" s="83" t="str">
        <f t="shared" si="167"/>
        <v/>
      </c>
      <c r="R406" s="38"/>
      <c r="S406" s="68" t="str">
        <f t="shared" si="168"/>
        <v/>
      </c>
      <c r="T406" s="69" t="str">
        <f t="shared" si="169"/>
        <v/>
      </c>
      <c r="U406" s="70" t="str">
        <f t="shared" si="170"/>
        <v/>
      </c>
      <c r="V406" s="72" t="str">
        <f t="shared" si="171"/>
        <v/>
      </c>
      <c r="W406" s="2" t="str">
        <f t="shared" si="158"/>
        <v/>
      </c>
      <c r="X406" s="2" t="str">
        <f t="shared" si="153"/>
        <v/>
      </c>
      <c r="Y406" s="35" t="str">
        <f t="shared" ca="1" si="172"/>
        <v/>
      </c>
      <c r="Z406" s="36" t="str">
        <f t="shared" ca="1" si="173"/>
        <v/>
      </c>
      <c r="AA406" s="70" t="str">
        <f t="shared" si="174"/>
        <v/>
      </c>
      <c r="AB406" s="2"/>
      <c r="AC406" s="94" t="str">
        <f t="shared" si="154"/>
        <v/>
      </c>
      <c r="AD406" s="95" t="str">
        <f t="shared" si="155"/>
        <v/>
      </c>
      <c r="AE406" s="96" t="str">
        <f t="shared" si="156"/>
        <v/>
      </c>
      <c r="AF406" s="124" t="str">
        <f t="shared" si="157"/>
        <v/>
      </c>
      <c r="AG406" s="2"/>
      <c r="AH406" s="2"/>
      <c r="AI406" s="2"/>
      <c r="AJ406" s="2"/>
      <c r="AK406" s="2"/>
      <c r="AL406" s="2"/>
    </row>
    <row r="407" spans="1:38" x14ac:dyDescent="0.2">
      <c r="A407" s="45"/>
      <c r="B407" s="43" t="str">
        <f t="shared" si="160"/>
        <v/>
      </c>
      <c r="C407" s="96" t="str">
        <f t="shared" si="159"/>
        <v/>
      </c>
      <c r="D407" s="44" t="str">
        <f t="shared" si="161"/>
        <v/>
      </c>
      <c r="E407" s="52"/>
      <c r="F407" s="63" t="str">
        <f t="shared" si="162"/>
        <v/>
      </c>
      <c r="G407" s="56" t="str">
        <f t="shared" si="163"/>
        <v/>
      </c>
      <c r="H407" s="42"/>
      <c r="I407" s="2" t="str">
        <f t="shared" si="164"/>
        <v/>
      </c>
      <c r="J407" s="54" t="str">
        <f t="shared" si="151"/>
        <v/>
      </c>
      <c r="K407" s="55" t="str">
        <f t="shared" si="165"/>
        <v/>
      </c>
      <c r="L407" s="63" t="str">
        <f t="shared" si="166"/>
        <v/>
      </c>
      <c r="M407" s="96" t="str">
        <f t="shared" si="152"/>
        <v/>
      </c>
      <c r="N407" s="96" t="str">
        <f>IF(A407="","",IF(A407=Expiry,0,EXP(-q*Q407)*_xlfn.NORM.S.DIST(Y407,0)/(sigma*SQRT(Q407))*I407*Mult/100))</f>
        <v/>
      </c>
      <c r="O407" s="96" t="str">
        <f>IF(A407="","",IF(A407=Expiry,0,D407*E407*E407*EXP(-q*Q407)*_xlfn.NORM.S.DIST(Y407,0)*SQRT(Q407)/100))</f>
        <v/>
      </c>
      <c r="P407" s="69" t="str">
        <f>IF(A407="","",IF(A407=Expiry,0,AK407*I407*Mult*((-EXP(-q*Q407)*E407*_xlfn.NORM.S.DIST(Y407,0)*sigma/(2*SQRT(Q407))-r_dom*K*EXP(-r_dom*Q407)*_xlfn.NORM.S.DIST(Z407,1)+q*E407*EXP(-q*Q407)*_xlfn.NORM.S.DIST(Y407,1))/365)))</f>
        <v/>
      </c>
      <c r="Q407" s="83" t="str">
        <f t="shared" si="167"/>
        <v/>
      </c>
      <c r="R407" s="38"/>
      <c r="S407" s="68" t="str">
        <f t="shared" si="168"/>
        <v/>
      </c>
      <c r="T407" s="69" t="str">
        <f t="shared" si="169"/>
        <v/>
      </c>
      <c r="U407" s="70" t="str">
        <f t="shared" si="170"/>
        <v/>
      </c>
      <c r="V407" s="72" t="str">
        <f t="shared" si="171"/>
        <v/>
      </c>
      <c r="W407" s="2" t="str">
        <f t="shared" si="158"/>
        <v/>
      </c>
      <c r="X407" s="2" t="str">
        <f t="shared" si="153"/>
        <v/>
      </c>
      <c r="Y407" s="35" t="str">
        <f t="shared" ca="1" si="172"/>
        <v/>
      </c>
      <c r="Z407" s="36" t="str">
        <f t="shared" ca="1" si="173"/>
        <v/>
      </c>
      <c r="AA407" s="70" t="str">
        <f t="shared" si="174"/>
        <v/>
      </c>
      <c r="AB407" s="2"/>
      <c r="AC407" s="94" t="str">
        <f t="shared" si="154"/>
        <v/>
      </c>
      <c r="AD407" s="95" t="str">
        <f t="shared" si="155"/>
        <v/>
      </c>
      <c r="AE407" s="96" t="str">
        <f t="shared" si="156"/>
        <v/>
      </c>
      <c r="AF407" s="124" t="str">
        <f t="shared" si="157"/>
        <v/>
      </c>
      <c r="AG407" s="2"/>
      <c r="AH407" s="2"/>
      <c r="AI407" s="2"/>
      <c r="AJ407" s="2"/>
      <c r="AK407" s="2"/>
      <c r="AL407" s="2"/>
    </row>
    <row r="408" spans="1:38" x14ac:dyDescent="0.2">
      <c r="A408" s="45"/>
      <c r="B408" s="43" t="str">
        <f t="shared" si="160"/>
        <v/>
      </c>
      <c r="C408" s="96" t="str">
        <f t="shared" si="159"/>
        <v/>
      </c>
      <c r="D408" s="44" t="str">
        <f t="shared" si="161"/>
        <v/>
      </c>
      <c r="E408" s="52"/>
      <c r="F408" s="63" t="str">
        <f t="shared" si="162"/>
        <v/>
      </c>
      <c r="G408" s="56" t="str">
        <f t="shared" si="163"/>
        <v/>
      </c>
      <c r="H408" s="42"/>
      <c r="I408" s="2" t="str">
        <f t="shared" si="164"/>
        <v/>
      </c>
      <c r="J408" s="54" t="str">
        <f t="shared" si="151"/>
        <v/>
      </c>
      <c r="K408" s="55" t="str">
        <f t="shared" si="165"/>
        <v/>
      </c>
      <c r="L408" s="63" t="str">
        <f t="shared" si="166"/>
        <v/>
      </c>
      <c r="M408" s="96" t="str">
        <f t="shared" si="152"/>
        <v/>
      </c>
      <c r="N408" s="96" t="str">
        <f>IF(A408="","",IF(A408=Expiry,0,EXP(-q*Q408)*_xlfn.NORM.S.DIST(Y408,0)/(sigma*SQRT(Q408))*I408*Mult/100))</f>
        <v/>
      </c>
      <c r="O408" s="96" t="str">
        <f>IF(A408="","",IF(A408=Expiry,0,D408*E408*E408*EXP(-q*Q408)*_xlfn.NORM.S.DIST(Y408,0)*SQRT(Q408)/100))</f>
        <v/>
      </c>
      <c r="P408" s="69" t="str">
        <f>IF(A408="","",IF(A408=Expiry,0,AK408*I408*Mult*((-EXP(-q*Q408)*E408*_xlfn.NORM.S.DIST(Y408,0)*sigma/(2*SQRT(Q408))-r_dom*K*EXP(-r_dom*Q408)*_xlfn.NORM.S.DIST(Z408,1)+q*E408*EXP(-q*Q408)*_xlfn.NORM.S.DIST(Y408,1))/365)))</f>
        <v/>
      </c>
      <c r="Q408" s="83" t="str">
        <f t="shared" si="167"/>
        <v/>
      </c>
      <c r="R408" s="38"/>
      <c r="S408" s="68" t="str">
        <f t="shared" si="168"/>
        <v/>
      </c>
      <c r="T408" s="69" t="str">
        <f t="shared" si="169"/>
        <v/>
      </c>
      <c r="U408" s="70" t="str">
        <f t="shared" si="170"/>
        <v/>
      </c>
      <c r="V408" s="72" t="str">
        <f t="shared" si="171"/>
        <v/>
      </c>
      <c r="W408" s="2" t="str">
        <f t="shared" si="158"/>
        <v/>
      </c>
      <c r="X408" s="2" t="str">
        <f t="shared" si="153"/>
        <v/>
      </c>
      <c r="Y408" s="35" t="str">
        <f t="shared" ca="1" si="172"/>
        <v/>
      </c>
      <c r="Z408" s="36" t="str">
        <f t="shared" ca="1" si="173"/>
        <v/>
      </c>
      <c r="AA408" s="70" t="str">
        <f t="shared" si="174"/>
        <v/>
      </c>
      <c r="AB408" s="2"/>
      <c r="AC408" s="94" t="str">
        <f t="shared" si="154"/>
        <v/>
      </c>
      <c r="AD408" s="95" t="str">
        <f t="shared" si="155"/>
        <v/>
      </c>
      <c r="AE408" s="96" t="str">
        <f t="shared" si="156"/>
        <v/>
      </c>
      <c r="AF408" s="124" t="str">
        <f t="shared" si="157"/>
        <v/>
      </c>
      <c r="AG408" s="2"/>
      <c r="AH408" s="2"/>
      <c r="AI408" s="2"/>
      <c r="AJ408" s="2"/>
      <c r="AK408" s="2"/>
      <c r="AL408" s="2"/>
    </row>
    <row r="409" spans="1:38" x14ac:dyDescent="0.2">
      <c r="A409" s="45"/>
      <c r="B409" s="43" t="str">
        <f t="shared" si="160"/>
        <v/>
      </c>
      <c r="C409" s="96" t="str">
        <f t="shared" si="159"/>
        <v/>
      </c>
      <c r="D409" s="44" t="str">
        <f t="shared" si="161"/>
        <v/>
      </c>
      <c r="E409" s="52"/>
      <c r="F409" s="63" t="str">
        <f t="shared" si="162"/>
        <v/>
      </c>
      <c r="G409" s="56" t="str">
        <f t="shared" si="163"/>
        <v/>
      </c>
      <c r="H409" s="42"/>
      <c r="I409" s="2" t="str">
        <f t="shared" si="164"/>
        <v/>
      </c>
      <c r="J409" s="54" t="str">
        <f t="shared" si="151"/>
        <v/>
      </c>
      <c r="K409" s="55" t="str">
        <f t="shared" si="165"/>
        <v/>
      </c>
      <c r="L409" s="63" t="str">
        <f t="shared" si="166"/>
        <v/>
      </c>
      <c r="M409" s="96" t="str">
        <f t="shared" si="152"/>
        <v/>
      </c>
      <c r="N409" s="96" t="str">
        <f>IF(A409="","",IF(A409=Expiry,0,EXP(-q*Q409)*_xlfn.NORM.S.DIST(Y409,0)/(sigma*SQRT(Q409))*I409*Mult/100))</f>
        <v/>
      </c>
      <c r="O409" s="96" t="str">
        <f>IF(A409="","",IF(A409=Expiry,0,D409*E409*E409*EXP(-q*Q409)*_xlfn.NORM.S.DIST(Y409,0)*SQRT(Q409)/100))</f>
        <v/>
      </c>
      <c r="P409" s="69" t="str">
        <f>IF(A409="","",IF(A409=Expiry,0,AK409*I409*Mult*((-EXP(-q*Q409)*E409*_xlfn.NORM.S.DIST(Y409,0)*sigma/(2*SQRT(Q409))-r_dom*K*EXP(-r_dom*Q409)*_xlfn.NORM.S.DIST(Z409,1)+q*E409*EXP(-q*Q409)*_xlfn.NORM.S.DIST(Y409,1))/365)))</f>
        <v/>
      </c>
      <c r="Q409" s="83" t="str">
        <f t="shared" si="167"/>
        <v/>
      </c>
      <c r="R409" s="38"/>
      <c r="S409" s="68" t="str">
        <f t="shared" si="168"/>
        <v/>
      </c>
      <c r="T409" s="69" t="str">
        <f t="shared" si="169"/>
        <v/>
      </c>
      <c r="U409" s="70" t="str">
        <f t="shared" si="170"/>
        <v/>
      </c>
      <c r="V409" s="72" t="str">
        <f t="shared" si="171"/>
        <v/>
      </c>
      <c r="W409" s="2" t="str">
        <f t="shared" si="158"/>
        <v/>
      </c>
      <c r="X409" s="2" t="str">
        <f t="shared" si="153"/>
        <v/>
      </c>
      <c r="Y409" s="35" t="str">
        <f t="shared" ca="1" si="172"/>
        <v/>
      </c>
      <c r="Z409" s="36" t="str">
        <f t="shared" ca="1" si="173"/>
        <v/>
      </c>
      <c r="AA409" s="70" t="str">
        <f t="shared" si="174"/>
        <v/>
      </c>
      <c r="AB409" s="2"/>
      <c r="AC409" s="94" t="str">
        <f t="shared" si="154"/>
        <v/>
      </c>
      <c r="AD409" s="95" t="str">
        <f t="shared" si="155"/>
        <v/>
      </c>
      <c r="AE409" s="96" t="str">
        <f t="shared" si="156"/>
        <v/>
      </c>
      <c r="AF409" s="124" t="str">
        <f t="shared" si="157"/>
        <v/>
      </c>
      <c r="AG409" s="2"/>
      <c r="AH409" s="2"/>
      <c r="AI409" s="2"/>
      <c r="AJ409" s="2"/>
      <c r="AK409" s="2"/>
      <c r="AL409" s="2"/>
    </row>
    <row r="410" spans="1:38" x14ac:dyDescent="0.2">
      <c r="A410" s="45"/>
      <c r="B410" s="43" t="str">
        <f t="shared" si="160"/>
        <v/>
      </c>
      <c r="C410" s="96" t="str">
        <f t="shared" si="159"/>
        <v/>
      </c>
      <c r="D410" s="44" t="str">
        <f t="shared" si="161"/>
        <v/>
      </c>
      <c r="E410" s="52"/>
      <c r="F410" s="63" t="str">
        <f t="shared" si="162"/>
        <v/>
      </c>
      <c r="G410" s="56" t="str">
        <f t="shared" si="163"/>
        <v/>
      </c>
      <c r="H410" s="42"/>
      <c r="I410" s="2" t="str">
        <f t="shared" si="164"/>
        <v/>
      </c>
      <c r="J410" s="54" t="str">
        <f t="shared" si="151"/>
        <v/>
      </c>
      <c r="K410" s="55" t="str">
        <f t="shared" si="165"/>
        <v/>
      </c>
      <c r="L410" s="63" t="str">
        <f t="shared" si="166"/>
        <v/>
      </c>
      <c r="M410" s="96" t="str">
        <f t="shared" si="152"/>
        <v/>
      </c>
      <c r="N410" s="96" t="str">
        <f>IF(A410="","",IF(A410=Expiry,0,EXP(-q*Q410)*_xlfn.NORM.S.DIST(Y410,0)/(sigma*SQRT(Q410))*I410*Mult/100))</f>
        <v/>
      </c>
      <c r="O410" s="96" t="str">
        <f>IF(A410="","",IF(A410=Expiry,0,D410*E410*E410*EXP(-q*Q410)*_xlfn.NORM.S.DIST(Y410,0)*SQRT(Q410)/100))</f>
        <v/>
      </c>
      <c r="P410" s="69" t="str">
        <f>IF(A410="","",IF(A410=Expiry,0,AK410*I410*Mult*((-EXP(-q*Q410)*E410*_xlfn.NORM.S.DIST(Y410,0)*sigma/(2*SQRT(Q410))-r_dom*K*EXP(-r_dom*Q410)*_xlfn.NORM.S.DIST(Z410,1)+q*E410*EXP(-q*Q410)*_xlfn.NORM.S.DIST(Y410,1))/365)))</f>
        <v/>
      </c>
      <c r="Q410" s="83" t="str">
        <f t="shared" si="167"/>
        <v/>
      </c>
      <c r="R410" s="38"/>
      <c r="S410" s="68" t="str">
        <f t="shared" si="168"/>
        <v/>
      </c>
      <c r="T410" s="69" t="str">
        <f t="shared" si="169"/>
        <v/>
      </c>
      <c r="U410" s="70" t="str">
        <f t="shared" si="170"/>
        <v/>
      </c>
      <c r="V410" s="72" t="str">
        <f t="shared" si="171"/>
        <v/>
      </c>
      <c r="W410" s="2" t="str">
        <f t="shared" si="158"/>
        <v/>
      </c>
      <c r="X410" s="2" t="str">
        <f t="shared" si="153"/>
        <v/>
      </c>
      <c r="Y410" s="35" t="str">
        <f t="shared" ca="1" si="172"/>
        <v/>
      </c>
      <c r="Z410" s="36" t="str">
        <f t="shared" ca="1" si="173"/>
        <v/>
      </c>
      <c r="AA410" s="70" t="str">
        <f t="shared" si="174"/>
        <v/>
      </c>
      <c r="AB410" s="2"/>
      <c r="AC410" s="94" t="str">
        <f t="shared" si="154"/>
        <v/>
      </c>
      <c r="AD410" s="95" t="str">
        <f t="shared" si="155"/>
        <v/>
      </c>
      <c r="AE410" s="96" t="str">
        <f t="shared" si="156"/>
        <v/>
      </c>
      <c r="AF410" s="124" t="str">
        <f t="shared" si="157"/>
        <v/>
      </c>
      <c r="AG410" s="2"/>
      <c r="AH410" s="2"/>
      <c r="AI410" s="2"/>
      <c r="AJ410" s="2"/>
      <c r="AK410" s="2"/>
      <c r="AL410" s="2"/>
    </row>
    <row r="411" spans="1:38" x14ac:dyDescent="0.2">
      <c r="A411" s="45"/>
      <c r="B411" s="43" t="str">
        <f t="shared" si="160"/>
        <v/>
      </c>
      <c r="C411" s="96" t="str">
        <f t="shared" si="159"/>
        <v/>
      </c>
      <c r="D411" s="44" t="str">
        <f t="shared" si="161"/>
        <v/>
      </c>
      <c r="E411" s="52"/>
      <c r="F411" s="63" t="str">
        <f t="shared" si="162"/>
        <v/>
      </c>
      <c r="G411" s="56" t="str">
        <f t="shared" si="163"/>
        <v/>
      </c>
      <c r="H411" s="42"/>
      <c r="I411" s="2" t="str">
        <f t="shared" si="164"/>
        <v/>
      </c>
      <c r="J411" s="54" t="str">
        <f t="shared" si="151"/>
        <v/>
      </c>
      <c r="K411" s="55" t="str">
        <f t="shared" si="165"/>
        <v/>
      </c>
      <c r="L411" s="63" t="str">
        <f t="shared" si="166"/>
        <v/>
      </c>
      <c r="M411" s="96" t="str">
        <f t="shared" si="152"/>
        <v/>
      </c>
      <c r="N411" s="96" t="str">
        <f>IF(A411="","",IF(A411=Expiry,0,EXP(-q*Q411)*_xlfn.NORM.S.DIST(Y411,0)/(sigma*SQRT(Q411))*I411*Mult/100))</f>
        <v/>
      </c>
      <c r="O411" s="96" t="str">
        <f>IF(A411="","",IF(A411=Expiry,0,D411*E411*E411*EXP(-q*Q411)*_xlfn.NORM.S.DIST(Y411,0)*SQRT(Q411)/100))</f>
        <v/>
      </c>
      <c r="P411" s="69" t="str">
        <f>IF(A411="","",IF(A411=Expiry,0,AK411*I411*Mult*((-EXP(-q*Q411)*E411*_xlfn.NORM.S.DIST(Y411,0)*sigma/(2*SQRT(Q411))-r_dom*K*EXP(-r_dom*Q411)*_xlfn.NORM.S.DIST(Z411,1)+q*E411*EXP(-q*Q411)*_xlfn.NORM.S.DIST(Y411,1))/365)))</f>
        <v/>
      </c>
      <c r="Q411" s="83" t="str">
        <f t="shared" si="167"/>
        <v/>
      </c>
      <c r="R411" s="38"/>
      <c r="S411" s="68" t="str">
        <f t="shared" si="168"/>
        <v/>
      </c>
      <c r="T411" s="69" t="str">
        <f t="shared" si="169"/>
        <v/>
      </c>
      <c r="U411" s="70" t="str">
        <f t="shared" si="170"/>
        <v/>
      </c>
      <c r="V411" s="72" t="str">
        <f t="shared" si="171"/>
        <v/>
      </c>
      <c r="W411" s="2" t="str">
        <f t="shared" si="158"/>
        <v/>
      </c>
      <c r="X411" s="2" t="str">
        <f t="shared" si="153"/>
        <v/>
      </c>
      <c r="Y411" s="35" t="str">
        <f t="shared" ca="1" si="172"/>
        <v/>
      </c>
      <c r="Z411" s="36" t="str">
        <f t="shared" ca="1" si="173"/>
        <v/>
      </c>
      <c r="AA411" s="70" t="str">
        <f t="shared" si="174"/>
        <v/>
      </c>
      <c r="AB411" s="2"/>
      <c r="AC411" s="94" t="str">
        <f t="shared" si="154"/>
        <v/>
      </c>
      <c r="AD411" s="95" t="str">
        <f t="shared" si="155"/>
        <v/>
      </c>
      <c r="AE411" s="96" t="str">
        <f t="shared" si="156"/>
        <v/>
      </c>
      <c r="AF411" s="124" t="str">
        <f t="shared" si="157"/>
        <v/>
      </c>
      <c r="AG411" s="2"/>
      <c r="AH411" s="2"/>
      <c r="AI411" s="2"/>
      <c r="AJ411" s="2"/>
      <c r="AK411" s="2"/>
      <c r="AL411" s="2"/>
    </row>
    <row r="412" spans="1:38" x14ac:dyDescent="0.2">
      <c r="A412" s="45"/>
      <c r="B412" s="43" t="str">
        <f t="shared" si="160"/>
        <v/>
      </c>
      <c r="C412" s="96" t="str">
        <f t="shared" si="159"/>
        <v/>
      </c>
      <c r="D412" s="44" t="str">
        <f t="shared" si="161"/>
        <v/>
      </c>
      <c r="E412" s="52"/>
      <c r="F412" s="63" t="str">
        <f t="shared" si="162"/>
        <v/>
      </c>
      <c r="G412" s="56" t="str">
        <f t="shared" si="163"/>
        <v/>
      </c>
      <c r="H412" s="42"/>
      <c r="I412" s="2" t="str">
        <f t="shared" si="164"/>
        <v/>
      </c>
      <c r="J412" s="54" t="str">
        <f t="shared" si="151"/>
        <v/>
      </c>
      <c r="K412" s="55" t="str">
        <f t="shared" si="165"/>
        <v/>
      </c>
      <c r="L412" s="63" t="str">
        <f t="shared" si="166"/>
        <v/>
      </c>
      <c r="M412" s="96" t="str">
        <f t="shared" si="152"/>
        <v/>
      </c>
      <c r="N412" s="96" t="str">
        <f>IF(A412="","",IF(A412=Expiry,0,EXP(-q*Q412)*_xlfn.NORM.S.DIST(Y412,0)/(sigma*SQRT(Q412))*I412*Mult/100))</f>
        <v/>
      </c>
      <c r="O412" s="96" t="str">
        <f>IF(A412="","",IF(A412=Expiry,0,D412*E412*E412*EXP(-q*Q412)*_xlfn.NORM.S.DIST(Y412,0)*SQRT(Q412)/100))</f>
        <v/>
      </c>
      <c r="P412" s="69" t="str">
        <f>IF(A412="","",IF(A412=Expiry,0,AK412*I412*Mult*((-EXP(-q*Q412)*E412*_xlfn.NORM.S.DIST(Y412,0)*sigma/(2*SQRT(Q412))-r_dom*K*EXP(-r_dom*Q412)*_xlfn.NORM.S.DIST(Z412,1)+q*E412*EXP(-q*Q412)*_xlfn.NORM.S.DIST(Y412,1))/365)))</f>
        <v/>
      </c>
      <c r="Q412" s="83" t="str">
        <f t="shared" si="167"/>
        <v/>
      </c>
      <c r="R412" s="38"/>
      <c r="S412" s="68" t="str">
        <f t="shared" si="168"/>
        <v/>
      </c>
      <c r="T412" s="69" t="str">
        <f t="shared" si="169"/>
        <v/>
      </c>
      <c r="U412" s="70" t="str">
        <f t="shared" si="170"/>
        <v/>
      </c>
      <c r="V412" s="72" t="str">
        <f t="shared" si="171"/>
        <v/>
      </c>
      <c r="W412" s="2" t="str">
        <f t="shared" si="158"/>
        <v/>
      </c>
      <c r="X412" s="2" t="str">
        <f t="shared" si="153"/>
        <v/>
      </c>
      <c r="Y412" s="35" t="str">
        <f t="shared" ca="1" si="172"/>
        <v/>
      </c>
      <c r="Z412" s="36" t="str">
        <f t="shared" ca="1" si="173"/>
        <v/>
      </c>
      <c r="AA412" s="70" t="str">
        <f t="shared" si="174"/>
        <v/>
      </c>
      <c r="AB412" s="2"/>
      <c r="AC412" s="94" t="str">
        <f t="shared" si="154"/>
        <v/>
      </c>
      <c r="AD412" s="95" t="str">
        <f t="shared" si="155"/>
        <v/>
      </c>
      <c r="AE412" s="96" t="str">
        <f t="shared" si="156"/>
        <v/>
      </c>
      <c r="AF412" s="124" t="str">
        <f t="shared" si="157"/>
        <v/>
      </c>
      <c r="AG412" s="2"/>
      <c r="AH412" s="2"/>
      <c r="AI412" s="2"/>
      <c r="AJ412" s="2"/>
      <c r="AK412" s="2"/>
      <c r="AL412" s="2"/>
    </row>
    <row r="413" spans="1:38" x14ac:dyDescent="0.2">
      <c r="A413" s="45"/>
      <c r="B413" s="43" t="str">
        <f t="shared" si="160"/>
        <v/>
      </c>
      <c r="C413" s="96" t="str">
        <f t="shared" si="159"/>
        <v/>
      </c>
      <c r="D413" s="44" t="str">
        <f t="shared" si="161"/>
        <v/>
      </c>
      <c r="E413" s="52"/>
      <c r="F413" s="63" t="str">
        <f t="shared" si="162"/>
        <v/>
      </c>
      <c r="G413" s="56" t="str">
        <f t="shared" si="163"/>
        <v/>
      </c>
      <c r="H413" s="42"/>
      <c r="I413" s="2" t="str">
        <f t="shared" si="164"/>
        <v/>
      </c>
      <c r="J413" s="54" t="str">
        <f t="shared" si="151"/>
        <v/>
      </c>
      <c r="K413" s="55" t="str">
        <f t="shared" si="165"/>
        <v/>
      </c>
      <c r="L413" s="63" t="str">
        <f t="shared" si="166"/>
        <v/>
      </c>
      <c r="M413" s="96" t="str">
        <f t="shared" si="152"/>
        <v/>
      </c>
      <c r="N413" s="96" t="str">
        <f>IF(A413="","",IF(A413=Expiry,0,EXP(-q*Q413)*_xlfn.NORM.S.DIST(Y413,0)/(sigma*SQRT(Q413))*I413*Mult/100))</f>
        <v/>
      </c>
      <c r="O413" s="96" t="str">
        <f>IF(A413="","",IF(A413=Expiry,0,D413*E413*E413*EXP(-q*Q413)*_xlfn.NORM.S.DIST(Y413,0)*SQRT(Q413)/100))</f>
        <v/>
      </c>
      <c r="P413" s="69" t="str">
        <f>IF(A413="","",IF(A413=Expiry,0,AK413*I413*Mult*((-EXP(-q*Q413)*E413*_xlfn.NORM.S.DIST(Y413,0)*sigma/(2*SQRT(Q413))-r_dom*K*EXP(-r_dom*Q413)*_xlfn.NORM.S.DIST(Z413,1)+q*E413*EXP(-q*Q413)*_xlfn.NORM.S.DIST(Y413,1))/365)))</f>
        <v/>
      </c>
      <c r="Q413" s="83" t="str">
        <f t="shared" si="167"/>
        <v/>
      </c>
      <c r="R413" s="38"/>
      <c r="S413" s="68" t="str">
        <f t="shared" si="168"/>
        <v/>
      </c>
      <c r="T413" s="69" t="str">
        <f t="shared" si="169"/>
        <v/>
      </c>
      <c r="U413" s="70" t="str">
        <f t="shared" si="170"/>
        <v/>
      </c>
      <c r="V413" s="72" t="str">
        <f t="shared" si="171"/>
        <v/>
      </c>
      <c r="W413" s="2" t="str">
        <f t="shared" si="158"/>
        <v/>
      </c>
      <c r="X413" s="2" t="str">
        <f t="shared" si="153"/>
        <v/>
      </c>
      <c r="Y413" s="35" t="str">
        <f t="shared" ca="1" si="172"/>
        <v/>
      </c>
      <c r="Z413" s="36" t="str">
        <f t="shared" ca="1" si="173"/>
        <v/>
      </c>
      <c r="AA413" s="70" t="str">
        <f t="shared" si="174"/>
        <v/>
      </c>
      <c r="AB413" s="2"/>
      <c r="AC413" s="94" t="str">
        <f t="shared" si="154"/>
        <v/>
      </c>
      <c r="AD413" s="95" t="str">
        <f t="shared" si="155"/>
        <v/>
      </c>
      <c r="AE413" s="96" t="str">
        <f t="shared" si="156"/>
        <v/>
      </c>
      <c r="AF413" s="124" t="str">
        <f t="shared" si="157"/>
        <v/>
      </c>
      <c r="AG413" s="2"/>
      <c r="AH413" s="2"/>
      <c r="AI413" s="2"/>
      <c r="AJ413" s="2"/>
      <c r="AK413" s="2"/>
      <c r="AL413" s="2"/>
    </row>
    <row r="414" spans="1:38" x14ac:dyDescent="0.2">
      <c r="A414" s="45"/>
      <c r="B414" s="43" t="str">
        <f t="shared" si="160"/>
        <v/>
      </c>
      <c r="C414" s="96" t="str">
        <f t="shared" si="159"/>
        <v/>
      </c>
      <c r="D414" s="44" t="str">
        <f t="shared" si="161"/>
        <v/>
      </c>
      <c r="E414" s="52"/>
      <c r="F414" s="63" t="str">
        <f t="shared" si="162"/>
        <v/>
      </c>
      <c r="G414" s="56" t="str">
        <f t="shared" si="163"/>
        <v/>
      </c>
      <c r="H414" s="42"/>
      <c r="I414" s="2" t="str">
        <f t="shared" si="164"/>
        <v/>
      </c>
      <c r="J414" s="54" t="str">
        <f t="shared" si="151"/>
        <v/>
      </c>
      <c r="K414" s="55" t="str">
        <f t="shared" si="165"/>
        <v/>
      </c>
      <c r="L414" s="63" t="str">
        <f t="shared" si="166"/>
        <v/>
      </c>
      <c r="M414" s="96" t="str">
        <f t="shared" si="152"/>
        <v/>
      </c>
      <c r="N414" s="96" t="str">
        <f>IF(A414="","",IF(A414=Expiry,0,EXP(-q*Q414)*_xlfn.NORM.S.DIST(Y414,0)/(sigma*SQRT(Q414))*I414*Mult/100))</f>
        <v/>
      </c>
      <c r="O414" s="96" t="str">
        <f>IF(A414="","",IF(A414=Expiry,0,D414*E414*E414*EXP(-q*Q414)*_xlfn.NORM.S.DIST(Y414,0)*SQRT(Q414)/100))</f>
        <v/>
      </c>
      <c r="P414" s="69" t="str">
        <f>IF(A414="","",IF(A414=Expiry,0,AK414*I414*Mult*((-EXP(-q*Q414)*E414*_xlfn.NORM.S.DIST(Y414,0)*sigma/(2*SQRT(Q414))-r_dom*K*EXP(-r_dom*Q414)*_xlfn.NORM.S.DIST(Z414,1)+q*E414*EXP(-q*Q414)*_xlfn.NORM.S.DIST(Y414,1))/365)))</f>
        <v/>
      </c>
      <c r="Q414" s="83" t="str">
        <f t="shared" si="167"/>
        <v/>
      </c>
      <c r="R414" s="38"/>
      <c r="S414" s="68" t="str">
        <f t="shared" si="168"/>
        <v/>
      </c>
      <c r="T414" s="69" t="str">
        <f t="shared" si="169"/>
        <v/>
      </c>
      <c r="U414" s="70" t="str">
        <f t="shared" si="170"/>
        <v/>
      </c>
      <c r="V414" s="72" t="str">
        <f t="shared" si="171"/>
        <v/>
      </c>
      <c r="W414" s="2" t="str">
        <f t="shared" si="158"/>
        <v/>
      </c>
      <c r="X414" s="2" t="str">
        <f t="shared" si="153"/>
        <v/>
      </c>
      <c r="Y414" s="35" t="str">
        <f t="shared" ca="1" si="172"/>
        <v/>
      </c>
      <c r="Z414" s="36" t="str">
        <f t="shared" ca="1" si="173"/>
        <v/>
      </c>
      <c r="AA414" s="70" t="str">
        <f t="shared" si="174"/>
        <v/>
      </c>
      <c r="AB414" s="2"/>
      <c r="AC414" s="94" t="str">
        <f t="shared" si="154"/>
        <v/>
      </c>
      <c r="AD414" s="95" t="str">
        <f t="shared" si="155"/>
        <v/>
      </c>
      <c r="AE414" s="96" t="str">
        <f t="shared" si="156"/>
        <v/>
      </c>
      <c r="AF414" s="124" t="str">
        <f t="shared" si="157"/>
        <v/>
      </c>
      <c r="AG414" s="2"/>
      <c r="AH414" s="2"/>
      <c r="AI414" s="2"/>
      <c r="AJ414" s="2"/>
      <c r="AK414" s="2"/>
      <c r="AL414" s="2"/>
    </row>
    <row r="415" spans="1:38" x14ac:dyDescent="0.2">
      <c r="A415" s="45"/>
      <c r="B415" s="43" t="str">
        <f t="shared" si="160"/>
        <v/>
      </c>
      <c r="C415" s="96" t="str">
        <f t="shared" si="159"/>
        <v/>
      </c>
      <c r="D415" s="44" t="str">
        <f t="shared" si="161"/>
        <v/>
      </c>
      <c r="E415" s="52"/>
      <c r="F415" s="63" t="str">
        <f t="shared" si="162"/>
        <v/>
      </c>
      <c r="G415" s="56" t="str">
        <f t="shared" si="163"/>
        <v/>
      </c>
      <c r="H415" s="42"/>
      <c r="I415" s="2" t="str">
        <f t="shared" si="164"/>
        <v/>
      </c>
      <c r="J415" s="54" t="str">
        <f t="shared" si="151"/>
        <v/>
      </c>
      <c r="K415" s="55" t="str">
        <f t="shared" si="165"/>
        <v/>
      </c>
      <c r="L415" s="63" t="str">
        <f t="shared" si="166"/>
        <v/>
      </c>
      <c r="M415" s="96" t="str">
        <f t="shared" si="152"/>
        <v/>
      </c>
      <c r="N415" s="96" t="str">
        <f>IF(A415="","",IF(A415=Expiry,0,EXP(-q*Q415)*_xlfn.NORM.S.DIST(Y415,0)/(sigma*SQRT(Q415))*I415*Mult/100))</f>
        <v/>
      </c>
      <c r="O415" s="96" t="str">
        <f>IF(A415="","",IF(A415=Expiry,0,D415*E415*E415*EXP(-q*Q415)*_xlfn.NORM.S.DIST(Y415,0)*SQRT(Q415)/100))</f>
        <v/>
      </c>
      <c r="P415" s="69" t="str">
        <f>IF(A415="","",IF(A415=Expiry,0,AK415*I415*Mult*((-EXP(-q*Q415)*E415*_xlfn.NORM.S.DIST(Y415,0)*sigma/(2*SQRT(Q415))-r_dom*K*EXP(-r_dom*Q415)*_xlfn.NORM.S.DIST(Z415,1)+q*E415*EXP(-q*Q415)*_xlfn.NORM.S.DIST(Y415,1))/365)))</f>
        <v/>
      </c>
      <c r="Q415" s="83" t="str">
        <f t="shared" si="167"/>
        <v/>
      </c>
      <c r="R415" s="38"/>
      <c r="S415" s="68" t="str">
        <f t="shared" si="168"/>
        <v/>
      </c>
      <c r="T415" s="69" t="str">
        <f t="shared" si="169"/>
        <v/>
      </c>
      <c r="U415" s="70" t="str">
        <f t="shared" si="170"/>
        <v/>
      </c>
      <c r="V415" s="72" t="str">
        <f t="shared" si="171"/>
        <v/>
      </c>
      <c r="W415" s="2" t="str">
        <f t="shared" si="158"/>
        <v/>
      </c>
      <c r="X415" s="2" t="str">
        <f t="shared" si="153"/>
        <v/>
      </c>
      <c r="Y415" s="35" t="str">
        <f t="shared" ca="1" si="172"/>
        <v/>
      </c>
      <c r="Z415" s="36" t="str">
        <f t="shared" ca="1" si="173"/>
        <v/>
      </c>
      <c r="AA415" s="70" t="str">
        <f t="shared" si="174"/>
        <v/>
      </c>
      <c r="AB415" s="2"/>
      <c r="AC415" s="94" t="str">
        <f t="shared" si="154"/>
        <v/>
      </c>
      <c r="AD415" s="95" t="str">
        <f t="shared" si="155"/>
        <v/>
      </c>
      <c r="AE415" s="96" t="str">
        <f t="shared" si="156"/>
        <v/>
      </c>
      <c r="AF415" s="124" t="str">
        <f t="shared" si="157"/>
        <v/>
      </c>
      <c r="AG415" s="2"/>
      <c r="AH415" s="2"/>
      <c r="AI415" s="2"/>
      <c r="AJ415" s="2"/>
      <c r="AK415" s="2"/>
      <c r="AL415" s="2"/>
    </row>
    <row r="416" spans="1:38" x14ac:dyDescent="0.2">
      <c r="A416" s="45"/>
      <c r="B416" s="43" t="str">
        <f t="shared" si="160"/>
        <v/>
      </c>
      <c r="C416" s="96" t="str">
        <f t="shared" si="159"/>
        <v/>
      </c>
      <c r="D416" s="44" t="str">
        <f t="shared" si="161"/>
        <v/>
      </c>
      <c r="E416" s="52"/>
      <c r="F416" s="63" t="str">
        <f t="shared" si="162"/>
        <v/>
      </c>
      <c r="G416" s="56" t="str">
        <f t="shared" si="163"/>
        <v/>
      </c>
      <c r="H416" s="42"/>
      <c r="I416" s="2" t="str">
        <f t="shared" si="164"/>
        <v/>
      </c>
      <c r="J416" s="54" t="str">
        <f t="shared" si="151"/>
        <v/>
      </c>
      <c r="K416" s="55" t="str">
        <f t="shared" si="165"/>
        <v/>
      </c>
      <c r="L416" s="63" t="str">
        <f t="shared" si="166"/>
        <v/>
      </c>
      <c r="M416" s="96" t="str">
        <f t="shared" si="152"/>
        <v/>
      </c>
      <c r="N416" s="96" t="str">
        <f>IF(A416="","",IF(A416=Expiry,0,EXP(-q*Q416)*_xlfn.NORM.S.DIST(Y416,0)/(sigma*SQRT(Q416))*I416*Mult/100))</f>
        <v/>
      </c>
      <c r="O416" s="96" t="str">
        <f>IF(A416="","",IF(A416=Expiry,0,D416*E416*E416*EXP(-q*Q416)*_xlfn.NORM.S.DIST(Y416,0)*SQRT(Q416)/100))</f>
        <v/>
      </c>
      <c r="P416" s="69" t="str">
        <f>IF(A416="","",IF(A416=Expiry,0,AK416*I416*Mult*((-EXP(-q*Q416)*E416*_xlfn.NORM.S.DIST(Y416,0)*sigma/(2*SQRT(Q416))-r_dom*K*EXP(-r_dom*Q416)*_xlfn.NORM.S.DIST(Z416,1)+q*E416*EXP(-q*Q416)*_xlfn.NORM.S.DIST(Y416,1))/365)))</f>
        <v/>
      </c>
      <c r="Q416" s="83" t="str">
        <f t="shared" si="167"/>
        <v/>
      </c>
      <c r="R416" s="38"/>
      <c r="S416" s="68" t="str">
        <f t="shared" si="168"/>
        <v/>
      </c>
      <c r="T416" s="69" t="str">
        <f t="shared" si="169"/>
        <v/>
      </c>
      <c r="U416" s="70" t="str">
        <f t="shared" si="170"/>
        <v/>
      </c>
      <c r="V416" s="72" t="str">
        <f t="shared" si="171"/>
        <v/>
      </c>
      <c r="W416" s="2" t="str">
        <f t="shared" si="158"/>
        <v/>
      </c>
      <c r="X416" s="2" t="str">
        <f t="shared" si="153"/>
        <v/>
      </c>
      <c r="Y416" s="35" t="str">
        <f t="shared" ca="1" si="172"/>
        <v/>
      </c>
      <c r="Z416" s="36" t="str">
        <f t="shared" ca="1" si="173"/>
        <v/>
      </c>
      <c r="AA416" s="70" t="str">
        <f t="shared" si="174"/>
        <v/>
      </c>
      <c r="AB416" s="2"/>
      <c r="AC416" s="94" t="str">
        <f t="shared" si="154"/>
        <v/>
      </c>
      <c r="AD416" s="95" t="str">
        <f t="shared" si="155"/>
        <v/>
      </c>
      <c r="AE416" s="96" t="str">
        <f t="shared" si="156"/>
        <v/>
      </c>
      <c r="AF416" s="124" t="str">
        <f t="shared" si="157"/>
        <v/>
      </c>
      <c r="AG416" s="2"/>
      <c r="AH416" s="2"/>
      <c r="AI416" s="2"/>
      <c r="AJ416" s="2"/>
      <c r="AK416" s="2"/>
      <c r="AL416" s="2"/>
    </row>
    <row r="417" spans="1:38" x14ac:dyDescent="0.2">
      <c r="A417" s="45"/>
      <c r="B417" s="43" t="str">
        <f t="shared" si="160"/>
        <v/>
      </c>
      <c r="C417" s="96" t="str">
        <f t="shared" si="159"/>
        <v/>
      </c>
      <c r="D417" s="44" t="str">
        <f t="shared" si="161"/>
        <v/>
      </c>
      <c r="E417" s="52"/>
      <c r="F417" s="63" t="str">
        <f t="shared" si="162"/>
        <v/>
      </c>
      <c r="G417" s="56" t="str">
        <f t="shared" si="163"/>
        <v/>
      </c>
      <c r="H417" s="42"/>
      <c r="I417" s="2" t="str">
        <f t="shared" si="164"/>
        <v/>
      </c>
      <c r="J417" s="54" t="str">
        <f t="shared" si="151"/>
        <v/>
      </c>
      <c r="K417" s="55" t="str">
        <f t="shared" si="165"/>
        <v/>
      </c>
      <c r="L417" s="63" t="str">
        <f t="shared" si="166"/>
        <v/>
      </c>
      <c r="M417" s="96" t="str">
        <f t="shared" si="152"/>
        <v/>
      </c>
      <c r="N417" s="96" t="str">
        <f>IF(A417="","",IF(A417=Expiry,0,EXP(-q*Q417)*_xlfn.NORM.S.DIST(Y417,0)/(sigma*SQRT(Q417))*I417*Mult/100))</f>
        <v/>
      </c>
      <c r="O417" s="96" t="str">
        <f>IF(A417="","",IF(A417=Expiry,0,D417*E417*E417*EXP(-q*Q417)*_xlfn.NORM.S.DIST(Y417,0)*SQRT(Q417)/100))</f>
        <v/>
      </c>
      <c r="P417" s="69" t="str">
        <f>IF(A417="","",IF(A417=Expiry,0,AK417*I417*Mult*((-EXP(-q*Q417)*E417*_xlfn.NORM.S.DIST(Y417,0)*sigma/(2*SQRT(Q417))-r_dom*K*EXP(-r_dom*Q417)*_xlfn.NORM.S.DIST(Z417,1)+q*E417*EXP(-q*Q417)*_xlfn.NORM.S.DIST(Y417,1))/365)))</f>
        <v/>
      </c>
      <c r="Q417" s="83" t="str">
        <f t="shared" si="167"/>
        <v/>
      </c>
      <c r="R417" s="38"/>
      <c r="S417" s="68" t="str">
        <f t="shared" si="168"/>
        <v/>
      </c>
      <c r="T417" s="69" t="str">
        <f t="shared" si="169"/>
        <v/>
      </c>
      <c r="U417" s="70" t="str">
        <f t="shared" si="170"/>
        <v/>
      </c>
      <c r="V417" s="72" t="str">
        <f t="shared" si="171"/>
        <v/>
      </c>
      <c r="W417" s="2" t="str">
        <f t="shared" si="158"/>
        <v/>
      </c>
      <c r="X417" s="2" t="str">
        <f t="shared" si="153"/>
        <v/>
      </c>
      <c r="Y417" s="35" t="str">
        <f t="shared" ca="1" si="172"/>
        <v/>
      </c>
      <c r="Z417" s="36" t="str">
        <f t="shared" ca="1" si="173"/>
        <v/>
      </c>
      <c r="AA417" s="70" t="str">
        <f t="shared" si="174"/>
        <v/>
      </c>
      <c r="AB417" s="2"/>
      <c r="AC417" s="94" t="str">
        <f t="shared" si="154"/>
        <v/>
      </c>
      <c r="AD417" s="95" t="str">
        <f t="shared" si="155"/>
        <v/>
      </c>
      <c r="AE417" s="96" t="str">
        <f t="shared" si="156"/>
        <v/>
      </c>
      <c r="AF417" s="124" t="str">
        <f t="shared" si="157"/>
        <v/>
      </c>
      <c r="AG417" s="2"/>
      <c r="AH417" s="2"/>
      <c r="AI417" s="2"/>
      <c r="AJ417" s="2"/>
      <c r="AK417" s="2"/>
      <c r="AL417" s="2"/>
    </row>
    <row r="418" spans="1:38" x14ac:dyDescent="0.2">
      <c r="A418" s="45"/>
      <c r="B418" s="43" t="str">
        <f t="shared" si="160"/>
        <v/>
      </c>
      <c r="C418" s="96" t="str">
        <f t="shared" si="159"/>
        <v/>
      </c>
      <c r="D418" s="44" t="str">
        <f t="shared" si="161"/>
        <v/>
      </c>
      <c r="E418" s="52"/>
      <c r="F418" s="63" t="str">
        <f t="shared" si="162"/>
        <v/>
      </c>
      <c r="G418" s="56" t="str">
        <f t="shared" si="163"/>
        <v/>
      </c>
      <c r="H418" s="42"/>
      <c r="I418" s="2" t="str">
        <f t="shared" si="164"/>
        <v/>
      </c>
      <c r="J418" s="54" t="str">
        <f t="shared" si="151"/>
        <v/>
      </c>
      <c r="K418" s="55" t="str">
        <f t="shared" si="165"/>
        <v/>
      </c>
      <c r="L418" s="63" t="str">
        <f t="shared" si="166"/>
        <v/>
      </c>
      <c r="M418" s="96" t="str">
        <f t="shared" si="152"/>
        <v/>
      </c>
      <c r="N418" s="96" t="str">
        <f>IF(A418="","",IF(A418=Expiry,0,EXP(-q*Q418)*_xlfn.NORM.S.DIST(Y418,0)/(sigma*SQRT(Q418))*I418*Mult/100))</f>
        <v/>
      </c>
      <c r="O418" s="96" t="str">
        <f>IF(A418="","",IF(A418=Expiry,0,D418*E418*E418*EXP(-q*Q418)*_xlfn.NORM.S.DIST(Y418,0)*SQRT(Q418)/100))</f>
        <v/>
      </c>
      <c r="P418" s="69" t="str">
        <f>IF(A418="","",IF(A418=Expiry,0,AK418*I418*Mult*((-EXP(-q*Q418)*E418*_xlfn.NORM.S.DIST(Y418,0)*sigma/(2*SQRT(Q418))-r_dom*K*EXP(-r_dom*Q418)*_xlfn.NORM.S.DIST(Z418,1)+q*E418*EXP(-q*Q418)*_xlfn.NORM.S.DIST(Y418,1))/365)))</f>
        <v/>
      </c>
      <c r="Q418" s="83" t="str">
        <f t="shared" si="167"/>
        <v/>
      </c>
      <c r="R418" s="38"/>
      <c r="S418" s="68" t="str">
        <f t="shared" si="168"/>
        <v/>
      </c>
      <c r="T418" s="69" t="str">
        <f t="shared" si="169"/>
        <v/>
      </c>
      <c r="U418" s="70" t="str">
        <f t="shared" si="170"/>
        <v/>
      </c>
      <c r="V418" s="72" t="str">
        <f t="shared" si="171"/>
        <v/>
      </c>
      <c r="W418" s="2" t="str">
        <f t="shared" si="158"/>
        <v/>
      </c>
      <c r="X418" s="2" t="str">
        <f t="shared" si="153"/>
        <v/>
      </c>
      <c r="Y418" s="35" t="str">
        <f t="shared" ca="1" si="172"/>
        <v/>
      </c>
      <c r="Z418" s="36" t="str">
        <f t="shared" ca="1" si="173"/>
        <v/>
      </c>
      <c r="AA418" s="70" t="str">
        <f t="shared" si="174"/>
        <v/>
      </c>
      <c r="AB418" s="2"/>
      <c r="AC418" s="94" t="str">
        <f t="shared" si="154"/>
        <v/>
      </c>
      <c r="AD418" s="95" t="str">
        <f t="shared" si="155"/>
        <v/>
      </c>
      <c r="AE418" s="96" t="str">
        <f t="shared" si="156"/>
        <v/>
      </c>
      <c r="AF418" s="124" t="str">
        <f t="shared" si="157"/>
        <v/>
      </c>
      <c r="AG418" s="2"/>
      <c r="AH418" s="2"/>
      <c r="AI418" s="2"/>
      <c r="AJ418" s="2"/>
      <c r="AK418" s="2"/>
      <c r="AL418" s="2"/>
    </row>
    <row r="419" spans="1:38" x14ac:dyDescent="0.2">
      <c r="A419" s="45"/>
      <c r="B419" s="43" t="str">
        <f t="shared" si="160"/>
        <v/>
      </c>
      <c r="C419" s="96" t="str">
        <f t="shared" si="159"/>
        <v/>
      </c>
      <c r="D419" s="44" t="str">
        <f t="shared" si="161"/>
        <v/>
      </c>
      <c r="E419" s="52"/>
      <c r="F419" s="63" t="str">
        <f t="shared" si="162"/>
        <v/>
      </c>
      <c r="G419" s="56" t="str">
        <f t="shared" si="163"/>
        <v/>
      </c>
      <c r="H419" s="42"/>
      <c r="I419" s="2" t="str">
        <f t="shared" si="164"/>
        <v/>
      </c>
      <c r="J419" s="54" t="str">
        <f t="shared" si="151"/>
        <v/>
      </c>
      <c r="K419" s="55" t="str">
        <f t="shared" si="165"/>
        <v/>
      </c>
      <c r="L419" s="63" t="str">
        <f t="shared" si="166"/>
        <v/>
      </c>
      <c r="M419" s="96" t="str">
        <f t="shared" si="152"/>
        <v/>
      </c>
      <c r="N419" s="96" t="str">
        <f>IF(A419="","",IF(A419=Expiry,0,EXP(-q*Q419)*_xlfn.NORM.S.DIST(Y419,0)/(sigma*SQRT(Q419))*I419*Mult/100))</f>
        <v/>
      </c>
      <c r="O419" s="96" t="str">
        <f>IF(A419="","",IF(A419=Expiry,0,D419*E419*E419*EXP(-q*Q419)*_xlfn.NORM.S.DIST(Y419,0)*SQRT(Q419)/100))</f>
        <v/>
      </c>
      <c r="P419" s="69" t="str">
        <f>IF(A419="","",IF(A419=Expiry,0,AK419*I419*Mult*((-EXP(-q*Q419)*E419*_xlfn.NORM.S.DIST(Y419,0)*sigma/(2*SQRT(Q419))-r_dom*K*EXP(-r_dom*Q419)*_xlfn.NORM.S.DIST(Z419,1)+q*E419*EXP(-q*Q419)*_xlfn.NORM.S.DIST(Y419,1))/365)))</f>
        <v/>
      </c>
      <c r="Q419" s="83" t="str">
        <f t="shared" si="167"/>
        <v/>
      </c>
      <c r="R419" s="38"/>
      <c r="S419" s="68" t="str">
        <f t="shared" si="168"/>
        <v/>
      </c>
      <c r="T419" s="69" t="str">
        <f t="shared" si="169"/>
        <v/>
      </c>
      <c r="U419" s="70" t="str">
        <f t="shared" si="170"/>
        <v/>
      </c>
      <c r="V419" s="72" t="str">
        <f t="shared" si="171"/>
        <v/>
      </c>
      <c r="W419" s="2" t="str">
        <f t="shared" si="158"/>
        <v/>
      </c>
      <c r="X419" s="2" t="str">
        <f t="shared" si="153"/>
        <v/>
      </c>
      <c r="Y419" s="35" t="str">
        <f t="shared" ca="1" si="172"/>
        <v/>
      </c>
      <c r="Z419" s="36" t="str">
        <f t="shared" ca="1" si="173"/>
        <v/>
      </c>
      <c r="AA419" s="70" t="str">
        <f t="shared" si="174"/>
        <v/>
      </c>
      <c r="AB419" s="2"/>
      <c r="AC419" s="94" t="str">
        <f t="shared" si="154"/>
        <v/>
      </c>
      <c r="AD419" s="95" t="str">
        <f t="shared" si="155"/>
        <v/>
      </c>
      <c r="AE419" s="96" t="str">
        <f t="shared" si="156"/>
        <v/>
      </c>
      <c r="AF419" s="124" t="str">
        <f t="shared" si="157"/>
        <v/>
      </c>
      <c r="AG419" s="2"/>
      <c r="AH419" s="2"/>
      <c r="AI419" s="2"/>
      <c r="AJ419" s="2"/>
      <c r="AK419" s="2"/>
      <c r="AL419" s="2"/>
    </row>
    <row r="420" spans="1:38" x14ac:dyDescent="0.2">
      <c r="A420" s="45"/>
      <c r="B420" s="43" t="str">
        <f t="shared" si="160"/>
        <v/>
      </c>
      <c r="C420" s="96" t="str">
        <f t="shared" si="159"/>
        <v/>
      </c>
      <c r="D420" s="44" t="str">
        <f t="shared" si="161"/>
        <v/>
      </c>
      <c r="E420" s="52"/>
      <c r="F420" s="63" t="str">
        <f t="shared" si="162"/>
        <v/>
      </c>
      <c r="G420" s="56" t="str">
        <f t="shared" si="163"/>
        <v/>
      </c>
      <c r="H420" s="42"/>
      <c r="I420" s="2" t="str">
        <f t="shared" si="164"/>
        <v/>
      </c>
      <c r="J420" s="54" t="str">
        <f t="shared" ref="J420:J483" si="175">IF(CorP="C",AC420,AD420)</f>
        <v/>
      </c>
      <c r="K420" s="55" t="str">
        <f t="shared" si="165"/>
        <v/>
      </c>
      <c r="L420" s="63" t="str">
        <f t="shared" si="166"/>
        <v/>
      </c>
      <c r="M420" s="96" t="str">
        <f t="shared" ref="M420:M483" si="176">IF(CorP="C",AE420,AF420)</f>
        <v/>
      </c>
      <c r="N420" s="96" t="str">
        <f>IF(A420="","",IF(A420=Expiry,0,EXP(-q*Q420)*_xlfn.NORM.S.DIST(Y420,0)/(sigma*SQRT(Q420))*I420*Mult/100))</f>
        <v/>
      </c>
      <c r="O420" s="96" t="str">
        <f>IF(A420="","",IF(A420=Expiry,0,D420*E420*E420*EXP(-q*Q420)*_xlfn.NORM.S.DIST(Y420,0)*SQRT(Q420)/100))</f>
        <v/>
      </c>
      <c r="P420" s="69" t="str">
        <f>IF(A420="","",IF(A420=Expiry,0,AK420*I420*Mult*((-EXP(-q*Q420)*E420*_xlfn.NORM.S.DIST(Y420,0)*sigma/(2*SQRT(Q420))-r_dom*K*EXP(-r_dom*Q420)*_xlfn.NORM.S.DIST(Z420,1)+q*E420*EXP(-q*Q420)*_xlfn.NORM.S.DIST(Y420,1))/365)))</f>
        <v/>
      </c>
      <c r="Q420" s="83" t="str">
        <f t="shared" si="167"/>
        <v/>
      </c>
      <c r="R420" s="38"/>
      <c r="S420" s="68" t="str">
        <f t="shared" si="168"/>
        <v/>
      </c>
      <c r="T420" s="69" t="str">
        <f t="shared" si="169"/>
        <v/>
      </c>
      <c r="U420" s="70" t="str">
        <f t="shared" si="170"/>
        <v/>
      </c>
      <c r="V420" s="72" t="str">
        <f t="shared" si="171"/>
        <v/>
      </c>
      <c r="W420" s="2" t="str">
        <f t="shared" si="158"/>
        <v/>
      </c>
      <c r="X420" s="2" t="str">
        <f t="shared" ref="X420:X483" si="177">IF(A420="","",K)</f>
        <v/>
      </c>
      <c r="Y420" s="35" t="str">
        <f t="shared" ca="1" si="172"/>
        <v/>
      </c>
      <c r="Z420" s="36" t="str">
        <f t="shared" ca="1" si="173"/>
        <v/>
      </c>
      <c r="AA420" s="70" t="str">
        <f t="shared" si="174"/>
        <v/>
      </c>
      <c r="AB420" s="2"/>
      <c r="AC420" s="94" t="str">
        <f t="shared" ref="AC420:AC483" si="178">IF(A420="","",IF(A420=Expiry,MAX(E420-K,0),E420*EXP(-q*Q420)*_xlfn.NORM.S.DIST(Y420,1)-K*EXP(-r_dom*Q420)*_xlfn.NORM.S.DIST(Z420,1)))</f>
        <v/>
      </c>
      <c r="AD420" s="95" t="str">
        <f t="shared" ref="AD420:AD483" si="179">IF(A420="","",IF(A420=Expiry,MAX(K-E420,0),K*EXP(-r_dom*Q420)*_xlfn.NORM.S.DIST(-Z420,1)-E420*EXP(-q*Q420)*_xlfn.NORM.S.DIST(-Y420,1)))</f>
        <v/>
      </c>
      <c r="AE420" s="96" t="str">
        <f t="shared" ref="AE420:AE483" si="180">IF(A420="","",I420*Mult*IF(A420=Expiry,IF(E420&gt;K,1,0),EXP(-q*Q420)*_xlfn.NORM.S.DIST(Y420,1)))</f>
        <v/>
      </c>
      <c r="AF420" s="124" t="str">
        <f t="shared" ref="AF420:AF483" si="181">IF(A420="","",I420*Mult*IF(A420=Expiry,IF(E420&lt;K,-1,0),-EXP(-q*Q420)*_xlfn.NORM.S.DIST(-Y420,1)))</f>
        <v/>
      </c>
      <c r="AG420" s="2"/>
      <c r="AH420" s="2"/>
      <c r="AI420" s="2"/>
      <c r="AJ420" s="2"/>
      <c r="AK420" s="2"/>
      <c r="AL420" s="2"/>
    </row>
    <row r="421" spans="1:38" x14ac:dyDescent="0.2">
      <c r="A421" s="45"/>
      <c r="B421" s="43" t="str">
        <f t="shared" si="160"/>
        <v/>
      </c>
      <c r="C421" s="96" t="str">
        <f t="shared" si="159"/>
        <v/>
      </c>
      <c r="D421" s="44" t="str">
        <f t="shared" si="161"/>
        <v/>
      </c>
      <c r="E421" s="52"/>
      <c r="F421" s="63" t="str">
        <f t="shared" si="162"/>
        <v/>
      </c>
      <c r="G421" s="56" t="str">
        <f t="shared" si="163"/>
        <v/>
      </c>
      <c r="H421" s="42"/>
      <c r="I421" s="2" t="str">
        <f t="shared" si="164"/>
        <v/>
      </c>
      <c r="J421" s="54" t="str">
        <f t="shared" si="175"/>
        <v/>
      </c>
      <c r="K421" s="55" t="str">
        <f t="shared" si="165"/>
        <v/>
      </c>
      <c r="L421" s="63" t="str">
        <f t="shared" si="166"/>
        <v/>
      </c>
      <c r="M421" s="96" t="str">
        <f t="shared" si="176"/>
        <v/>
      </c>
      <c r="N421" s="96" t="str">
        <f>IF(A421="","",IF(A421=Expiry,0,EXP(-q*Q421)*_xlfn.NORM.S.DIST(Y421,0)/(sigma*SQRT(Q421))*I421*Mult/100))</f>
        <v/>
      </c>
      <c r="O421" s="96" t="str">
        <f>IF(A421="","",IF(A421=Expiry,0,D421*E421*E421*EXP(-q*Q421)*_xlfn.NORM.S.DIST(Y421,0)*SQRT(Q421)/100))</f>
        <v/>
      </c>
      <c r="P421" s="69" t="str">
        <f>IF(A421="","",IF(A421=Expiry,0,AK421*I421*Mult*((-EXP(-q*Q421)*E421*_xlfn.NORM.S.DIST(Y421,0)*sigma/(2*SQRT(Q421))-r_dom*K*EXP(-r_dom*Q421)*_xlfn.NORM.S.DIST(Z421,1)+q*E421*EXP(-q*Q421)*_xlfn.NORM.S.DIST(Y421,1))/365)))</f>
        <v/>
      </c>
      <c r="Q421" s="83" t="str">
        <f t="shared" si="167"/>
        <v/>
      </c>
      <c r="R421" s="38"/>
      <c r="S421" s="68" t="str">
        <f t="shared" si="168"/>
        <v/>
      </c>
      <c r="T421" s="69" t="str">
        <f t="shared" si="169"/>
        <v/>
      </c>
      <c r="U421" s="70" t="str">
        <f t="shared" si="170"/>
        <v/>
      </c>
      <c r="V421" s="72" t="str">
        <f t="shared" si="171"/>
        <v/>
      </c>
      <c r="W421" s="2" t="str">
        <f t="shared" ref="W421:W484" si="182">IF(A421="","",100)</f>
        <v/>
      </c>
      <c r="X421" s="2" t="str">
        <f t="shared" si="177"/>
        <v/>
      </c>
      <c r="Y421" s="35" t="str">
        <f t="shared" ca="1" si="172"/>
        <v/>
      </c>
      <c r="Z421" s="36" t="str">
        <f t="shared" ca="1" si="173"/>
        <v/>
      </c>
      <c r="AA421" s="70" t="str">
        <f t="shared" si="174"/>
        <v/>
      </c>
      <c r="AB421" s="2"/>
      <c r="AC421" s="94" t="str">
        <f t="shared" si="178"/>
        <v/>
      </c>
      <c r="AD421" s="95" t="str">
        <f t="shared" si="179"/>
        <v/>
      </c>
      <c r="AE421" s="96" t="str">
        <f t="shared" si="180"/>
        <v/>
      </c>
      <c r="AF421" s="124" t="str">
        <f t="shared" si="181"/>
        <v/>
      </c>
      <c r="AG421" s="2"/>
      <c r="AH421" s="2"/>
      <c r="AI421" s="2"/>
      <c r="AJ421" s="2"/>
      <c r="AK421" s="2"/>
      <c r="AL421" s="2"/>
    </row>
    <row r="422" spans="1:38" x14ac:dyDescent="0.2">
      <c r="A422" s="45"/>
      <c r="B422" s="43" t="str">
        <f t="shared" si="160"/>
        <v/>
      </c>
      <c r="C422" s="96" t="str">
        <f t="shared" ref="C422:C485" si="183">IF(A422="","",C421+B422)</f>
        <v/>
      </c>
      <c r="D422" s="44" t="str">
        <f t="shared" si="161"/>
        <v/>
      </c>
      <c r="E422" s="52"/>
      <c r="F422" s="63" t="str">
        <f t="shared" si="162"/>
        <v/>
      </c>
      <c r="G422" s="56" t="str">
        <f t="shared" si="163"/>
        <v/>
      </c>
      <c r="H422" s="42"/>
      <c r="I422" s="2" t="str">
        <f t="shared" si="164"/>
        <v/>
      </c>
      <c r="J422" s="54" t="str">
        <f t="shared" si="175"/>
        <v/>
      </c>
      <c r="K422" s="55" t="str">
        <f t="shared" si="165"/>
        <v/>
      </c>
      <c r="L422" s="63" t="str">
        <f t="shared" si="166"/>
        <v/>
      </c>
      <c r="M422" s="96" t="str">
        <f t="shared" si="176"/>
        <v/>
      </c>
      <c r="N422" s="96" t="str">
        <f>IF(A422="","",IF(A422=Expiry,0,EXP(-q*Q422)*_xlfn.NORM.S.DIST(Y422,0)/(sigma*SQRT(Q422))*I422*Mult/100))</f>
        <v/>
      </c>
      <c r="O422" s="96" t="str">
        <f>IF(A422="","",IF(A422=Expiry,0,D422*E422*E422*EXP(-q*Q422)*_xlfn.NORM.S.DIST(Y422,0)*SQRT(Q422)/100))</f>
        <v/>
      </c>
      <c r="P422" s="69" t="str">
        <f>IF(A422="","",IF(A422=Expiry,0,AK422*I422*Mult*((-EXP(-q*Q422)*E422*_xlfn.NORM.S.DIST(Y422,0)*sigma/(2*SQRT(Q422))-r_dom*K*EXP(-r_dom*Q422)*_xlfn.NORM.S.DIST(Z422,1)+q*E422*EXP(-q*Q422)*_xlfn.NORM.S.DIST(Y422,1))/365)))</f>
        <v/>
      </c>
      <c r="Q422" s="83" t="str">
        <f t="shared" si="167"/>
        <v/>
      </c>
      <c r="R422" s="38"/>
      <c r="S422" s="68" t="str">
        <f t="shared" si="168"/>
        <v/>
      </c>
      <c r="T422" s="69" t="str">
        <f t="shared" si="169"/>
        <v/>
      </c>
      <c r="U422" s="70" t="str">
        <f t="shared" si="170"/>
        <v/>
      </c>
      <c r="V422" s="72" t="str">
        <f t="shared" si="171"/>
        <v/>
      </c>
      <c r="W422" s="2" t="str">
        <f t="shared" si="182"/>
        <v/>
      </c>
      <c r="X422" s="2" t="str">
        <f t="shared" si="177"/>
        <v/>
      </c>
      <c r="Y422" s="35" t="str">
        <f t="shared" ca="1" si="172"/>
        <v/>
      </c>
      <c r="Z422" s="36" t="str">
        <f t="shared" ca="1" si="173"/>
        <v/>
      </c>
      <c r="AA422" s="70" t="str">
        <f t="shared" si="174"/>
        <v/>
      </c>
      <c r="AB422" s="2"/>
      <c r="AC422" s="94" t="str">
        <f t="shared" si="178"/>
        <v/>
      </c>
      <c r="AD422" s="95" t="str">
        <f t="shared" si="179"/>
        <v/>
      </c>
      <c r="AE422" s="96" t="str">
        <f t="shared" si="180"/>
        <v/>
      </c>
      <c r="AF422" s="124" t="str">
        <f t="shared" si="181"/>
        <v/>
      </c>
      <c r="AG422" s="2"/>
      <c r="AH422" s="2"/>
      <c r="AI422" s="2"/>
      <c r="AJ422" s="2"/>
      <c r="AK422" s="2"/>
      <c r="AL422" s="2"/>
    </row>
    <row r="423" spans="1:38" x14ac:dyDescent="0.2">
      <c r="A423" s="45"/>
      <c r="B423" s="43" t="str">
        <f t="shared" si="160"/>
        <v/>
      </c>
      <c r="C423" s="96" t="str">
        <f t="shared" si="183"/>
        <v/>
      </c>
      <c r="D423" s="44" t="str">
        <f t="shared" si="161"/>
        <v/>
      </c>
      <c r="E423" s="52"/>
      <c r="F423" s="63" t="str">
        <f t="shared" si="162"/>
        <v/>
      </c>
      <c r="G423" s="56" t="str">
        <f t="shared" si="163"/>
        <v/>
      </c>
      <c r="H423" s="42"/>
      <c r="I423" s="2" t="str">
        <f t="shared" si="164"/>
        <v/>
      </c>
      <c r="J423" s="54" t="str">
        <f t="shared" si="175"/>
        <v/>
      </c>
      <c r="K423" s="55" t="str">
        <f t="shared" si="165"/>
        <v/>
      </c>
      <c r="L423" s="63" t="str">
        <f t="shared" si="166"/>
        <v/>
      </c>
      <c r="M423" s="96" t="str">
        <f t="shared" si="176"/>
        <v/>
      </c>
      <c r="N423" s="96" t="str">
        <f>IF(A423="","",IF(A423=Expiry,0,EXP(-q*Q423)*_xlfn.NORM.S.DIST(Y423,0)/(sigma*SQRT(Q423))*I423*Mult/100))</f>
        <v/>
      </c>
      <c r="O423" s="96" t="str">
        <f>IF(A423="","",IF(A423=Expiry,0,D423*E423*E423*EXP(-q*Q423)*_xlfn.NORM.S.DIST(Y423,0)*SQRT(Q423)/100))</f>
        <v/>
      </c>
      <c r="P423" s="69" t="str">
        <f>IF(A423="","",IF(A423=Expiry,0,AK423*I423*Mult*((-EXP(-q*Q423)*E423*_xlfn.NORM.S.DIST(Y423,0)*sigma/(2*SQRT(Q423))-r_dom*K*EXP(-r_dom*Q423)*_xlfn.NORM.S.DIST(Z423,1)+q*E423*EXP(-q*Q423)*_xlfn.NORM.S.DIST(Y423,1))/365)))</f>
        <v/>
      </c>
      <c r="Q423" s="83" t="str">
        <f t="shared" si="167"/>
        <v/>
      </c>
      <c r="R423" s="38"/>
      <c r="S423" s="68" t="str">
        <f t="shared" si="168"/>
        <v/>
      </c>
      <c r="T423" s="69" t="str">
        <f t="shared" si="169"/>
        <v/>
      </c>
      <c r="U423" s="70" t="str">
        <f t="shared" si="170"/>
        <v/>
      </c>
      <c r="V423" s="72" t="str">
        <f t="shared" si="171"/>
        <v/>
      </c>
      <c r="W423" s="2" t="str">
        <f t="shared" si="182"/>
        <v/>
      </c>
      <c r="X423" s="2" t="str">
        <f t="shared" si="177"/>
        <v/>
      </c>
      <c r="Y423" s="35" t="str">
        <f t="shared" ca="1" si="172"/>
        <v/>
      </c>
      <c r="Z423" s="36" t="str">
        <f t="shared" ca="1" si="173"/>
        <v/>
      </c>
      <c r="AA423" s="70" t="str">
        <f t="shared" si="174"/>
        <v/>
      </c>
      <c r="AB423" s="2"/>
      <c r="AC423" s="94" t="str">
        <f t="shared" si="178"/>
        <v/>
      </c>
      <c r="AD423" s="95" t="str">
        <f t="shared" si="179"/>
        <v/>
      </c>
      <c r="AE423" s="96" t="str">
        <f t="shared" si="180"/>
        <v/>
      </c>
      <c r="AF423" s="124" t="str">
        <f t="shared" si="181"/>
        <v/>
      </c>
      <c r="AG423" s="2"/>
      <c r="AH423" s="2"/>
      <c r="AI423" s="2"/>
      <c r="AJ423" s="2"/>
      <c r="AK423" s="2"/>
      <c r="AL423" s="2"/>
    </row>
    <row r="424" spans="1:38" x14ac:dyDescent="0.2">
      <c r="A424" s="45"/>
      <c r="B424" s="43" t="str">
        <f t="shared" si="160"/>
        <v/>
      </c>
      <c r="C424" s="96" t="str">
        <f t="shared" si="183"/>
        <v/>
      </c>
      <c r="D424" s="44" t="str">
        <f t="shared" si="161"/>
        <v/>
      </c>
      <c r="E424" s="52"/>
      <c r="F424" s="63" t="str">
        <f t="shared" si="162"/>
        <v/>
      </c>
      <c r="G424" s="56" t="str">
        <f t="shared" si="163"/>
        <v/>
      </c>
      <c r="H424" s="42"/>
      <c r="I424" s="2" t="str">
        <f t="shared" si="164"/>
        <v/>
      </c>
      <c r="J424" s="54" t="str">
        <f t="shared" si="175"/>
        <v/>
      </c>
      <c r="K424" s="55" t="str">
        <f t="shared" si="165"/>
        <v/>
      </c>
      <c r="L424" s="63" t="str">
        <f t="shared" si="166"/>
        <v/>
      </c>
      <c r="M424" s="96" t="str">
        <f t="shared" si="176"/>
        <v/>
      </c>
      <c r="N424" s="96" t="str">
        <f>IF(A424="","",IF(A424=Expiry,0,EXP(-q*Q424)*_xlfn.NORM.S.DIST(Y424,0)/(sigma*SQRT(Q424))*I424*Mult/100))</f>
        <v/>
      </c>
      <c r="O424" s="96" t="str">
        <f>IF(A424="","",IF(A424=Expiry,0,D424*E424*E424*EXP(-q*Q424)*_xlfn.NORM.S.DIST(Y424,0)*SQRT(Q424)/100))</f>
        <v/>
      </c>
      <c r="P424" s="69" t="str">
        <f>IF(A424="","",IF(A424=Expiry,0,AK424*I424*Mult*((-EXP(-q*Q424)*E424*_xlfn.NORM.S.DIST(Y424,0)*sigma/(2*SQRT(Q424))-r_dom*K*EXP(-r_dom*Q424)*_xlfn.NORM.S.DIST(Z424,1)+q*E424*EXP(-q*Q424)*_xlfn.NORM.S.DIST(Y424,1))/365)))</f>
        <v/>
      </c>
      <c r="Q424" s="83" t="str">
        <f t="shared" si="167"/>
        <v/>
      </c>
      <c r="R424" s="38"/>
      <c r="S424" s="68" t="str">
        <f t="shared" si="168"/>
        <v/>
      </c>
      <c r="T424" s="69" t="str">
        <f t="shared" si="169"/>
        <v/>
      </c>
      <c r="U424" s="70" t="str">
        <f t="shared" si="170"/>
        <v/>
      </c>
      <c r="V424" s="72" t="str">
        <f t="shared" si="171"/>
        <v/>
      </c>
      <c r="W424" s="2" t="str">
        <f t="shared" si="182"/>
        <v/>
      </c>
      <c r="X424" s="2" t="str">
        <f t="shared" si="177"/>
        <v/>
      </c>
      <c r="Y424" s="35" t="str">
        <f t="shared" ca="1" si="172"/>
        <v/>
      </c>
      <c r="Z424" s="36" t="str">
        <f t="shared" ca="1" si="173"/>
        <v/>
      </c>
      <c r="AA424" s="70" t="str">
        <f t="shared" si="174"/>
        <v/>
      </c>
      <c r="AB424" s="2"/>
      <c r="AC424" s="94" t="str">
        <f t="shared" si="178"/>
        <v/>
      </c>
      <c r="AD424" s="95" t="str">
        <f t="shared" si="179"/>
        <v/>
      </c>
      <c r="AE424" s="96" t="str">
        <f t="shared" si="180"/>
        <v/>
      </c>
      <c r="AF424" s="124" t="str">
        <f t="shared" si="181"/>
        <v/>
      </c>
      <c r="AG424" s="2"/>
      <c r="AH424" s="2"/>
      <c r="AI424" s="2"/>
      <c r="AJ424" s="2"/>
      <c r="AK424" s="2"/>
      <c r="AL424" s="2"/>
    </row>
    <row r="425" spans="1:38" x14ac:dyDescent="0.2">
      <c r="A425" s="45"/>
      <c r="B425" s="43" t="str">
        <f t="shared" si="160"/>
        <v/>
      </c>
      <c r="C425" s="96" t="str">
        <f t="shared" si="183"/>
        <v/>
      </c>
      <c r="D425" s="44" t="str">
        <f t="shared" si="161"/>
        <v/>
      </c>
      <c r="E425" s="52"/>
      <c r="F425" s="63" t="str">
        <f t="shared" si="162"/>
        <v/>
      </c>
      <c r="G425" s="56" t="str">
        <f t="shared" si="163"/>
        <v/>
      </c>
      <c r="H425" s="42"/>
      <c r="I425" s="2" t="str">
        <f t="shared" si="164"/>
        <v/>
      </c>
      <c r="J425" s="54" t="str">
        <f t="shared" si="175"/>
        <v/>
      </c>
      <c r="K425" s="55" t="str">
        <f t="shared" si="165"/>
        <v/>
      </c>
      <c r="L425" s="63" t="str">
        <f t="shared" si="166"/>
        <v/>
      </c>
      <c r="M425" s="96" t="str">
        <f t="shared" si="176"/>
        <v/>
      </c>
      <c r="N425" s="96" t="str">
        <f>IF(A425="","",IF(A425=Expiry,0,EXP(-q*Q425)*_xlfn.NORM.S.DIST(Y425,0)/(sigma*SQRT(Q425))*I425*Mult/100))</f>
        <v/>
      </c>
      <c r="O425" s="96" t="str">
        <f>IF(A425="","",IF(A425=Expiry,0,D425*E425*E425*EXP(-q*Q425)*_xlfn.NORM.S.DIST(Y425,0)*SQRT(Q425)/100))</f>
        <v/>
      </c>
      <c r="P425" s="69" t="str">
        <f>IF(A425="","",IF(A425=Expiry,0,AK425*I425*Mult*((-EXP(-q*Q425)*E425*_xlfn.NORM.S.DIST(Y425,0)*sigma/(2*SQRT(Q425))-r_dom*K*EXP(-r_dom*Q425)*_xlfn.NORM.S.DIST(Z425,1)+q*E425*EXP(-q*Q425)*_xlfn.NORM.S.DIST(Y425,1))/365)))</f>
        <v/>
      </c>
      <c r="Q425" s="83" t="str">
        <f t="shared" si="167"/>
        <v/>
      </c>
      <c r="R425" s="38"/>
      <c r="S425" s="68" t="str">
        <f t="shared" si="168"/>
        <v/>
      </c>
      <c r="T425" s="69" t="str">
        <f t="shared" si="169"/>
        <v/>
      </c>
      <c r="U425" s="70" t="str">
        <f t="shared" si="170"/>
        <v/>
      </c>
      <c r="V425" s="72" t="str">
        <f t="shared" si="171"/>
        <v/>
      </c>
      <c r="W425" s="2" t="str">
        <f t="shared" si="182"/>
        <v/>
      </c>
      <c r="X425" s="2" t="str">
        <f t="shared" si="177"/>
        <v/>
      </c>
      <c r="Y425" s="35" t="str">
        <f t="shared" ca="1" si="172"/>
        <v/>
      </c>
      <c r="Z425" s="36" t="str">
        <f t="shared" ca="1" si="173"/>
        <v/>
      </c>
      <c r="AA425" s="70" t="str">
        <f t="shared" si="174"/>
        <v/>
      </c>
      <c r="AB425" s="2"/>
      <c r="AC425" s="94" t="str">
        <f t="shared" si="178"/>
        <v/>
      </c>
      <c r="AD425" s="95" t="str">
        <f t="shared" si="179"/>
        <v/>
      </c>
      <c r="AE425" s="96" t="str">
        <f t="shared" si="180"/>
        <v/>
      </c>
      <c r="AF425" s="124" t="str">
        <f t="shared" si="181"/>
        <v/>
      </c>
      <c r="AG425" s="2"/>
      <c r="AH425" s="2"/>
      <c r="AI425" s="2"/>
      <c r="AJ425" s="2"/>
      <c r="AK425" s="2"/>
      <c r="AL425" s="2"/>
    </row>
    <row r="426" spans="1:38" x14ac:dyDescent="0.2">
      <c r="A426" s="45"/>
      <c r="B426" s="43" t="str">
        <f t="shared" si="160"/>
        <v/>
      </c>
      <c r="C426" s="96" t="str">
        <f t="shared" si="183"/>
        <v/>
      </c>
      <c r="D426" s="44" t="str">
        <f t="shared" si="161"/>
        <v/>
      </c>
      <c r="E426" s="52"/>
      <c r="F426" s="63" t="str">
        <f t="shared" si="162"/>
        <v/>
      </c>
      <c r="G426" s="56" t="str">
        <f t="shared" si="163"/>
        <v/>
      </c>
      <c r="H426" s="42"/>
      <c r="I426" s="2" t="str">
        <f t="shared" si="164"/>
        <v/>
      </c>
      <c r="J426" s="54" t="str">
        <f t="shared" si="175"/>
        <v/>
      </c>
      <c r="K426" s="55" t="str">
        <f t="shared" si="165"/>
        <v/>
      </c>
      <c r="L426" s="63" t="str">
        <f t="shared" si="166"/>
        <v/>
      </c>
      <c r="M426" s="96" t="str">
        <f t="shared" si="176"/>
        <v/>
      </c>
      <c r="N426" s="96" t="str">
        <f>IF(A426="","",IF(A426=Expiry,0,EXP(-q*Q426)*_xlfn.NORM.S.DIST(Y426,0)/(sigma*SQRT(Q426))*I426*Mult/100))</f>
        <v/>
      </c>
      <c r="O426" s="96" t="str">
        <f>IF(A426="","",IF(A426=Expiry,0,D426*E426*E426*EXP(-q*Q426)*_xlfn.NORM.S.DIST(Y426,0)*SQRT(Q426)/100))</f>
        <v/>
      </c>
      <c r="P426" s="69" t="str">
        <f>IF(A426="","",IF(A426=Expiry,0,AK426*I426*Mult*((-EXP(-q*Q426)*E426*_xlfn.NORM.S.DIST(Y426,0)*sigma/(2*SQRT(Q426))-r_dom*K*EXP(-r_dom*Q426)*_xlfn.NORM.S.DIST(Z426,1)+q*E426*EXP(-q*Q426)*_xlfn.NORM.S.DIST(Y426,1))/365)))</f>
        <v/>
      </c>
      <c r="Q426" s="83" t="str">
        <f t="shared" si="167"/>
        <v/>
      </c>
      <c r="R426" s="38"/>
      <c r="S426" s="68" t="str">
        <f t="shared" si="168"/>
        <v/>
      </c>
      <c r="T426" s="69" t="str">
        <f t="shared" si="169"/>
        <v/>
      </c>
      <c r="U426" s="70" t="str">
        <f t="shared" si="170"/>
        <v/>
      </c>
      <c r="V426" s="72" t="str">
        <f t="shared" si="171"/>
        <v/>
      </c>
      <c r="W426" s="2" t="str">
        <f t="shared" si="182"/>
        <v/>
      </c>
      <c r="X426" s="2" t="str">
        <f t="shared" si="177"/>
        <v/>
      </c>
      <c r="Y426" s="35" t="str">
        <f t="shared" ca="1" si="172"/>
        <v/>
      </c>
      <c r="Z426" s="36" t="str">
        <f t="shared" ca="1" si="173"/>
        <v/>
      </c>
      <c r="AA426" s="70" t="str">
        <f t="shared" si="174"/>
        <v/>
      </c>
      <c r="AB426" s="2"/>
      <c r="AC426" s="94" t="str">
        <f t="shared" si="178"/>
        <v/>
      </c>
      <c r="AD426" s="95" t="str">
        <f t="shared" si="179"/>
        <v/>
      </c>
      <c r="AE426" s="96" t="str">
        <f t="shared" si="180"/>
        <v/>
      </c>
      <c r="AF426" s="124" t="str">
        <f t="shared" si="181"/>
        <v/>
      </c>
      <c r="AG426" s="2"/>
      <c r="AH426" s="2"/>
      <c r="AI426" s="2"/>
      <c r="AJ426" s="2"/>
      <c r="AK426" s="2"/>
      <c r="AL426" s="2"/>
    </row>
    <row r="427" spans="1:38" x14ac:dyDescent="0.2">
      <c r="A427" s="45"/>
      <c r="B427" s="43" t="str">
        <f t="shared" si="160"/>
        <v/>
      </c>
      <c r="C427" s="96" t="str">
        <f t="shared" si="183"/>
        <v/>
      </c>
      <c r="D427" s="44" t="str">
        <f t="shared" si="161"/>
        <v/>
      </c>
      <c r="E427" s="52"/>
      <c r="F427" s="63" t="str">
        <f t="shared" si="162"/>
        <v/>
      </c>
      <c r="G427" s="56" t="str">
        <f t="shared" si="163"/>
        <v/>
      </c>
      <c r="H427" s="42"/>
      <c r="I427" s="2" t="str">
        <f t="shared" si="164"/>
        <v/>
      </c>
      <c r="J427" s="54" t="str">
        <f t="shared" si="175"/>
        <v/>
      </c>
      <c r="K427" s="55" t="str">
        <f t="shared" si="165"/>
        <v/>
      </c>
      <c r="L427" s="63" t="str">
        <f t="shared" si="166"/>
        <v/>
      </c>
      <c r="M427" s="96" t="str">
        <f t="shared" si="176"/>
        <v/>
      </c>
      <c r="N427" s="96" t="str">
        <f>IF(A427="","",IF(A427=Expiry,0,EXP(-q*Q427)*_xlfn.NORM.S.DIST(Y427,0)/(sigma*SQRT(Q427))*I427*Mult/100))</f>
        <v/>
      </c>
      <c r="O427" s="96" t="str">
        <f>IF(A427="","",IF(A427=Expiry,0,D427*E427*E427*EXP(-q*Q427)*_xlfn.NORM.S.DIST(Y427,0)*SQRT(Q427)/100))</f>
        <v/>
      </c>
      <c r="P427" s="69" t="str">
        <f>IF(A427="","",IF(A427=Expiry,0,AK427*I427*Mult*((-EXP(-q*Q427)*E427*_xlfn.NORM.S.DIST(Y427,0)*sigma/(2*SQRT(Q427))-r_dom*K*EXP(-r_dom*Q427)*_xlfn.NORM.S.DIST(Z427,1)+q*E427*EXP(-q*Q427)*_xlfn.NORM.S.DIST(Y427,1))/365)))</f>
        <v/>
      </c>
      <c r="Q427" s="83" t="str">
        <f t="shared" si="167"/>
        <v/>
      </c>
      <c r="R427" s="38"/>
      <c r="S427" s="68" t="str">
        <f t="shared" si="168"/>
        <v/>
      </c>
      <c r="T427" s="69" t="str">
        <f t="shared" si="169"/>
        <v/>
      </c>
      <c r="U427" s="70" t="str">
        <f t="shared" si="170"/>
        <v/>
      </c>
      <c r="V427" s="72" t="str">
        <f t="shared" si="171"/>
        <v/>
      </c>
      <c r="W427" s="2" t="str">
        <f t="shared" si="182"/>
        <v/>
      </c>
      <c r="X427" s="2" t="str">
        <f t="shared" si="177"/>
        <v/>
      </c>
      <c r="Y427" s="35" t="str">
        <f t="shared" ca="1" si="172"/>
        <v/>
      </c>
      <c r="Z427" s="36" t="str">
        <f t="shared" ca="1" si="173"/>
        <v/>
      </c>
      <c r="AA427" s="70" t="str">
        <f t="shared" si="174"/>
        <v/>
      </c>
      <c r="AB427" s="2"/>
      <c r="AC427" s="94" t="str">
        <f t="shared" si="178"/>
        <v/>
      </c>
      <c r="AD427" s="95" t="str">
        <f t="shared" si="179"/>
        <v/>
      </c>
      <c r="AE427" s="96" t="str">
        <f t="shared" si="180"/>
        <v/>
      </c>
      <c r="AF427" s="124" t="str">
        <f t="shared" si="181"/>
        <v/>
      </c>
      <c r="AG427" s="2"/>
      <c r="AH427" s="2"/>
      <c r="AI427" s="2"/>
      <c r="AJ427" s="2"/>
      <c r="AK427" s="2"/>
      <c r="AL427" s="2"/>
    </row>
    <row r="428" spans="1:38" x14ac:dyDescent="0.2">
      <c r="A428" s="45"/>
      <c r="B428" s="43" t="str">
        <f t="shared" si="160"/>
        <v/>
      </c>
      <c r="C428" s="96" t="str">
        <f t="shared" si="183"/>
        <v/>
      </c>
      <c r="D428" s="44" t="str">
        <f t="shared" si="161"/>
        <v/>
      </c>
      <c r="E428" s="52"/>
      <c r="F428" s="63" t="str">
        <f t="shared" si="162"/>
        <v/>
      </c>
      <c r="G428" s="56" t="str">
        <f t="shared" si="163"/>
        <v/>
      </c>
      <c r="H428" s="42"/>
      <c r="I428" s="2" t="str">
        <f t="shared" si="164"/>
        <v/>
      </c>
      <c r="J428" s="54" t="str">
        <f t="shared" si="175"/>
        <v/>
      </c>
      <c r="K428" s="55" t="str">
        <f t="shared" si="165"/>
        <v/>
      </c>
      <c r="L428" s="63" t="str">
        <f t="shared" si="166"/>
        <v/>
      </c>
      <c r="M428" s="96" t="str">
        <f t="shared" si="176"/>
        <v/>
      </c>
      <c r="N428" s="96" t="str">
        <f>IF(A428="","",IF(A428=Expiry,0,EXP(-q*Q428)*_xlfn.NORM.S.DIST(Y428,0)/(sigma*SQRT(Q428))*I428*Mult/100))</f>
        <v/>
      </c>
      <c r="O428" s="96" t="str">
        <f>IF(A428="","",IF(A428=Expiry,0,D428*E428*E428*EXP(-q*Q428)*_xlfn.NORM.S.DIST(Y428,0)*SQRT(Q428)/100))</f>
        <v/>
      </c>
      <c r="P428" s="69" t="str">
        <f>IF(A428="","",IF(A428=Expiry,0,AK428*I428*Mult*((-EXP(-q*Q428)*E428*_xlfn.NORM.S.DIST(Y428,0)*sigma/(2*SQRT(Q428))-r_dom*K*EXP(-r_dom*Q428)*_xlfn.NORM.S.DIST(Z428,1)+q*E428*EXP(-q*Q428)*_xlfn.NORM.S.DIST(Y428,1))/365)))</f>
        <v/>
      </c>
      <c r="Q428" s="83" t="str">
        <f t="shared" si="167"/>
        <v/>
      </c>
      <c r="R428" s="38"/>
      <c r="S428" s="68" t="str">
        <f t="shared" si="168"/>
        <v/>
      </c>
      <c r="T428" s="69" t="str">
        <f t="shared" si="169"/>
        <v/>
      </c>
      <c r="U428" s="70" t="str">
        <f t="shared" si="170"/>
        <v/>
      </c>
      <c r="V428" s="72" t="str">
        <f t="shared" si="171"/>
        <v/>
      </c>
      <c r="W428" s="2" t="str">
        <f t="shared" si="182"/>
        <v/>
      </c>
      <c r="X428" s="2" t="str">
        <f t="shared" si="177"/>
        <v/>
      </c>
      <c r="Y428" s="35" t="str">
        <f t="shared" ca="1" si="172"/>
        <v/>
      </c>
      <c r="Z428" s="36" t="str">
        <f t="shared" ca="1" si="173"/>
        <v/>
      </c>
      <c r="AA428" s="70" t="str">
        <f t="shared" si="174"/>
        <v/>
      </c>
      <c r="AB428" s="2"/>
      <c r="AC428" s="94" t="str">
        <f t="shared" si="178"/>
        <v/>
      </c>
      <c r="AD428" s="95" t="str">
        <f t="shared" si="179"/>
        <v/>
      </c>
      <c r="AE428" s="96" t="str">
        <f t="shared" si="180"/>
        <v/>
      </c>
      <c r="AF428" s="124" t="str">
        <f t="shared" si="181"/>
        <v/>
      </c>
      <c r="AG428" s="2"/>
      <c r="AH428" s="2"/>
      <c r="AI428" s="2"/>
      <c r="AJ428" s="2"/>
      <c r="AK428" s="2"/>
      <c r="AL428" s="2"/>
    </row>
    <row r="429" spans="1:38" x14ac:dyDescent="0.2">
      <c r="A429" s="45"/>
      <c r="B429" s="43" t="str">
        <f t="shared" si="160"/>
        <v/>
      </c>
      <c r="C429" s="96" t="str">
        <f t="shared" si="183"/>
        <v/>
      </c>
      <c r="D429" s="44" t="str">
        <f t="shared" si="161"/>
        <v/>
      </c>
      <c r="E429" s="52"/>
      <c r="F429" s="63" t="str">
        <f t="shared" si="162"/>
        <v/>
      </c>
      <c r="G429" s="56" t="str">
        <f t="shared" si="163"/>
        <v/>
      </c>
      <c r="H429" s="42"/>
      <c r="I429" s="2" t="str">
        <f t="shared" si="164"/>
        <v/>
      </c>
      <c r="J429" s="54" t="str">
        <f t="shared" si="175"/>
        <v/>
      </c>
      <c r="K429" s="55" t="str">
        <f t="shared" si="165"/>
        <v/>
      </c>
      <c r="L429" s="63" t="str">
        <f t="shared" si="166"/>
        <v/>
      </c>
      <c r="M429" s="96" t="str">
        <f t="shared" si="176"/>
        <v/>
      </c>
      <c r="N429" s="96" t="str">
        <f>IF(A429="","",IF(A429=Expiry,0,EXP(-q*Q429)*_xlfn.NORM.S.DIST(Y429,0)/(sigma*SQRT(Q429))*I429*Mult/100))</f>
        <v/>
      </c>
      <c r="O429" s="96" t="str">
        <f>IF(A429="","",IF(A429=Expiry,0,D429*E429*E429*EXP(-q*Q429)*_xlfn.NORM.S.DIST(Y429,0)*SQRT(Q429)/100))</f>
        <v/>
      </c>
      <c r="P429" s="69" t="str">
        <f>IF(A429="","",IF(A429=Expiry,0,AK429*I429*Mult*((-EXP(-q*Q429)*E429*_xlfn.NORM.S.DIST(Y429,0)*sigma/(2*SQRT(Q429))-r_dom*K*EXP(-r_dom*Q429)*_xlfn.NORM.S.DIST(Z429,1)+q*E429*EXP(-q*Q429)*_xlfn.NORM.S.DIST(Y429,1))/365)))</f>
        <v/>
      </c>
      <c r="Q429" s="83" t="str">
        <f t="shared" si="167"/>
        <v/>
      </c>
      <c r="R429" s="38"/>
      <c r="S429" s="68" t="str">
        <f t="shared" si="168"/>
        <v/>
      </c>
      <c r="T429" s="69" t="str">
        <f t="shared" si="169"/>
        <v/>
      </c>
      <c r="U429" s="70" t="str">
        <f t="shared" si="170"/>
        <v/>
      </c>
      <c r="V429" s="72" t="str">
        <f t="shared" si="171"/>
        <v/>
      </c>
      <c r="W429" s="2" t="str">
        <f t="shared" si="182"/>
        <v/>
      </c>
      <c r="X429" s="2" t="str">
        <f t="shared" si="177"/>
        <v/>
      </c>
      <c r="Y429" s="35" t="str">
        <f t="shared" ca="1" si="172"/>
        <v/>
      </c>
      <c r="Z429" s="36" t="str">
        <f t="shared" ca="1" si="173"/>
        <v/>
      </c>
      <c r="AA429" s="70" t="str">
        <f t="shared" si="174"/>
        <v/>
      </c>
      <c r="AB429" s="2"/>
      <c r="AC429" s="94" t="str">
        <f t="shared" si="178"/>
        <v/>
      </c>
      <c r="AD429" s="95" t="str">
        <f t="shared" si="179"/>
        <v/>
      </c>
      <c r="AE429" s="96" t="str">
        <f t="shared" si="180"/>
        <v/>
      </c>
      <c r="AF429" s="124" t="str">
        <f t="shared" si="181"/>
        <v/>
      </c>
      <c r="AG429" s="2"/>
      <c r="AH429" s="2"/>
      <c r="AI429" s="2"/>
      <c r="AJ429" s="2"/>
      <c r="AK429" s="2"/>
      <c r="AL429" s="2"/>
    </row>
    <row r="430" spans="1:38" x14ac:dyDescent="0.2">
      <c r="A430" s="45"/>
      <c r="B430" s="43" t="str">
        <f t="shared" si="160"/>
        <v/>
      </c>
      <c r="C430" s="96" t="str">
        <f t="shared" si="183"/>
        <v/>
      </c>
      <c r="D430" s="44" t="str">
        <f t="shared" si="161"/>
        <v/>
      </c>
      <c r="E430" s="52"/>
      <c r="F430" s="63" t="str">
        <f t="shared" si="162"/>
        <v/>
      </c>
      <c r="G430" s="56" t="str">
        <f t="shared" si="163"/>
        <v/>
      </c>
      <c r="H430" s="42"/>
      <c r="I430" s="2" t="str">
        <f t="shared" si="164"/>
        <v/>
      </c>
      <c r="J430" s="54" t="str">
        <f t="shared" si="175"/>
        <v/>
      </c>
      <c r="K430" s="55" t="str">
        <f t="shared" si="165"/>
        <v/>
      </c>
      <c r="L430" s="63" t="str">
        <f t="shared" si="166"/>
        <v/>
      </c>
      <c r="M430" s="96" t="str">
        <f t="shared" si="176"/>
        <v/>
      </c>
      <c r="N430" s="96" t="str">
        <f>IF(A430="","",IF(A430=Expiry,0,EXP(-q*Q430)*_xlfn.NORM.S.DIST(Y430,0)/(sigma*SQRT(Q430))*I430*Mult/100))</f>
        <v/>
      </c>
      <c r="O430" s="96" t="str">
        <f>IF(A430="","",IF(A430=Expiry,0,D430*E430*E430*EXP(-q*Q430)*_xlfn.NORM.S.DIST(Y430,0)*SQRT(Q430)/100))</f>
        <v/>
      </c>
      <c r="P430" s="69" t="str">
        <f>IF(A430="","",IF(A430=Expiry,0,AK430*I430*Mult*((-EXP(-q*Q430)*E430*_xlfn.NORM.S.DIST(Y430,0)*sigma/(2*SQRT(Q430))-r_dom*K*EXP(-r_dom*Q430)*_xlfn.NORM.S.DIST(Z430,1)+q*E430*EXP(-q*Q430)*_xlfn.NORM.S.DIST(Y430,1))/365)))</f>
        <v/>
      </c>
      <c r="Q430" s="83" t="str">
        <f t="shared" si="167"/>
        <v/>
      </c>
      <c r="R430" s="38"/>
      <c r="S430" s="68" t="str">
        <f t="shared" si="168"/>
        <v/>
      </c>
      <c r="T430" s="69" t="str">
        <f t="shared" si="169"/>
        <v/>
      </c>
      <c r="U430" s="70" t="str">
        <f t="shared" si="170"/>
        <v/>
      </c>
      <c r="V430" s="72" t="str">
        <f t="shared" si="171"/>
        <v/>
      </c>
      <c r="W430" s="2" t="str">
        <f t="shared" si="182"/>
        <v/>
      </c>
      <c r="X430" s="2" t="str">
        <f t="shared" si="177"/>
        <v/>
      </c>
      <c r="Y430" s="35" t="str">
        <f t="shared" ca="1" si="172"/>
        <v/>
      </c>
      <c r="Z430" s="36" t="str">
        <f t="shared" ca="1" si="173"/>
        <v/>
      </c>
      <c r="AA430" s="70" t="str">
        <f t="shared" si="174"/>
        <v/>
      </c>
      <c r="AB430" s="2"/>
      <c r="AC430" s="94" t="str">
        <f t="shared" si="178"/>
        <v/>
      </c>
      <c r="AD430" s="95" t="str">
        <f t="shared" si="179"/>
        <v/>
      </c>
      <c r="AE430" s="96" t="str">
        <f t="shared" si="180"/>
        <v/>
      </c>
      <c r="AF430" s="124" t="str">
        <f t="shared" si="181"/>
        <v/>
      </c>
      <c r="AG430" s="2"/>
      <c r="AH430" s="2"/>
      <c r="AI430" s="2"/>
      <c r="AJ430" s="2"/>
      <c r="AK430" s="2"/>
      <c r="AL430" s="2"/>
    </row>
    <row r="431" spans="1:38" x14ac:dyDescent="0.2">
      <c r="A431" s="45"/>
      <c r="B431" s="43" t="str">
        <f t="shared" si="160"/>
        <v/>
      </c>
      <c r="C431" s="96" t="str">
        <f t="shared" si="183"/>
        <v/>
      </c>
      <c r="D431" s="44" t="str">
        <f t="shared" si="161"/>
        <v/>
      </c>
      <c r="E431" s="52"/>
      <c r="F431" s="63" t="str">
        <f t="shared" si="162"/>
        <v/>
      </c>
      <c r="G431" s="56" t="str">
        <f t="shared" si="163"/>
        <v/>
      </c>
      <c r="H431" s="42"/>
      <c r="I431" s="2" t="str">
        <f t="shared" si="164"/>
        <v/>
      </c>
      <c r="J431" s="54" t="str">
        <f t="shared" si="175"/>
        <v/>
      </c>
      <c r="K431" s="55" t="str">
        <f t="shared" si="165"/>
        <v/>
      </c>
      <c r="L431" s="63" t="str">
        <f t="shared" si="166"/>
        <v/>
      </c>
      <c r="M431" s="96" t="str">
        <f t="shared" si="176"/>
        <v/>
      </c>
      <c r="N431" s="96" t="str">
        <f>IF(A431="","",IF(A431=Expiry,0,EXP(-q*Q431)*_xlfn.NORM.S.DIST(Y431,0)/(sigma*SQRT(Q431))*I431*Mult/100))</f>
        <v/>
      </c>
      <c r="O431" s="96" t="str">
        <f>IF(A431="","",IF(A431=Expiry,0,D431*E431*E431*EXP(-q*Q431)*_xlfn.NORM.S.DIST(Y431,0)*SQRT(Q431)/100))</f>
        <v/>
      </c>
      <c r="P431" s="69" t="str">
        <f>IF(A431="","",IF(A431=Expiry,0,AK431*I431*Mult*((-EXP(-q*Q431)*E431*_xlfn.NORM.S.DIST(Y431,0)*sigma/(2*SQRT(Q431))-r_dom*K*EXP(-r_dom*Q431)*_xlfn.NORM.S.DIST(Z431,1)+q*E431*EXP(-q*Q431)*_xlfn.NORM.S.DIST(Y431,1))/365)))</f>
        <v/>
      </c>
      <c r="Q431" s="83" t="str">
        <f t="shared" si="167"/>
        <v/>
      </c>
      <c r="R431" s="38"/>
      <c r="S431" s="68" t="str">
        <f t="shared" si="168"/>
        <v/>
      </c>
      <c r="T431" s="69" t="str">
        <f t="shared" si="169"/>
        <v/>
      </c>
      <c r="U431" s="70" t="str">
        <f t="shared" si="170"/>
        <v/>
      </c>
      <c r="V431" s="72" t="str">
        <f t="shared" si="171"/>
        <v/>
      </c>
      <c r="W431" s="2" t="str">
        <f t="shared" si="182"/>
        <v/>
      </c>
      <c r="X431" s="2" t="str">
        <f t="shared" si="177"/>
        <v/>
      </c>
      <c r="Y431" s="35" t="str">
        <f t="shared" ca="1" si="172"/>
        <v/>
      </c>
      <c r="Z431" s="36" t="str">
        <f t="shared" ca="1" si="173"/>
        <v/>
      </c>
      <c r="AA431" s="70" t="str">
        <f t="shared" si="174"/>
        <v/>
      </c>
      <c r="AB431" s="2"/>
      <c r="AC431" s="94" t="str">
        <f t="shared" si="178"/>
        <v/>
      </c>
      <c r="AD431" s="95" t="str">
        <f t="shared" si="179"/>
        <v/>
      </c>
      <c r="AE431" s="96" t="str">
        <f t="shared" si="180"/>
        <v/>
      </c>
      <c r="AF431" s="124" t="str">
        <f t="shared" si="181"/>
        <v/>
      </c>
      <c r="AG431" s="2"/>
      <c r="AH431" s="2"/>
      <c r="AI431" s="2"/>
      <c r="AJ431" s="2"/>
      <c r="AK431" s="2"/>
      <c r="AL431" s="2"/>
    </row>
    <row r="432" spans="1:38" x14ac:dyDescent="0.2">
      <c r="A432" s="45"/>
      <c r="B432" s="43" t="str">
        <f t="shared" si="160"/>
        <v/>
      </c>
      <c r="C432" s="96" t="str">
        <f t="shared" si="183"/>
        <v/>
      </c>
      <c r="D432" s="44" t="str">
        <f t="shared" si="161"/>
        <v/>
      </c>
      <c r="E432" s="52"/>
      <c r="F432" s="63" t="str">
        <f t="shared" si="162"/>
        <v/>
      </c>
      <c r="G432" s="56" t="str">
        <f t="shared" si="163"/>
        <v/>
      </c>
      <c r="H432" s="42"/>
      <c r="I432" s="2" t="str">
        <f t="shared" si="164"/>
        <v/>
      </c>
      <c r="J432" s="54" t="str">
        <f t="shared" si="175"/>
        <v/>
      </c>
      <c r="K432" s="55" t="str">
        <f t="shared" si="165"/>
        <v/>
      </c>
      <c r="L432" s="63" t="str">
        <f t="shared" si="166"/>
        <v/>
      </c>
      <c r="M432" s="96" t="str">
        <f t="shared" si="176"/>
        <v/>
      </c>
      <c r="N432" s="96" t="str">
        <f>IF(A432="","",IF(A432=Expiry,0,EXP(-q*Q432)*_xlfn.NORM.S.DIST(Y432,0)/(sigma*SQRT(Q432))*I432*Mult/100))</f>
        <v/>
      </c>
      <c r="O432" s="96" t="str">
        <f>IF(A432="","",IF(A432=Expiry,0,D432*E432*E432*EXP(-q*Q432)*_xlfn.NORM.S.DIST(Y432,0)*SQRT(Q432)/100))</f>
        <v/>
      </c>
      <c r="P432" s="69" t="str">
        <f>IF(A432="","",IF(A432=Expiry,0,AK432*I432*Mult*((-EXP(-q*Q432)*E432*_xlfn.NORM.S.DIST(Y432,0)*sigma/(2*SQRT(Q432))-r_dom*K*EXP(-r_dom*Q432)*_xlfn.NORM.S.DIST(Z432,1)+q*E432*EXP(-q*Q432)*_xlfn.NORM.S.DIST(Y432,1))/365)))</f>
        <v/>
      </c>
      <c r="Q432" s="83" t="str">
        <f t="shared" si="167"/>
        <v/>
      </c>
      <c r="R432" s="38"/>
      <c r="S432" s="68" t="str">
        <f t="shared" si="168"/>
        <v/>
      </c>
      <c r="T432" s="69" t="str">
        <f t="shared" si="169"/>
        <v/>
      </c>
      <c r="U432" s="70" t="str">
        <f t="shared" si="170"/>
        <v/>
      </c>
      <c r="V432" s="72" t="str">
        <f t="shared" si="171"/>
        <v/>
      </c>
      <c r="W432" s="2" t="str">
        <f t="shared" si="182"/>
        <v/>
      </c>
      <c r="X432" s="2" t="str">
        <f t="shared" si="177"/>
        <v/>
      </c>
      <c r="Y432" s="35" t="str">
        <f t="shared" ca="1" si="172"/>
        <v/>
      </c>
      <c r="Z432" s="36" t="str">
        <f t="shared" ca="1" si="173"/>
        <v/>
      </c>
      <c r="AA432" s="70" t="str">
        <f t="shared" si="174"/>
        <v/>
      </c>
      <c r="AB432" s="2"/>
      <c r="AC432" s="94" t="str">
        <f t="shared" si="178"/>
        <v/>
      </c>
      <c r="AD432" s="95" t="str">
        <f t="shared" si="179"/>
        <v/>
      </c>
      <c r="AE432" s="96" t="str">
        <f t="shared" si="180"/>
        <v/>
      </c>
      <c r="AF432" s="124" t="str">
        <f t="shared" si="181"/>
        <v/>
      </c>
      <c r="AG432" s="2"/>
      <c r="AH432" s="2"/>
      <c r="AI432" s="2"/>
      <c r="AJ432" s="2"/>
      <c r="AK432" s="2"/>
      <c r="AL432" s="2"/>
    </row>
    <row r="433" spans="1:38" x14ac:dyDescent="0.2">
      <c r="A433" s="45"/>
      <c r="B433" s="43" t="str">
        <f t="shared" si="160"/>
        <v/>
      </c>
      <c r="C433" s="96" t="str">
        <f t="shared" si="183"/>
        <v/>
      </c>
      <c r="D433" s="44" t="str">
        <f t="shared" si="161"/>
        <v/>
      </c>
      <c r="E433" s="52"/>
      <c r="F433" s="63" t="str">
        <f t="shared" si="162"/>
        <v/>
      </c>
      <c r="G433" s="56" t="str">
        <f t="shared" si="163"/>
        <v/>
      </c>
      <c r="H433" s="42"/>
      <c r="I433" s="2" t="str">
        <f t="shared" si="164"/>
        <v/>
      </c>
      <c r="J433" s="54" t="str">
        <f t="shared" si="175"/>
        <v/>
      </c>
      <c r="K433" s="55" t="str">
        <f t="shared" si="165"/>
        <v/>
      </c>
      <c r="L433" s="63" t="str">
        <f t="shared" si="166"/>
        <v/>
      </c>
      <c r="M433" s="96" t="str">
        <f t="shared" si="176"/>
        <v/>
      </c>
      <c r="N433" s="96" t="str">
        <f>IF(A433="","",IF(A433=Expiry,0,EXP(-q*Q433)*_xlfn.NORM.S.DIST(Y433,0)/(sigma*SQRT(Q433))*I433*Mult/100))</f>
        <v/>
      </c>
      <c r="O433" s="96" t="str">
        <f>IF(A433="","",IF(A433=Expiry,0,D433*E433*E433*EXP(-q*Q433)*_xlfn.NORM.S.DIST(Y433,0)*SQRT(Q433)/100))</f>
        <v/>
      </c>
      <c r="P433" s="69" t="str">
        <f>IF(A433="","",IF(A433=Expiry,0,AK433*I433*Mult*((-EXP(-q*Q433)*E433*_xlfn.NORM.S.DIST(Y433,0)*sigma/(2*SQRT(Q433))-r_dom*K*EXP(-r_dom*Q433)*_xlfn.NORM.S.DIST(Z433,1)+q*E433*EXP(-q*Q433)*_xlfn.NORM.S.DIST(Y433,1))/365)))</f>
        <v/>
      </c>
      <c r="Q433" s="83" t="str">
        <f t="shared" si="167"/>
        <v/>
      </c>
      <c r="R433" s="38"/>
      <c r="S433" s="68" t="str">
        <f t="shared" si="168"/>
        <v/>
      </c>
      <c r="T433" s="69" t="str">
        <f t="shared" si="169"/>
        <v/>
      </c>
      <c r="U433" s="70" t="str">
        <f t="shared" si="170"/>
        <v/>
      </c>
      <c r="V433" s="72" t="str">
        <f t="shared" si="171"/>
        <v/>
      </c>
      <c r="W433" s="2" t="str">
        <f t="shared" si="182"/>
        <v/>
      </c>
      <c r="X433" s="2" t="str">
        <f t="shared" si="177"/>
        <v/>
      </c>
      <c r="Y433" s="35" t="str">
        <f t="shared" ca="1" si="172"/>
        <v/>
      </c>
      <c r="Z433" s="36" t="str">
        <f t="shared" ca="1" si="173"/>
        <v/>
      </c>
      <c r="AA433" s="70" t="str">
        <f t="shared" si="174"/>
        <v/>
      </c>
      <c r="AB433" s="2"/>
      <c r="AC433" s="94" t="str">
        <f t="shared" si="178"/>
        <v/>
      </c>
      <c r="AD433" s="95" t="str">
        <f t="shared" si="179"/>
        <v/>
      </c>
      <c r="AE433" s="96" t="str">
        <f t="shared" si="180"/>
        <v/>
      </c>
      <c r="AF433" s="124" t="str">
        <f t="shared" si="181"/>
        <v/>
      </c>
      <c r="AG433" s="2"/>
      <c r="AH433" s="2"/>
      <c r="AI433" s="2"/>
      <c r="AJ433" s="2"/>
      <c r="AK433" s="2"/>
      <c r="AL433" s="2"/>
    </row>
    <row r="434" spans="1:38" x14ac:dyDescent="0.2">
      <c r="A434" s="45"/>
      <c r="B434" s="43" t="str">
        <f t="shared" ref="B434:B497" si="184">IF(A434="","",-(M434+C433))</f>
        <v/>
      </c>
      <c r="C434" s="96" t="str">
        <f t="shared" si="183"/>
        <v/>
      </c>
      <c r="D434" s="44" t="str">
        <f t="shared" ref="D434:D497" si="185">IF(A434="","",C434*E434)</f>
        <v/>
      </c>
      <c r="E434" s="52"/>
      <c r="F434" s="63" t="str">
        <f t="shared" ref="F434:F497" si="186">IF(A434="","",C433*(E434-E433))</f>
        <v/>
      </c>
      <c r="G434" s="56" t="str">
        <f t="shared" ref="G434:G497" si="187">IF(H434="","",J434)</f>
        <v/>
      </c>
      <c r="H434" s="42"/>
      <c r="I434" s="2" t="str">
        <f t="shared" ref="I434:I497" si="188">IF(A434="","",I433+H434)</f>
        <v/>
      </c>
      <c r="J434" s="54" t="str">
        <f t="shared" si="175"/>
        <v/>
      </c>
      <c r="K434" s="55" t="str">
        <f t="shared" ref="K434:K497" si="189">IF(I434="","",I434*Mult*J434)</f>
        <v/>
      </c>
      <c r="L434" s="63" t="str">
        <f t="shared" ref="L434:L497" si="190">IF(A434="","",Mult*(IFERROR(0,H434*(G434-J434))+(I434-H434)*(J434-J433)))</f>
        <v/>
      </c>
      <c r="M434" s="96" t="str">
        <f t="shared" si="176"/>
        <v/>
      </c>
      <c r="N434" s="96" t="str">
        <f>IF(A434="","",IF(A434=Expiry,0,EXP(-q*Q434)*_xlfn.NORM.S.DIST(Y434,0)/(sigma*SQRT(Q434))*I434*Mult/100))</f>
        <v/>
      </c>
      <c r="O434" s="96" t="str">
        <f>IF(A434="","",IF(A434=Expiry,0,D434*E434*E434*EXP(-q*Q434)*_xlfn.NORM.S.DIST(Y434,0)*SQRT(Q434)/100))</f>
        <v/>
      </c>
      <c r="P434" s="69" t="str">
        <f>IF(A434="","",IF(A434=Expiry,0,AK434*I434*Mult*((-EXP(-q*Q434)*E434*_xlfn.NORM.S.DIST(Y434,0)*sigma/(2*SQRT(Q434))-r_dom*K*EXP(-r_dom*Q434)*_xlfn.NORM.S.DIST(Z434,1)+q*E434*EXP(-q*Q434)*_xlfn.NORM.S.DIST(Y434,1))/365)))</f>
        <v/>
      </c>
      <c r="Q434" s="83" t="str">
        <f t="shared" ref="Q434:Q497" si="191">IF(A434="","",IF(OR(A434="",Expiry&lt;=A434),0,(Expiry-A434)/365))</f>
        <v/>
      </c>
      <c r="R434" s="38"/>
      <c r="S434" s="68" t="str">
        <f t="shared" ref="S434:S497" si="192">IF(A434="","",F434+L434)</f>
        <v/>
      </c>
      <c r="T434" s="69" t="str">
        <f t="shared" ref="T434:T497" si="193">IF(A434="","",T433+S434)</f>
        <v/>
      </c>
      <c r="U434" s="70" t="str">
        <f t="shared" ref="U434:U497" si="194">IF(A434="","",LN(T434/T433))</f>
        <v/>
      </c>
      <c r="V434" s="72" t="str">
        <f t="shared" ref="V434:V497" si="195">IF(A434="","",V433*EXP(U434))</f>
        <v/>
      </c>
      <c r="W434" s="2" t="str">
        <f t="shared" si="182"/>
        <v/>
      </c>
      <c r="X434" s="2" t="str">
        <f t="shared" si="177"/>
        <v/>
      </c>
      <c r="Y434" s="35" t="str">
        <f t="shared" ref="Y434:Y497" ca="1" si="196">IF(OR(A434="",A434=Expiry),"",((LN(E434/K)+(r_dom-q+sigma^2/2)*Q434))/(sigma*SQRT(Q434)))</f>
        <v/>
      </c>
      <c r="Z434" s="36" t="str">
        <f t="shared" ref="Z434:Z497" ca="1" si="197">IF(OR(A434="",A434=Expiry),"",Y434-sigma*SQRT(Q434))</f>
        <v/>
      </c>
      <c r="AA434" s="70" t="str">
        <f t="shared" ref="AA434:AA497" si="198">IF(A434="","",LN(E434/E433))</f>
        <v/>
      </c>
      <c r="AB434" s="2"/>
      <c r="AC434" s="94" t="str">
        <f t="shared" si="178"/>
        <v/>
      </c>
      <c r="AD434" s="95" t="str">
        <f t="shared" si="179"/>
        <v/>
      </c>
      <c r="AE434" s="96" t="str">
        <f t="shared" si="180"/>
        <v/>
      </c>
      <c r="AF434" s="124" t="str">
        <f t="shared" si="181"/>
        <v/>
      </c>
      <c r="AG434" s="2"/>
      <c r="AH434" s="2"/>
      <c r="AI434" s="2"/>
      <c r="AJ434" s="2"/>
      <c r="AK434" s="2"/>
      <c r="AL434" s="2"/>
    </row>
    <row r="435" spans="1:38" x14ac:dyDescent="0.2">
      <c r="A435" s="45"/>
      <c r="B435" s="43" t="str">
        <f t="shared" si="184"/>
        <v/>
      </c>
      <c r="C435" s="96" t="str">
        <f t="shared" si="183"/>
        <v/>
      </c>
      <c r="D435" s="44" t="str">
        <f t="shared" si="185"/>
        <v/>
      </c>
      <c r="E435" s="52"/>
      <c r="F435" s="63" t="str">
        <f t="shared" si="186"/>
        <v/>
      </c>
      <c r="G435" s="56" t="str">
        <f t="shared" si="187"/>
        <v/>
      </c>
      <c r="H435" s="42"/>
      <c r="I435" s="2" t="str">
        <f t="shared" si="188"/>
        <v/>
      </c>
      <c r="J435" s="54" t="str">
        <f t="shared" si="175"/>
        <v/>
      </c>
      <c r="K435" s="55" t="str">
        <f t="shared" si="189"/>
        <v/>
      </c>
      <c r="L435" s="63" t="str">
        <f t="shared" si="190"/>
        <v/>
      </c>
      <c r="M435" s="96" t="str">
        <f t="shared" si="176"/>
        <v/>
      </c>
      <c r="N435" s="96" t="str">
        <f>IF(A435="","",IF(A435=Expiry,0,EXP(-q*Q435)*_xlfn.NORM.S.DIST(Y435,0)/(sigma*SQRT(Q435))*I435*Mult/100))</f>
        <v/>
      </c>
      <c r="O435" s="96" t="str">
        <f>IF(A435="","",IF(A435=Expiry,0,D435*E435*E435*EXP(-q*Q435)*_xlfn.NORM.S.DIST(Y435,0)*SQRT(Q435)/100))</f>
        <v/>
      </c>
      <c r="P435" s="69" t="str">
        <f>IF(A435="","",IF(A435=Expiry,0,AK435*I435*Mult*((-EXP(-q*Q435)*E435*_xlfn.NORM.S.DIST(Y435,0)*sigma/(2*SQRT(Q435))-r_dom*K*EXP(-r_dom*Q435)*_xlfn.NORM.S.DIST(Z435,1)+q*E435*EXP(-q*Q435)*_xlfn.NORM.S.DIST(Y435,1))/365)))</f>
        <v/>
      </c>
      <c r="Q435" s="83" t="str">
        <f t="shared" si="191"/>
        <v/>
      </c>
      <c r="R435" s="38"/>
      <c r="S435" s="68" t="str">
        <f t="shared" si="192"/>
        <v/>
      </c>
      <c r="T435" s="69" t="str">
        <f t="shared" si="193"/>
        <v/>
      </c>
      <c r="U435" s="70" t="str">
        <f t="shared" si="194"/>
        <v/>
      </c>
      <c r="V435" s="72" t="str">
        <f t="shared" si="195"/>
        <v/>
      </c>
      <c r="W435" s="2" t="str">
        <f t="shared" si="182"/>
        <v/>
      </c>
      <c r="X435" s="2" t="str">
        <f t="shared" si="177"/>
        <v/>
      </c>
      <c r="Y435" s="35" t="str">
        <f t="shared" ca="1" si="196"/>
        <v/>
      </c>
      <c r="Z435" s="36" t="str">
        <f t="shared" ca="1" si="197"/>
        <v/>
      </c>
      <c r="AA435" s="70" t="str">
        <f t="shared" si="198"/>
        <v/>
      </c>
      <c r="AB435" s="2"/>
      <c r="AC435" s="94" t="str">
        <f t="shared" si="178"/>
        <v/>
      </c>
      <c r="AD435" s="95" t="str">
        <f t="shared" si="179"/>
        <v/>
      </c>
      <c r="AE435" s="96" t="str">
        <f t="shared" si="180"/>
        <v/>
      </c>
      <c r="AF435" s="124" t="str">
        <f t="shared" si="181"/>
        <v/>
      </c>
      <c r="AG435" s="2"/>
      <c r="AH435" s="2"/>
      <c r="AI435" s="2"/>
      <c r="AJ435" s="2"/>
      <c r="AK435" s="2"/>
      <c r="AL435" s="2"/>
    </row>
    <row r="436" spans="1:38" x14ac:dyDescent="0.2">
      <c r="A436" s="45"/>
      <c r="B436" s="43" t="str">
        <f t="shared" si="184"/>
        <v/>
      </c>
      <c r="C436" s="96" t="str">
        <f t="shared" si="183"/>
        <v/>
      </c>
      <c r="D436" s="44" t="str">
        <f t="shared" si="185"/>
        <v/>
      </c>
      <c r="E436" s="52"/>
      <c r="F436" s="63" t="str">
        <f t="shared" si="186"/>
        <v/>
      </c>
      <c r="G436" s="56" t="str">
        <f t="shared" si="187"/>
        <v/>
      </c>
      <c r="H436" s="42"/>
      <c r="I436" s="2" t="str">
        <f t="shared" si="188"/>
        <v/>
      </c>
      <c r="J436" s="54" t="str">
        <f t="shared" si="175"/>
        <v/>
      </c>
      <c r="K436" s="55" t="str">
        <f t="shared" si="189"/>
        <v/>
      </c>
      <c r="L436" s="63" t="str">
        <f t="shared" si="190"/>
        <v/>
      </c>
      <c r="M436" s="96" t="str">
        <f t="shared" si="176"/>
        <v/>
      </c>
      <c r="N436" s="96" t="str">
        <f>IF(A436="","",IF(A436=Expiry,0,EXP(-q*Q436)*_xlfn.NORM.S.DIST(Y436,0)/(sigma*SQRT(Q436))*I436*Mult/100))</f>
        <v/>
      </c>
      <c r="O436" s="96" t="str">
        <f>IF(A436="","",IF(A436=Expiry,0,D436*E436*E436*EXP(-q*Q436)*_xlfn.NORM.S.DIST(Y436,0)*SQRT(Q436)/100))</f>
        <v/>
      </c>
      <c r="P436" s="69" t="str">
        <f>IF(A436="","",IF(A436=Expiry,0,AK436*I436*Mult*((-EXP(-q*Q436)*E436*_xlfn.NORM.S.DIST(Y436,0)*sigma/(2*SQRT(Q436))-r_dom*K*EXP(-r_dom*Q436)*_xlfn.NORM.S.DIST(Z436,1)+q*E436*EXP(-q*Q436)*_xlfn.NORM.S.DIST(Y436,1))/365)))</f>
        <v/>
      </c>
      <c r="Q436" s="83" t="str">
        <f t="shared" si="191"/>
        <v/>
      </c>
      <c r="R436" s="38"/>
      <c r="S436" s="68" t="str">
        <f t="shared" si="192"/>
        <v/>
      </c>
      <c r="T436" s="69" t="str">
        <f t="shared" si="193"/>
        <v/>
      </c>
      <c r="U436" s="70" t="str">
        <f t="shared" si="194"/>
        <v/>
      </c>
      <c r="V436" s="72" t="str">
        <f t="shared" si="195"/>
        <v/>
      </c>
      <c r="W436" s="2" t="str">
        <f t="shared" si="182"/>
        <v/>
      </c>
      <c r="X436" s="2" t="str">
        <f t="shared" si="177"/>
        <v/>
      </c>
      <c r="Y436" s="35" t="str">
        <f t="shared" ca="1" si="196"/>
        <v/>
      </c>
      <c r="Z436" s="36" t="str">
        <f t="shared" ca="1" si="197"/>
        <v/>
      </c>
      <c r="AA436" s="70" t="str">
        <f t="shared" si="198"/>
        <v/>
      </c>
      <c r="AB436" s="2"/>
      <c r="AC436" s="94" t="str">
        <f t="shared" si="178"/>
        <v/>
      </c>
      <c r="AD436" s="95" t="str">
        <f t="shared" si="179"/>
        <v/>
      </c>
      <c r="AE436" s="96" t="str">
        <f t="shared" si="180"/>
        <v/>
      </c>
      <c r="AF436" s="124" t="str">
        <f t="shared" si="181"/>
        <v/>
      </c>
      <c r="AG436" s="2"/>
      <c r="AH436" s="2"/>
      <c r="AI436" s="2"/>
      <c r="AJ436" s="2"/>
      <c r="AK436" s="2"/>
      <c r="AL436" s="2"/>
    </row>
    <row r="437" spans="1:38" x14ac:dyDescent="0.2">
      <c r="A437" s="45"/>
      <c r="B437" s="43" t="str">
        <f t="shared" si="184"/>
        <v/>
      </c>
      <c r="C437" s="96" t="str">
        <f t="shared" si="183"/>
        <v/>
      </c>
      <c r="D437" s="44" t="str">
        <f t="shared" si="185"/>
        <v/>
      </c>
      <c r="E437" s="52"/>
      <c r="F437" s="63" t="str">
        <f t="shared" si="186"/>
        <v/>
      </c>
      <c r="G437" s="56" t="str">
        <f t="shared" si="187"/>
        <v/>
      </c>
      <c r="H437" s="42"/>
      <c r="I437" s="2" t="str">
        <f t="shared" si="188"/>
        <v/>
      </c>
      <c r="J437" s="54" t="str">
        <f t="shared" si="175"/>
        <v/>
      </c>
      <c r="K437" s="55" t="str">
        <f t="shared" si="189"/>
        <v/>
      </c>
      <c r="L437" s="63" t="str">
        <f t="shared" si="190"/>
        <v/>
      </c>
      <c r="M437" s="96" t="str">
        <f t="shared" si="176"/>
        <v/>
      </c>
      <c r="N437" s="96" t="str">
        <f>IF(A437="","",IF(A437=Expiry,0,EXP(-q*Q437)*_xlfn.NORM.S.DIST(Y437,0)/(sigma*SQRT(Q437))*I437*Mult/100))</f>
        <v/>
      </c>
      <c r="O437" s="96" t="str">
        <f>IF(A437="","",IF(A437=Expiry,0,D437*E437*E437*EXP(-q*Q437)*_xlfn.NORM.S.DIST(Y437,0)*SQRT(Q437)/100))</f>
        <v/>
      </c>
      <c r="P437" s="69" t="str">
        <f>IF(A437="","",IF(A437=Expiry,0,AK437*I437*Mult*((-EXP(-q*Q437)*E437*_xlfn.NORM.S.DIST(Y437,0)*sigma/(2*SQRT(Q437))-r_dom*K*EXP(-r_dom*Q437)*_xlfn.NORM.S.DIST(Z437,1)+q*E437*EXP(-q*Q437)*_xlfn.NORM.S.DIST(Y437,1))/365)))</f>
        <v/>
      </c>
      <c r="Q437" s="83" t="str">
        <f t="shared" si="191"/>
        <v/>
      </c>
      <c r="R437" s="38"/>
      <c r="S437" s="68" t="str">
        <f t="shared" si="192"/>
        <v/>
      </c>
      <c r="T437" s="69" t="str">
        <f t="shared" si="193"/>
        <v/>
      </c>
      <c r="U437" s="70" t="str">
        <f t="shared" si="194"/>
        <v/>
      </c>
      <c r="V437" s="72" t="str">
        <f t="shared" si="195"/>
        <v/>
      </c>
      <c r="W437" s="2" t="str">
        <f t="shared" si="182"/>
        <v/>
      </c>
      <c r="X437" s="2" t="str">
        <f t="shared" si="177"/>
        <v/>
      </c>
      <c r="Y437" s="35" t="str">
        <f t="shared" ca="1" si="196"/>
        <v/>
      </c>
      <c r="Z437" s="36" t="str">
        <f t="shared" ca="1" si="197"/>
        <v/>
      </c>
      <c r="AA437" s="70" t="str">
        <f t="shared" si="198"/>
        <v/>
      </c>
      <c r="AB437" s="2"/>
      <c r="AC437" s="94" t="str">
        <f t="shared" si="178"/>
        <v/>
      </c>
      <c r="AD437" s="95" t="str">
        <f t="shared" si="179"/>
        <v/>
      </c>
      <c r="AE437" s="96" t="str">
        <f t="shared" si="180"/>
        <v/>
      </c>
      <c r="AF437" s="124" t="str">
        <f t="shared" si="181"/>
        <v/>
      </c>
      <c r="AG437" s="2"/>
      <c r="AH437" s="2"/>
      <c r="AI437" s="2"/>
      <c r="AJ437" s="2"/>
      <c r="AK437" s="2"/>
      <c r="AL437" s="2"/>
    </row>
    <row r="438" spans="1:38" x14ac:dyDescent="0.2">
      <c r="A438" s="45"/>
      <c r="B438" s="43" t="str">
        <f t="shared" si="184"/>
        <v/>
      </c>
      <c r="C438" s="96" t="str">
        <f t="shared" si="183"/>
        <v/>
      </c>
      <c r="D438" s="44" t="str">
        <f t="shared" si="185"/>
        <v/>
      </c>
      <c r="E438" s="52"/>
      <c r="F438" s="63" t="str">
        <f t="shared" si="186"/>
        <v/>
      </c>
      <c r="G438" s="56" t="str">
        <f t="shared" si="187"/>
        <v/>
      </c>
      <c r="H438" s="42"/>
      <c r="I438" s="2" t="str">
        <f t="shared" si="188"/>
        <v/>
      </c>
      <c r="J438" s="54" t="str">
        <f t="shared" si="175"/>
        <v/>
      </c>
      <c r="K438" s="55" t="str">
        <f t="shared" si="189"/>
        <v/>
      </c>
      <c r="L438" s="63" t="str">
        <f t="shared" si="190"/>
        <v/>
      </c>
      <c r="M438" s="96" t="str">
        <f t="shared" si="176"/>
        <v/>
      </c>
      <c r="N438" s="96" t="str">
        <f>IF(A438="","",IF(A438=Expiry,0,EXP(-q*Q438)*_xlfn.NORM.S.DIST(Y438,0)/(sigma*SQRT(Q438))*I438*Mult/100))</f>
        <v/>
      </c>
      <c r="O438" s="96" t="str">
        <f>IF(A438="","",IF(A438=Expiry,0,D438*E438*E438*EXP(-q*Q438)*_xlfn.NORM.S.DIST(Y438,0)*SQRT(Q438)/100))</f>
        <v/>
      </c>
      <c r="P438" s="69" t="str">
        <f>IF(A438="","",IF(A438=Expiry,0,AK438*I438*Mult*((-EXP(-q*Q438)*E438*_xlfn.NORM.S.DIST(Y438,0)*sigma/(2*SQRT(Q438))-r_dom*K*EXP(-r_dom*Q438)*_xlfn.NORM.S.DIST(Z438,1)+q*E438*EXP(-q*Q438)*_xlfn.NORM.S.DIST(Y438,1))/365)))</f>
        <v/>
      </c>
      <c r="Q438" s="83" t="str">
        <f t="shared" si="191"/>
        <v/>
      </c>
      <c r="R438" s="38"/>
      <c r="S438" s="68" t="str">
        <f t="shared" si="192"/>
        <v/>
      </c>
      <c r="T438" s="69" t="str">
        <f t="shared" si="193"/>
        <v/>
      </c>
      <c r="U438" s="70" t="str">
        <f t="shared" si="194"/>
        <v/>
      </c>
      <c r="V438" s="72" t="str">
        <f t="shared" si="195"/>
        <v/>
      </c>
      <c r="W438" s="2" t="str">
        <f t="shared" si="182"/>
        <v/>
      </c>
      <c r="X438" s="2" t="str">
        <f t="shared" si="177"/>
        <v/>
      </c>
      <c r="Y438" s="35" t="str">
        <f t="shared" ca="1" si="196"/>
        <v/>
      </c>
      <c r="Z438" s="36" t="str">
        <f t="shared" ca="1" si="197"/>
        <v/>
      </c>
      <c r="AA438" s="70" t="str">
        <f t="shared" si="198"/>
        <v/>
      </c>
      <c r="AB438" s="2"/>
      <c r="AC438" s="94" t="str">
        <f t="shared" si="178"/>
        <v/>
      </c>
      <c r="AD438" s="95" t="str">
        <f t="shared" si="179"/>
        <v/>
      </c>
      <c r="AE438" s="96" t="str">
        <f t="shared" si="180"/>
        <v/>
      </c>
      <c r="AF438" s="124" t="str">
        <f t="shared" si="181"/>
        <v/>
      </c>
      <c r="AG438" s="2"/>
      <c r="AH438" s="2"/>
      <c r="AI438" s="2"/>
      <c r="AJ438" s="2"/>
      <c r="AK438" s="2"/>
      <c r="AL438" s="2"/>
    </row>
    <row r="439" spans="1:38" x14ac:dyDescent="0.2">
      <c r="A439" s="45"/>
      <c r="B439" s="43" t="str">
        <f t="shared" si="184"/>
        <v/>
      </c>
      <c r="C439" s="96" t="str">
        <f t="shared" si="183"/>
        <v/>
      </c>
      <c r="D439" s="44" t="str">
        <f t="shared" si="185"/>
        <v/>
      </c>
      <c r="E439" s="52"/>
      <c r="F439" s="63" t="str">
        <f t="shared" si="186"/>
        <v/>
      </c>
      <c r="G439" s="56" t="str">
        <f t="shared" si="187"/>
        <v/>
      </c>
      <c r="H439" s="42"/>
      <c r="I439" s="2" t="str">
        <f t="shared" si="188"/>
        <v/>
      </c>
      <c r="J439" s="54" t="str">
        <f t="shared" si="175"/>
        <v/>
      </c>
      <c r="K439" s="55" t="str">
        <f t="shared" si="189"/>
        <v/>
      </c>
      <c r="L439" s="63" t="str">
        <f t="shared" si="190"/>
        <v/>
      </c>
      <c r="M439" s="96" t="str">
        <f t="shared" si="176"/>
        <v/>
      </c>
      <c r="N439" s="96" t="str">
        <f>IF(A439="","",IF(A439=Expiry,0,EXP(-q*Q439)*_xlfn.NORM.S.DIST(Y439,0)/(sigma*SQRT(Q439))*I439*Mult/100))</f>
        <v/>
      </c>
      <c r="O439" s="96" t="str">
        <f>IF(A439="","",IF(A439=Expiry,0,D439*E439*E439*EXP(-q*Q439)*_xlfn.NORM.S.DIST(Y439,0)*SQRT(Q439)/100))</f>
        <v/>
      </c>
      <c r="P439" s="69" t="str">
        <f>IF(A439="","",IF(A439=Expiry,0,AK439*I439*Mult*((-EXP(-q*Q439)*E439*_xlfn.NORM.S.DIST(Y439,0)*sigma/(2*SQRT(Q439))-r_dom*K*EXP(-r_dom*Q439)*_xlfn.NORM.S.DIST(Z439,1)+q*E439*EXP(-q*Q439)*_xlfn.NORM.S.DIST(Y439,1))/365)))</f>
        <v/>
      </c>
      <c r="Q439" s="83" t="str">
        <f t="shared" si="191"/>
        <v/>
      </c>
      <c r="R439" s="38"/>
      <c r="S439" s="68" t="str">
        <f t="shared" si="192"/>
        <v/>
      </c>
      <c r="T439" s="69" t="str">
        <f t="shared" si="193"/>
        <v/>
      </c>
      <c r="U439" s="70" t="str">
        <f t="shared" si="194"/>
        <v/>
      </c>
      <c r="V439" s="72" t="str">
        <f t="shared" si="195"/>
        <v/>
      </c>
      <c r="W439" s="2" t="str">
        <f t="shared" si="182"/>
        <v/>
      </c>
      <c r="X439" s="2" t="str">
        <f t="shared" si="177"/>
        <v/>
      </c>
      <c r="Y439" s="35" t="str">
        <f t="shared" ca="1" si="196"/>
        <v/>
      </c>
      <c r="Z439" s="36" t="str">
        <f t="shared" ca="1" si="197"/>
        <v/>
      </c>
      <c r="AA439" s="70" t="str">
        <f t="shared" si="198"/>
        <v/>
      </c>
      <c r="AB439" s="2"/>
      <c r="AC439" s="94" t="str">
        <f t="shared" si="178"/>
        <v/>
      </c>
      <c r="AD439" s="95" t="str">
        <f t="shared" si="179"/>
        <v/>
      </c>
      <c r="AE439" s="96" t="str">
        <f t="shared" si="180"/>
        <v/>
      </c>
      <c r="AF439" s="124" t="str">
        <f t="shared" si="181"/>
        <v/>
      </c>
      <c r="AG439" s="2"/>
      <c r="AH439" s="2"/>
      <c r="AI439" s="2"/>
      <c r="AJ439" s="2"/>
      <c r="AK439" s="2"/>
      <c r="AL439" s="2"/>
    </row>
    <row r="440" spans="1:38" x14ac:dyDescent="0.2">
      <c r="A440" s="45"/>
      <c r="B440" s="43" t="str">
        <f t="shared" si="184"/>
        <v/>
      </c>
      <c r="C440" s="96" t="str">
        <f t="shared" si="183"/>
        <v/>
      </c>
      <c r="D440" s="44" t="str">
        <f t="shared" si="185"/>
        <v/>
      </c>
      <c r="E440" s="52"/>
      <c r="F440" s="63" t="str">
        <f t="shared" si="186"/>
        <v/>
      </c>
      <c r="G440" s="56" t="str">
        <f t="shared" si="187"/>
        <v/>
      </c>
      <c r="H440" s="42"/>
      <c r="I440" s="2" t="str">
        <f t="shared" si="188"/>
        <v/>
      </c>
      <c r="J440" s="54" t="str">
        <f t="shared" si="175"/>
        <v/>
      </c>
      <c r="K440" s="55" t="str">
        <f t="shared" si="189"/>
        <v/>
      </c>
      <c r="L440" s="63" t="str">
        <f t="shared" si="190"/>
        <v/>
      </c>
      <c r="M440" s="96" t="str">
        <f t="shared" si="176"/>
        <v/>
      </c>
      <c r="N440" s="96" t="str">
        <f>IF(A440="","",IF(A440=Expiry,0,EXP(-q*Q440)*_xlfn.NORM.S.DIST(Y440,0)/(sigma*SQRT(Q440))*I440*Mult/100))</f>
        <v/>
      </c>
      <c r="O440" s="96" t="str">
        <f>IF(A440="","",IF(A440=Expiry,0,D440*E440*E440*EXP(-q*Q440)*_xlfn.NORM.S.DIST(Y440,0)*SQRT(Q440)/100))</f>
        <v/>
      </c>
      <c r="P440" s="69" t="str">
        <f>IF(A440="","",IF(A440=Expiry,0,AK440*I440*Mult*((-EXP(-q*Q440)*E440*_xlfn.NORM.S.DIST(Y440,0)*sigma/(2*SQRT(Q440))-r_dom*K*EXP(-r_dom*Q440)*_xlfn.NORM.S.DIST(Z440,1)+q*E440*EXP(-q*Q440)*_xlfn.NORM.S.DIST(Y440,1))/365)))</f>
        <v/>
      </c>
      <c r="Q440" s="83" t="str">
        <f t="shared" si="191"/>
        <v/>
      </c>
      <c r="R440" s="38"/>
      <c r="S440" s="68" t="str">
        <f t="shared" si="192"/>
        <v/>
      </c>
      <c r="T440" s="69" t="str">
        <f t="shared" si="193"/>
        <v/>
      </c>
      <c r="U440" s="70" t="str">
        <f t="shared" si="194"/>
        <v/>
      </c>
      <c r="V440" s="72" t="str">
        <f t="shared" si="195"/>
        <v/>
      </c>
      <c r="W440" s="2" t="str">
        <f t="shared" si="182"/>
        <v/>
      </c>
      <c r="X440" s="2" t="str">
        <f t="shared" si="177"/>
        <v/>
      </c>
      <c r="Y440" s="35" t="str">
        <f t="shared" ca="1" si="196"/>
        <v/>
      </c>
      <c r="Z440" s="36" t="str">
        <f t="shared" ca="1" si="197"/>
        <v/>
      </c>
      <c r="AA440" s="70" t="str">
        <f t="shared" si="198"/>
        <v/>
      </c>
      <c r="AB440" s="2"/>
      <c r="AC440" s="94" t="str">
        <f t="shared" si="178"/>
        <v/>
      </c>
      <c r="AD440" s="95" t="str">
        <f t="shared" si="179"/>
        <v/>
      </c>
      <c r="AE440" s="96" t="str">
        <f t="shared" si="180"/>
        <v/>
      </c>
      <c r="AF440" s="124" t="str">
        <f t="shared" si="181"/>
        <v/>
      </c>
      <c r="AG440" s="2"/>
      <c r="AH440" s="2"/>
      <c r="AI440" s="2"/>
      <c r="AJ440" s="2"/>
      <c r="AK440" s="2"/>
      <c r="AL440" s="2"/>
    </row>
    <row r="441" spans="1:38" x14ac:dyDescent="0.2">
      <c r="A441" s="45"/>
      <c r="B441" s="43" t="str">
        <f t="shared" si="184"/>
        <v/>
      </c>
      <c r="C441" s="96" t="str">
        <f t="shared" si="183"/>
        <v/>
      </c>
      <c r="D441" s="44" t="str">
        <f t="shared" si="185"/>
        <v/>
      </c>
      <c r="E441" s="52"/>
      <c r="F441" s="63" t="str">
        <f t="shared" si="186"/>
        <v/>
      </c>
      <c r="G441" s="56" t="str">
        <f t="shared" si="187"/>
        <v/>
      </c>
      <c r="H441" s="42"/>
      <c r="I441" s="2" t="str">
        <f t="shared" si="188"/>
        <v/>
      </c>
      <c r="J441" s="54" t="str">
        <f t="shared" si="175"/>
        <v/>
      </c>
      <c r="K441" s="55" t="str">
        <f t="shared" si="189"/>
        <v/>
      </c>
      <c r="L441" s="63" t="str">
        <f t="shared" si="190"/>
        <v/>
      </c>
      <c r="M441" s="96" t="str">
        <f t="shared" si="176"/>
        <v/>
      </c>
      <c r="N441" s="96" t="str">
        <f>IF(A441="","",IF(A441=Expiry,0,EXP(-q*Q441)*_xlfn.NORM.S.DIST(Y441,0)/(sigma*SQRT(Q441))*I441*Mult/100))</f>
        <v/>
      </c>
      <c r="O441" s="96" t="str">
        <f>IF(A441="","",IF(A441=Expiry,0,D441*E441*E441*EXP(-q*Q441)*_xlfn.NORM.S.DIST(Y441,0)*SQRT(Q441)/100))</f>
        <v/>
      </c>
      <c r="P441" s="69" t="str">
        <f>IF(A441="","",IF(A441=Expiry,0,AK441*I441*Mult*((-EXP(-q*Q441)*E441*_xlfn.NORM.S.DIST(Y441,0)*sigma/(2*SQRT(Q441))-r_dom*K*EXP(-r_dom*Q441)*_xlfn.NORM.S.DIST(Z441,1)+q*E441*EXP(-q*Q441)*_xlfn.NORM.S.DIST(Y441,1))/365)))</f>
        <v/>
      </c>
      <c r="Q441" s="83" t="str">
        <f t="shared" si="191"/>
        <v/>
      </c>
      <c r="R441" s="38"/>
      <c r="S441" s="68" t="str">
        <f t="shared" si="192"/>
        <v/>
      </c>
      <c r="T441" s="69" t="str">
        <f t="shared" si="193"/>
        <v/>
      </c>
      <c r="U441" s="70" t="str">
        <f t="shared" si="194"/>
        <v/>
      </c>
      <c r="V441" s="72" t="str">
        <f t="shared" si="195"/>
        <v/>
      </c>
      <c r="W441" s="2" t="str">
        <f t="shared" si="182"/>
        <v/>
      </c>
      <c r="X441" s="2" t="str">
        <f t="shared" si="177"/>
        <v/>
      </c>
      <c r="Y441" s="35" t="str">
        <f t="shared" ca="1" si="196"/>
        <v/>
      </c>
      <c r="Z441" s="36" t="str">
        <f t="shared" ca="1" si="197"/>
        <v/>
      </c>
      <c r="AA441" s="70" t="str">
        <f t="shared" si="198"/>
        <v/>
      </c>
      <c r="AB441" s="2"/>
      <c r="AC441" s="94" t="str">
        <f t="shared" si="178"/>
        <v/>
      </c>
      <c r="AD441" s="95" t="str">
        <f t="shared" si="179"/>
        <v/>
      </c>
      <c r="AE441" s="96" t="str">
        <f t="shared" si="180"/>
        <v/>
      </c>
      <c r="AF441" s="124" t="str">
        <f t="shared" si="181"/>
        <v/>
      </c>
      <c r="AG441" s="2"/>
      <c r="AH441" s="2"/>
      <c r="AI441" s="2"/>
      <c r="AJ441" s="2"/>
      <c r="AK441" s="2"/>
      <c r="AL441" s="2"/>
    </row>
    <row r="442" spans="1:38" x14ac:dyDescent="0.2">
      <c r="A442" s="45"/>
      <c r="B442" s="43" t="str">
        <f t="shared" si="184"/>
        <v/>
      </c>
      <c r="C442" s="96" t="str">
        <f t="shared" si="183"/>
        <v/>
      </c>
      <c r="D442" s="44" t="str">
        <f t="shared" si="185"/>
        <v/>
      </c>
      <c r="E442" s="52"/>
      <c r="F442" s="63" t="str">
        <f t="shared" si="186"/>
        <v/>
      </c>
      <c r="G442" s="56" t="str">
        <f t="shared" si="187"/>
        <v/>
      </c>
      <c r="H442" s="42"/>
      <c r="I442" s="2" t="str">
        <f t="shared" si="188"/>
        <v/>
      </c>
      <c r="J442" s="54" t="str">
        <f t="shared" si="175"/>
        <v/>
      </c>
      <c r="K442" s="55" t="str">
        <f t="shared" si="189"/>
        <v/>
      </c>
      <c r="L442" s="63" t="str">
        <f t="shared" si="190"/>
        <v/>
      </c>
      <c r="M442" s="96" t="str">
        <f t="shared" si="176"/>
        <v/>
      </c>
      <c r="N442" s="96" t="str">
        <f>IF(A442="","",IF(A442=Expiry,0,EXP(-q*Q442)*_xlfn.NORM.S.DIST(Y442,0)/(sigma*SQRT(Q442))*I442*Mult/100))</f>
        <v/>
      </c>
      <c r="O442" s="96" t="str">
        <f>IF(A442="","",IF(A442=Expiry,0,D442*E442*E442*EXP(-q*Q442)*_xlfn.NORM.S.DIST(Y442,0)*SQRT(Q442)/100))</f>
        <v/>
      </c>
      <c r="P442" s="69" t="str">
        <f>IF(A442="","",IF(A442=Expiry,0,AK442*I442*Mult*((-EXP(-q*Q442)*E442*_xlfn.NORM.S.DIST(Y442,0)*sigma/(2*SQRT(Q442))-r_dom*K*EXP(-r_dom*Q442)*_xlfn.NORM.S.DIST(Z442,1)+q*E442*EXP(-q*Q442)*_xlfn.NORM.S.DIST(Y442,1))/365)))</f>
        <v/>
      </c>
      <c r="Q442" s="83" t="str">
        <f t="shared" si="191"/>
        <v/>
      </c>
      <c r="R442" s="38"/>
      <c r="S442" s="68" t="str">
        <f t="shared" si="192"/>
        <v/>
      </c>
      <c r="T442" s="69" t="str">
        <f t="shared" si="193"/>
        <v/>
      </c>
      <c r="U442" s="70" t="str">
        <f t="shared" si="194"/>
        <v/>
      </c>
      <c r="V442" s="72" t="str">
        <f t="shared" si="195"/>
        <v/>
      </c>
      <c r="W442" s="2" t="str">
        <f t="shared" si="182"/>
        <v/>
      </c>
      <c r="X442" s="2" t="str">
        <f t="shared" si="177"/>
        <v/>
      </c>
      <c r="Y442" s="35" t="str">
        <f t="shared" ca="1" si="196"/>
        <v/>
      </c>
      <c r="Z442" s="36" t="str">
        <f t="shared" ca="1" si="197"/>
        <v/>
      </c>
      <c r="AA442" s="70" t="str">
        <f t="shared" si="198"/>
        <v/>
      </c>
      <c r="AB442" s="2"/>
      <c r="AC442" s="94" t="str">
        <f t="shared" si="178"/>
        <v/>
      </c>
      <c r="AD442" s="95" t="str">
        <f t="shared" si="179"/>
        <v/>
      </c>
      <c r="AE442" s="96" t="str">
        <f t="shared" si="180"/>
        <v/>
      </c>
      <c r="AF442" s="124" t="str">
        <f t="shared" si="181"/>
        <v/>
      </c>
      <c r="AG442" s="2"/>
      <c r="AH442" s="2"/>
      <c r="AI442" s="2"/>
      <c r="AJ442" s="2"/>
      <c r="AK442" s="2"/>
      <c r="AL442" s="2"/>
    </row>
    <row r="443" spans="1:38" x14ac:dyDescent="0.2">
      <c r="A443" s="45"/>
      <c r="B443" s="43" t="str">
        <f t="shared" si="184"/>
        <v/>
      </c>
      <c r="C443" s="96" t="str">
        <f t="shared" si="183"/>
        <v/>
      </c>
      <c r="D443" s="44" t="str">
        <f t="shared" si="185"/>
        <v/>
      </c>
      <c r="E443" s="52"/>
      <c r="F443" s="63" t="str">
        <f t="shared" si="186"/>
        <v/>
      </c>
      <c r="G443" s="56" t="str">
        <f t="shared" si="187"/>
        <v/>
      </c>
      <c r="H443" s="42"/>
      <c r="I443" s="2" t="str">
        <f t="shared" si="188"/>
        <v/>
      </c>
      <c r="J443" s="54" t="str">
        <f t="shared" si="175"/>
        <v/>
      </c>
      <c r="K443" s="55" t="str">
        <f t="shared" si="189"/>
        <v/>
      </c>
      <c r="L443" s="63" t="str">
        <f t="shared" si="190"/>
        <v/>
      </c>
      <c r="M443" s="96" t="str">
        <f t="shared" si="176"/>
        <v/>
      </c>
      <c r="N443" s="96" t="str">
        <f>IF(A443="","",IF(A443=Expiry,0,EXP(-q*Q443)*_xlfn.NORM.S.DIST(Y443,0)/(sigma*SQRT(Q443))*I443*Mult/100))</f>
        <v/>
      </c>
      <c r="O443" s="96" t="str">
        <f>IF(A443="","",IF(A443=Expiry,0,D443*E443*E443*EXP(-q*Q443)*_xlfn.NORM.S.DIST(Y443,0)*SQRT(Q443)/100))</f>
        <v/>
      </c>
      <c r="P443" s="69" t="str">
        <f>IF(A443="","",IF(A443=Expiry,0,AK443*I443*Mult*((-EXP(-q*Q443)*E443*_xlfn.NORM.S.DIST(Y443,0)*sigma/(2*SQRT(Q443))-r_dom*K*EXP(-r_dom*Q443)*_xlfn.NORM.S.DIST(Z443,1)+q*E443*EXP(-q*Q443)*_xlfn.NORM.S.DIST(Y443,1))/365)))</f>
        <v/>
      </c>
      <c r="Q443" s="83" t="str">
        <f t="shared" si="191"/>
        <v/>
      </c>
      <c r="R443" s="38"/>
      <c r="S443" s="68" t="str">
        <f t="shared" si="192"/>
        <v/>
      </c>
      <c r="T443" s="69" t="str">
        <f t="shared" si="193"/>
        <v/>
      </c>
      <c r="U443" s="70" t="str">
        <f t="shared" si="194"/>
        <v/>
      </c>
      <c r="V443" s="72" t="str">
        <f t="shared" si="195"/>
        <v/>
      </c>
      <c r="W443" s="2" t="str">
        <f t="shared" si="182"/>
        <v/>
      </c>
      <c r="X443" s="2" t="str">
        <f t="shared" si="177"/>
        <v/>
      </c>
      <c r="Y443" s="35" t="str">
        <f t="shared" ca="1" si="196"/>
        <v/>
      </c>
      <c r="Z443" s="36" t="str">
        <f t="shared" ca="1" si="197"/>
        <v/>
      </c>
      <c r="AA443" s="70" t="str">
        <f t="shared" si="198"/>
        <v/>
      </c>
      <c r="AB443" s="2"/>
      <c r="AC443" s="94" t="str">
        <f t="shared" si="178"/>
        <v/>
      </c>
      <c r="AD443" s="95" t="str">
        <f t="shared" si="179"/>
        <v/>
      </c>
      <c r="AE443" s="96" t="str">
        <f t="shared" si="180"/>
        <v/>
      </c>
      <c r="AF443" s="124" t="str">
        <f t="shared" si="181"/>
        <v/>
      </c>
      <c r="AG443" s="2"/>
      <c r="AH443" s="2"/>
      <c r="AI443" s="2"/>
      <c r="AJ443" s="2"/>
      <c r="AK443" s="2"/>
      <c r="AL443" s="2"/>
    </row>
    <row r="444" spans="1:38" x14ac:dyDescent="0.2">
      <c r="A444" s="45"/>
      <c r="B444" s="43" t="str">
        <f t="shared" si="184"/>
        <v/>
      </c>
      <c r="C444" s="96" t="str">
        <f t="shared" si="183"/>
        <v/>
      </c>
      <c r="D444" s="44" t="str">
        <f t="shared" si="185"/>
        <v/>
      </c>
      <c r="E444" s="52"/>
      <c r="F444" s="63" t="str">
        <f t="shared" si="186"/>
        <v/>
      </c>
      <c r="G444" s="56" t="str">
        <f t="shared" si="187"/>
        <v/>
      </c>
      <c r="H444" s="42"/>
      <c r="I444" s="2" t="str">
        <f t="shared" si="188"/>
        <v/>
      </c>
      <c r="J444" s="54" t="str">
        <f t="shared" si="175"/>
        <v/>
      </c>
      <c r="K444" s="55" t="str">
        <f t="shared" si="189"/>
        <v/>
      </c>
      <c r="L444" s="63" t="str">
        <f t="shared" si="190"/>
        <v/>
      </c>
      <c r="M444" s="96" t="str">
        <f t="shared" si="176"/>
        <v/>
      </c>
      <c r="N444" s="96" t="str">
        <f>IF(A444="","",IF(A444=Expiry,0,EXP(-q*Q444)*_xlfn.NORM.S.DIST(Y444,0)/(sigma*SQRT(Q444))*I444*Mult/100))</f>
        <v/>
      </c>
      <c r="O444" s="96" t="str">
        <f>IF(A444="","",IF(A444=Expiry,0,D444*E444*E444*EXP(-q*Q444)*_xlfn.NORM.S.DIST(Y444,0)*SQRT(Q444)/100))</f>
        <v/>
      </c>
      <c r="P444" s="69" t="str">
        <f>IF(A444="","",IF(A444=Expiry,0,AK444*I444*Mult*((-EXP(-q*Q444)*E444*_xlfn.NORM.S.DIST(Y444,0)*sigma/(2*SQRT(Q444))-r_dom*K*EXP(-r_dom*Q444)*_xlfn.NORM.S.DIST(Z444,1)+q*E444*EXP(-q*Q444)*_xlfn.NORM.S.DIST(Y444,1))/365)))</f>
        <v/>
      </c>
      <c r="Q444" s="83" t="str">
        <f t="shared" si="191"/>
        <v/>
      </c>
      <c r="R444" s="38"/>
      <c r="S444" s="68" t="str">
        <f t="shared" si="192"/>
        <v/>
      </c>
      <c r="T444" s="69" t="str">
        <f t="shared" si="193"/>
        <v/>
      </c>
      <c r="U444" s="70" t="str">
        <f t="shared" si="194"/>
        <v/>
      </c>
      <c r="V444" s="72" t="str">
        <f t="shared" si="195"/>
        <v/>
      </c>
      <c r="W444" s="2" t="str">
        <f t="shared" si="182"/>
        <v/>
      </c>
      <c r="X444" s="2" t="str">
        <f t="shared" si="177"/>
        <v/>
      </c>
      <c r="Y444" s="35" t="str">
        <f t="shared" ca="1" si="196"/>
        <v/>
      </c>
      <c r="Z444" s="36" t="str">
        <f t="shared" ca="1" si="197"/>
        <v/>
      </c>
      <c r="AA444" s="70" t="str">
        <f t="shared" si="198"/>
        <v/>
      </c>
      <c r="AB444" s="2"/>
      <c r="AC444" s="94" t="str">
        <f t="shared" si="178"/>
        <v/>
      </c>
      <c r="AD444" s="95" t="str">
        <f t="shared" si="179"/>
        <v/>
      </c>
      <c r="AE444" s="96" t="str">
        <f t="shared" si="180"/>
        <v/>
      </c>
      <c r="AF444" s="124" t="str">
        <f t="shared" si="181"/>
        <v/>
      </c>
      <c r="AG444" s="2"/>
      <c r="AH444" s="2"/>
      <c r="AI444" s="2"/>
      <c r="AJ444" s="2"/>
      <c r="AK444" s="2"/>
      <c r="AL444" s="2"/>
    </row>
    <row r="445" spans="1:38" x14ac:dyDescent="0.2">
      <c r="A445" s="45"/>
      <c r="B445" s="43" t="str">
        <f t="shared" si="184"/>
        <v/>
      </c>
      <c r="C445" s="96" t="str">
        <f t="shared" si="183"/>
        <v/>
      </c>
      <c r="D445" s="44" t="str">
        <f t="shared" si="185"/>
        <v/>
      </c>
      <c r="E445" s="52"/>
      <c r="F445" s="63" t="str">
        <f t="shared" si="186"/>
        <v/>
      </c>
      <c r="G445" s="56" t="str">
        <f t="shared" si="187"/>
        <v/>
      </c>
      <c r="H445" s="42"/>
      <c r="I445" s="2" t="str">
        <f t="shared" si="188"/>
        <v/>
      </c>
      <c r="J445" s="54" t="str">
        <f t="shared" si="175"/>
        <v/>
      </c>
      <c r="K445" s="55" t="str">
        <f t="shared" si="189"/>
        <v/>
      </c>
      <c r="L445" s="63" t="str">
        <f t="shared" si="190"/>
        <v/>
      </c>
      <c r="M445" s="96" t="str">
        <f t="shared" si="176"/>
        <v/>
      </c>
      <c r="N445" s="96" t="str">
        <f>IF(A445="","",IF(A445=Expiry,0,EXP(-q*Q445)*_xlfn.NORM.S.DIST(Y445,0)/(sigma*SQRT(Q445))*I445*Mult/100))</f>
        <v/>
      </c>
      <c r="O445" s="96" t="str">
        <f>IF(A445="","",IF(A445=Expiry,0,D445*E445*E445*EXP(-q*Q445)*_xlfn.NORM.S.DIST(Y445,0)*SQRT(Q445)/100))</f>
        <v/>
      </c>
      <c r="P445" s="69" t="str">
        <f>IF(A445="","",IF(A445=Expiry,0,AK445*I445*Mult*((-EXP(-q*Q445)*E445*_xlfn.NORM.S.DIST(Y445,0)*sigma/(2*SQRT(Q445))-r_dom*K*EXP(-r_dom*Q445)*_xlfn.NORM.S.DIST(Z445,1)+q*E445*EXP(-q*Q445)*_xlfn.NORM.S.DIST(Y445,1))/365)))</f>
        <v/>
      </c>
      <c r="Q445" s="83" t="str">
        <f t="shared" si="191"/>
        <v/>
      </c>
      <c r="R445" s="38"/>
      <c r="S445" s="68" t="str">
        <f t="shared" si="192"/>
        <v/>
      </c>
      <c r="T445" s="69" t="str">
        <f t="shared" si="193"/>
        <v/>
      </c>
      <c r="U445" s="70" t="str">
        <f t="shared" si="194"/>
        <v/>
      </c>
      <c r="V445" s="72" t="str">
        <f t="shared" si="195"/>
        <v/>
      </c>
      <c r="W445" s="2" t="str">
        <f t="shared" si="182"/>
        <v/>
      </c>
      <c r="X445" s="2" t="str">
        <f t="shared" si="177"/>
        <v/>
      </c>
      <c r="Y445" s="35" t="str">
        <f t="shared" ca="1" si="196"/>
        <v/>
      </c>
      <c r="Z445" s="36" t="str">
        <f t="shared" ca="1" si="197"/>
        <v/>
      </c>
      <c r="AA445" s="70" t="str">
        <f t="shared" si="198"/>
        <v/>
      </c>
      <c r="AB445" s="2"/>
      <c r="AC445" s="94" t="str">
        <f t="shared" si="178"/>
        <v/>
      </c>
      <c r="AD445" s="95" t="str">
        <f t="shared" si="179"/>
        <v/>
      </c>
      <c r="AE445" s="96" t="str">
        <f t="shared" si="180"/>
        <v/>
      </c>
      <c r="AF445" s="124" t="str">
        <f t="shared" si="181"/>
        <v/>
      </c>
      <c r="AG445" s="2"/>
      <c r="AH445" s="2"/>
      <c r="AI445" s="2"/>
      <c r="AJ445" s="2"/>
      <c r="AK445" s="2"/>
      <c r="AL445" s="2"/>
    </row>
    <row r="446" spans="1:38" x14ac:dyDescent="0.2">
      <c r="A446" s="45"/>
      <c r="B446" s="43" t="str">
        <f t="shared" si="184"/>
        <v/>
      </c>
      <c r="C446" s="96" t="str">
        <f t="shared" si="183"/>
        <v/>
      </c>
      <c r="D446" s="44" t="str">
        <f t="shared" si="185"/>
        <v/>
      </c>
      <c r="E446" s="52"/>
      <c r="F446" s="63" t="str">
        <f t="shared" si="186"/>
        <v/>
      </c>
      <c r="G446" s="56" t="str">
        <f t="shared" si="187"/>
        <v/>
      </c>
      <c r="H446" s="42"/>
      <c r="I446" s="2" t="str">
        <f t="shared" si="188"/>
        <v/>
      </c>
      <c r="J446" s="54" t="str">
        <f t="shared" si="175"/>
        <v/>
      </c>
      <c r="K446" s="55" t="str">
        <f t="shared" si="189"/>
        <v/>
      </c>
      <c r="L446" s="63" t="str">
        <f t="shared" si="190"/>
        <v/>
      </c>
      <c r="M446" s="96" t="str">
        <f t="shared" si="176"/>
        <v/>
      </c>
      <c r="N446" s="96" t="str">
        <f>IF(A446="","",IF(A446=Expiry,0,EXP(-q*Q446)*_xlfn.NORM.S.DIST(Y446,0)/(sigma*SQRT(Q446))*I446*Mult/100))</f>
        <v/>
      </c>
      <c r="O446" s="96" t="str">
        <f>IF(A446="","",IF(A446=Expiry,0,D446*E446*E446*EXP(-q*Q446)*_xlfn.NORM.S.DIST(Y446,0)*SQRT(Q446)/100))</f>
        <v/>
      </c>
      <c r="P446" s="69" t="str">
        <f>IF(A446="","",IF(A446=Expiry,0,AK446*I446*Mult*((-EXP(-q*Q446)*E446*_xlfn.NORM.S.DIST(Y446,0)*sigma/(2*SQRT(Q446))-r_dom*K*EXP(-r_dom*Q446)*_xlfn.NORM.S.DIST(Z446,1)+q*E446*EXP(-q*Q446)*_xlfn.NORM.S.DIST(Y446,1))/365)))</f>
        <v/>
      </c>
      <c r="Q446" s="83" t="str">
        <f t="shared" si="191"/>
        <v/>
      </c>
      <c r="R446" s="38"/>
      <c r="S446" s="68" t="str">
        <f t="shared" si="192"/>
        <v/>
      </c>
      <c r="T446" s="69" t="str">
        <f t="shared" si="193"/>
        <v/>
      </c>
      <c r="U446" s="70" t="str">
        <f t="shared" si="194"/>
        <v/>
      </c>
      <c r="V446" s="72" t="str">
        <f t="shared" si="195"/>
        <v/>
      </c>
      <c r="W446" s="2" t="str">
        <f t="shared" si="182"/>
        <v/>
      </c>
      <c r="X446" s="2" t="str">
        <f t="shared" si="177"/>
        <v/>
      </c>
      <c r="Y446" s="35" t="str">
        <f t="shared" ca="1" si="196"/>
        <v/>
      </c>
      <c r="Z446" s="36" t="str">
        <f t="shared" ca="1" si="197"/>
        <v/>
      </c>
      <c r="AA446" s="70" t="str">
        <f t="shared" si="198"/>
        <v/>
      </c>
      <c r="AB446" s="2"/>
      <c r="AC446" s="94" t="str">
        <f t="shared" si="178"/>
        <v/>
      </c>
      <c r="AD446" s="95" t="str">
        <f t="shared" si="179"/>
        <v/>
      </c>
      <c r="AE446" s="96" t="str">
        <f t="shared" si="180"/>
        <v/>
      </c>
      <c r="AF446" s="124" t="str">
        <f t="shared" si="181"/>
        <v/>
      </c>
      <c r="AG446" s="2"/>
      <c r="AH446" s="2"/>
      <c r="AI446" s="2"/>
      <c r="AJ446" s="2"/>
      <c r="AK446" s="2"/>
      <c r="AL446" s="2"/>
    </row>
    <row r="447" spans="1:38" x14ac:dyDescent="0.2">
      <c r="A447" s="45"/>
      <c r="B447" s="43" t="str">
        <f t="shared" si="184"/>
        <v/>
      </c>
      <c r="C447" s="96" t="str">
        <f t="shared" si="183"/>
        <v/>
      </c>
      <c r="D447" s="44" t="str">
        <f t="shared" si="185"/>
        <v/>
      </c>
      <c r="E447" s="52"/>
      <c r="F447" s="63" t="str">
        <f t="shared" si="186"/>
        <v/>
      </c>
      <c r="G447" s="56" t="str">
        <f t="shared" si="187"/>
        <v/>
      </c>
      <c r="H447" s="42"/>
      <c r="I447" s="2" t="str">
        <f t="shared" si="188"/>
        <v/>
      </c>
      <c r="J447" s="54" t="str">
        <f t="shared" si="175"/>
        <v/>
      </c>
      <c r="K447" s="55" t="str">
        <f t="shared" si="189"/>
        <v/>
      </c>
      <c r="L447" s="63" t="str">
        <f t="shared" si="190"/>
        <v/>
      </c>
      <c r="M447" s="96" t="str">
        <f t="shared" si="176"/>
        <v/>
      </c>
      <c r="N447" s="96" t="str">
        <f>IF(A447="","",IF(A447=Expiry,0,EXP(-q*Q447)*_xlfn.NORM.S.DIST(Y447,0)/(sigma*SQRT(Q447))*I447*Mult/100))</f>
        <v/>
      </c>
      <c r="O447" s="96" t="str">
        <f>IF(A447="","",IF(A447=Expiry,0,D447*E447*E447*EXP(-q*Q447)*_xlfn.NORM.S.DIST(Y447,0)*SQRT(Q447)/100))</f>
        <v/>
      </c>
      <c r="P447" s="69" t="str">
        <f>IF(A447="","",IF(A447=Expiry,0,AK447*I447*Mult*((-EXP(-q*Q447)*E447*_xlfn.NORM.S.DIST(Y447,0)*sigma/(2*SQRT(Q447))-r_dom*K*EXP(-r_dom*Q447)*_xlfn.NORM.S.DIST(Z447,1)+q*E447*EXP(-q*Q447)*_xlfn.NORM.S.DIST(Y447,1))/365)))</f>
        <v/>
      </c>
      <c r="Q447" s="83" t="str">
        <f t="shared" si="191"/>
        <v/>
      </c>
      <c r="R447" s="38"/>
      <c r="S447" s="68" t="str">
        <f t="shared" si="192"/>
        <v/>
      </c>
      <c r="T447" s="69" t="str">
        <f t="shared" si="193"/>
        <v/>
      </c>
      <c r="U447" s="70" t="str">
        <f t="shared" si="194"/>
        <v/>
      </c>
      <c r="V447" s="72" t="str">
        <f t="shared" si="195"/>
        <v/>
      </c>
      <c r="W447" s="2" t="str">
        <f t="shared" si="182"/>
        <v/>
      </c>
      <c r="X447" s="2" t="str">
        <f t="shared" si="177"/>
        <v/>
      </c>
      <c r="Y447" s="35" t="str">
        <f t="shared" ca="1" si="196"/>
        <v/>
      </c>
      <c r="Z447" s="36" t="str">
        <f t="shared" ca="1" si="197"/>
        <v/>
      </c>
      <c r="AA447" s="70" t="str">
        <f t="shared" si="198"/>
        <v/>
      </c>
      <c r="AB447" s="2"/>
      <c r="AC447" s="94" t="str">
        <f t="shared" si="178"/>
        <v/>
      </c>
      <c r="AD447" s="95" t="str">
        <f t="shared" si="179"/>
        <v/>
      </c>
      <c r="AE447" s="96" t="str">
        <f t="shared" si="180"/>
        <v/>
      </c>
      <c r="AF447" s="124" t="str">
        <f t="shared" si="181"/>
        <v/>
      </c>
      <c r="AG447" s="2"/>
      <c r="AH447" s="2"/>
      <c r="AI447" s="2"/>
      <c r="AJ447" s="2"/>
      <c r="AK447" s="2"/>
      <c r="AL447" s="2"/>
    </row>
    <row r="448" spans="1:38" x14ac:dyDescent="0.2">
      <c r="A448" s="45"/>
      <c r="B448" s="43" t="str">
        <f t="shared" si="184"/>
        <v/>
      </c>
      <c r="C448" s="96" t="str">
        <f t="shared" si="183"/>
        <v/>
      </c>
      <c r="D448" s="44" t="str">
        <f t="shared" si="185"/>
        <v/>
      </c>
      <c r="E448" s="52"/>
      <c r="F448" s="63" t="str">
        <f t="shared" si="186"/>
        <v/>
      </c>
      <c r="G448" s="56" t="str">
        <f t="shared" si="187"/>
        <v/>
      </c>
      <c r="H448" s="42"/>
      <c r="I448" s="2" t="str">
        <f t="shared" si="188"/>
        <v/>
      </c>
      <c r="J448" s="54" t="str">
        <f t="shared" si="175"/>
        <v/>
      </c>
      <c r="K448" s="55" t="str">
        <f t="shared" si="189"/>
        <v/>
      </c>
      <c r="L448" s="63" t="str">
        <f t="shared" si="190"/>
        <v/>
      </c>
      <c r="M448" s="96" t="str">
        <f t="shared" si="176"/>
        <v/>
      </c>
      <c r="N448" s="96" t="str">
        <f>IF(A448="","",IF(A448=Expiry,0,EXP(-q*Q448)*_xlfn.NORM.S.DIST(Y448,0)/(sigma*SQRT(Q448))*I448*Mult/100))</f>
        <v/>
      </c>
      <c r="O448" s="96" t="str">
        <f>IF(A448="","",IF(A448=Expiry,0,D448*E448*E448*EXP(-q*Q448)*_xlfn.NORM.S.DIST(Y448,0)*SQRT(Q448)/100))</f>
        <v/>
      </c>
      <c r="P448" s="69" t="str">
        <f>IF(A448="","",IF(A448=Expiry,0,AK448*I448*Mult*((-EXP(-q*Q448)*E448*_xlfn.NORM.S.DIST(Y448,0)*sigma/(2*SQRT(Q448))-r_dom*K*EXP(-r_dom*Q448)*_xlfn.NORM.S.DIST(Z448,1)+q*E448*EXP(-q*Q448)*_xlfn.NORM.S.DIST(Y448,1))/365)))</f>
        <v/>
      </c>
      <c r="Q448" s="83" t="str">
        <f t="shared" si="191"/>
        <v/>
      </c>
      <c r="R448" s="38"/>
      <c r="S448" s="68" t="str">
        <f t="shared" si="192"/>
        <v/>
      </c>
      <c r="T448" s="69" t="str">
        <f t="shared" si="193"/>
        <v/>
      </c>
      <c r="U448" s="70" t="str">
        <f t="shared" si="194"/>
        <v/>
      </c>
      <c r="V448" s="72" t="str">
        <f t="shared" si="195"/>
        <v/>
      </c>
      <c r="W448" s="2" t="str">
        <f t="shared" si="182"/>
        <v/>
      </c>
      <c r="X448" s="2" t="str">
        <f t="shared" si="177"/>
        <v/>
      </c>
      <c r="Y448" s="35" t="str">
        <f t="shared" ca="1" si="196"/>
        <v/>
      </c>
      <c r="Z448" s="36" t="str">
        <f t="shared" ca="1" si="197"/>
        <v/>
      </c>
      <c r="AA448" s="70" t="str">
        <f t="shared" si="198"/>
        <v/>
      </c>
      <c r="AB448" s="2"/>
      <c r="AC448" s="94" t="str">
        <f t="shared" si="178"/>
        <v/>
      </c>
      <c r="AD448" s="95" t="str">
        <f t="shared" si="179"/>
        <v/>
      </c>
      <c r="AE448" s="96" t="str">
        <f t="shared" si="180"/>
        <v/>
      </c>
      <c r="AF448" s="124" t="str">
        <f t="shared" si="181"/>
        <v/>
      </c>
      <c r="AG448" s="2"/>
      <c r="AH448" s="2"/>
      <c r="AI448" s="2"/>
      <c r="AJ448" s="2"/>
      <c r="AK448" s="2"/>
      <c r="AL448" s="2"/>
    </row>
    <row r="449" spans="1:38" x14ac:dyDescent="0.2">
      <c r="A449" s="45"/>
      <c r="B449" s="43" t="str">
        <f t="shared" si="184"/>
        <v/>
      </c>
      <c r="C449" s="96" t="str">
        <f t="shared" si="183"/>
        <v/>
      </c>
      <c r="D449" s="44" t="str">
        <f t="shared" si="185"/>
        <v/>
      </c>
      <c r="E449" s="52"/>
      <c r="F449" s="63" t="str">
        <f t="shared" si="186"/>
        <v/>
      </c>
      <c r="G449" s="56" t="str">
        <f t="shared" si="187"/>
        <v/>
      </c>
      <c r="H449" s="42"/>
      <c r="I449" s="2" t="str">
        <f t="shared" si="188"/>
        <v/>
      </c>
      <c r="J449" s="54" t="str">
        <f t="shared" si="175"/>
        <v/>
      </c>
      <c r="K449" s="55" t="str">
        <f t="shared" si="189"/>
        <v/>
      </c>
      <c r="L449" s="63" t="str">
        <f t="shared" si="190"/>
        <v/>
      </c>
      <c r="M449" s="96" t="str">
        <f t="shared" si="176"/>
        <v/>
      </c>
      <c r="N449" s="96" t="str">
        <f>IF(A449="","",IF(A449=Expiry,0,EXP(-q*Q449)*_xlfn.NORM.S.DIST(Y449,0)/(sigma*SQRT(Q449))*I449*Mult/100))</f>
        <v/>
      </c>
      <c r="O449" s="96" t="str">
        <f>IF(A449="","",IF(A449=Expiry,0,D449*E449*E449*EXP(-q*Q449)*_xlfn.NORM.S.DIST(Y449,0)*SQRT(Q449)/100))</f>
        <v/>
      </c>
      <c r="P449" s="69" t="str">
        <f>IF(A449="","",IF(A449=Expiry,0,AK449*I449*Mult*((-EXP(-q*Q449)*E449*_xlfn.NORM.S.DIST(Y449,0)*sigma/(2*SQRT(Q449))-r_dom*K*EXP(-r_dom*Q449)*_xlfn.NORM.S.DIST(Z449,1)+q*E449*EXP(-q*Q449)*_xlfn.NORM.S.DIST(Y449,1))/365)))</f>
        <v/>
      </c>
      <c r="Q449" s="83" t="str">
        <f t="shared" si="191"/>
        <v/>
      </c>
      <c r="R449" s="38"/>
      <c r="S449" s="68" t="str">
        <f t="shared" si="192"/>
        <v/>
      </c>
      <c r="T449" s="69" t="str">
        <f t="shared" si="193"/>
        <v/>
      </c>
      <c r="U449" s="70" t="str">
        <f t="shared" si="194"/>
        <v/>
      </c>
      <c r="V449" s="72" t="str">
        <f t="shared" si="195"/>
        <v/>
      </c>
      <c r="W449" s="2" t="str">
        <f t="shared" si="182"/>
        <v/>
      </c>
      <c r="X449" s="2" t="str">
        <f t="shared" si="177"/>
        <v/>
      </c>
      <c r="Y449" s="35" t="str">
        <f t="shared" ca="1" si="196"/>
        <v/>
      </c>
      <c r="Z449" s="36" t="str">
        <f t="shared" ca="1" si="197"/>
        <v/>
      </c>
      <c r="AA449" s="70" t="str">
        <f t="shared" si="198"/>
        <v/>
      </c>
      <c r="AB449" s="2"/>
      <c r="AC449" s="94" t="str">
        <f t="shared" si="178"/>
        <v/>
      </c>
      <c r="AD449" s="95" t="str">
        <f t="shared" si="179"/>
        <v/>
      </c>
      <c r="AE449" s="96" t="str">
        <f t="shared" si="180"/>
        <v/>
      </c>
      <c r="AF449" s="124" t="str">
        <f t="shared" si="181"/>
        <v/>
      </c>
      <c r="AG449" s="2"/>
      <c r="AH449" s="2"/>
      <c r="AI449" s="2"/>
      <c r="AJ449" s="2"/>
      <c r="AK449" s="2"/>
      <c r="AL449" s="2"/>
    </row>
    <row r="450" spans="1:38" x14ac:dyDescent="0.2">
      <c r="A450" s="45"/>
      <c r="B450" s="43" t="str">
        <f t="shared" si="184"/>
        <v/>
      </c>
      <c r="C450" s="96" t="str">
        <f t="shared" si="183"/>
        <v/>
      </c>
      <c r="D450" s="44" t="str">
        <f t="shared" si="185"/>
        <v/>
      </c>
      <c r="E450" s="52"/>
      <c r="F450" s="63" t="str">
        <f t="shared" si="186"/>
        <v/>
      </c>
      <c r="G450" s="56" t="str">
        <f t="shared" si="187"/>
        <v/>
      </c>
      <c r="H450" s="42"/>
      <c r="I450" s="2" t="str">
        <f t="shared" si="188"/>
        <v/>
      </c>
      <c r="J450" s="54" t="str">
        <f t="shared" si="175"/>
        <v/>
      </c>
      <c r="K450" s="55" t="str">
        <f t="shared" si="189"/>
        <v/>
      </c>
      <c r="L450" s="63" t="str">
        <f t="shared" si="190"/>
        <v/>
      </c>
      <c r="M450" s="96" t="str">
        <f t="shared" si="176"/>
        <v/>
      </c>
      <c r="N450" s="96" t="str">
        <f>IF(A450="","",IF(A450=Expiry,0,EXP(-q*Q450)*_xlfn.NORM.S.DIST(Y450,0)/(sigma*SQRT(Q450))*I450*Mult/100))</f>
        <v/>
      </c>
      <c r="O450" s="96" t="str">
        <f>IF(A450="","",IF(A450=Expiry,0,D450*E450*E450*EXP(-q*Q450)*_xlfn.NORM.S.DIST(Y450,0)*SQRT(Q450)/100))</f>
        <v/>
      </c>
      <c r="P450" s="69" t="str">
        <f>IF(A450="","",IF(A450=Expiry,0,AK450*I450*Mult*((-EXP(-q*Q450)*E450*_xlfn.NORM.S.DIST(Y450,0)*sigma/(2*SQRT(Q450))-r_dom*K*EXP(-r_dom*Q450)*_xlfn.NORM.S.DIST(Z450,1)+q*E450*EXP(-q*Q450)*_xlfn.NORM.S.DIST(Y450,1))/365)))</f>
        <v/>
      </c>
      <c r="Q450" s="83" t="str">
        <f t="shared" si="191"/>
        <v/>
      </c>
      <c r="R450" s="38"/>
      <c r="S450" s="68" t="str">
        <f t="shared" si="192"/>
        <v/>
      </c>
      <c r="T450" s="69" t="str">
        <f t="shared" si="193"/>
        <v/>
      </c>
      <c r="U450" s="70" t="str">
        <f t="shared" si="194"/>
        <v/>
      </c>
      <c r="V450" s="72" t="str">
        <f t="shared" si="195"/>
        <v/>
      </c>
      <c r="W450" s="2" t="str">
        <f t="shared" si="182"/>
        <v/>
      </c>
      <c r="X450" s="2" t="str">
        <f t="shared" si="177"/>
        <v/>
      </c>
      <c r="Y450" s="35" t="str">
        <f t="shared" ca="1" si="196"/>
        <v/>
      </c>
      <c r="Z450" s="36" t="str">
        <f t="shared" ca="1" si="197"/>
        <v/>
      </c>
      <c r="AA450" s="70" t="str">
        <f t="shared" si="198"/>
        <v/>
      </c>
      <c r="AB450" s="2"/>
      <c r="AC450" s="94" t="str">
        <f t="shared" si="178"/>
        <v/>
      </c>
      <c r="AD450" s="95" t="str">
        <f t="shared" si="179"/>
        <v/>
      </c>
      <c r="AE450" s="96" t="str">
        <f t="shared" si="180"/>
        <v/>
      </c>
      <c r="AF450" s="124" t="str">
        <f t="shared" si="181"/>
        <v/>
      </c>
      <c r="AG450" s="2"/>
      <c r="AH450" s="2"/>
      <c r="AI450" s="2"/>
      <c r="AJ450" s="2"/>
      <c r="AK450" s="2"/>
      <c r="AL450" s="2"/>
    </row>
    <row r="451" spans="1:38" x14ac:dyDescent="0.2">
      <c r="A451" s="45"/>
      <c r="B451" s="43" t="str">
        <f t="shared" si="184"/>
        <v/>
      </c>
      <c r="C451" s="96" t="str">
        <f t="shared" si="183"/>
        <v/>
      </c>
      <c r="D451" s="44" t="str">
        <f t="shared" si="185"/>
        <v/>
      </c>
      <c r="E451" s="52"/>
      <c r="F451" s="63" t="str">
        <f t="shared" si="186"/>
        <v/>
      </c>
      <c r="G451" s="56" t="str">
        <f t="shared" si="187"/>
        <v/>
      </c>
      <c r="H451" s="42"/>
      <c r="I451" s="2" t="str">
        <f t="shared" si="188"/>
        <v/>
      </c>
      <c r="J451" s="54" t="str">
        <f t="shared" si="175"/>
        <v/>
      </c>
      <c r="K451" s="55" t="str">
        <f t="shared" si="189"/>
        <v/>
      </c>
      <c r="L451" s="63" t="str">
        <f t="shared" si="190"/>
        <v/>
      </c>
      <c r="M451" s="96" t="str">
        <f t="shared" si="176"/>
        <v/>
      </c>
      <c r="N451" s="96" t="str">
        <f>IF(A451="","",IF(A451=Expiry,0,EXP(-q*Q451)*_xlfn.NORM.S.DIST(Y451,0)/(sigma*SQRT(Q451))*I451*Mult/100))</f>
        <v/>
      </c>
      <c r="O451" s="96" t="str">
        <f>IF(A451="","",IF(A451=Expiry,0,D451*E451*E451*EXP(-q*Q451)*_xlfn.NORM.S.DIST(Y451,0)*SQRT(Q451)/100))</f>
        <v/>
      </c>
      <c r="P451" s="69" t="str">
        <f>IF(A451="","",IF(A451=Expiry,0,AK451*I451*Mult*((-EXP(-q*Q451)*E451*_xlfn.NORM.S.DIST(Y451,0)*sigma/(2*SQRT(Q451))-r_dom*K*EXP(-r_dom*Q451)*_xlfn.NORM.S.DIST(Z451,1)+q*E451*EXP(-q*Q451)*_xlfn.NORM.S.DIST(Y451,1))/365)))</f>
        <v/>
      </c>
      <c r="Q451" s="83" t="str">
        <f t="shared" si="191"/>
        <v/>
      </c>
      <c r="R451" s="38"/>
      <c r="S451" s="68" t="str">
        <f t="shared" si="192"/>
        <v/>
      </c>
      <c r="T451" s="69" t="str">
        <f t="shared" si="193"/>
        <v/>
      </c>
      <c r="U451" s="70" t="str">
        <f t="shared" si="194"/>
        <v/>
      </c>
      <c r="V451" s="72" t="str">
        <f t="shared" si="195"/>
        <v/>
      </c>
      <c r="W451" s="2" t="str">
        <f t="shared" si="182"/>
        <v/>
      </c>
      <c r="X451" s="2" t="str">
        <f t="shared" si="177"/>
        <v/>
      </c>
      <c r="Y451" s="35" t="str">
        <f t="shared" ca="1" si="196"/>
        <v/>
      </c>
      <c r="Z451" s="36" t="str">
        <f t="shared" ca="1" si="197"/>
        <v/>
      </c>
      <c r="AA451" s="70" t="str">
        <f t="shared" si="198"/>
        <v/>
      </c>
      <c r="AB451" s="2"/>
      <c r="AC451" s="94" t="str">
        <f t="shared" si="178"/>
        <v/>
      </c>
      <c r="AD451" s="95" t="str">
        <f t="shared" si="179"/>
        <v/>
      </c>
      <c r="AE451" s="96" t="str">
        <f t="shared" si="180"/>
        <v/>
      </c>
      <c r="AF451" s="124" t="str">
        <f t="shared" si="181"/>
        <v/>
      </c>
      <c r="AG451" s="2"/>
      <c r="AH451" s="2"/>
      <c r="AI451" s="2"/>
      <c r="AJ451" s="2"/>
      <c r="AK451" s="2"/>
      <c r="AL451" s="2"/>
    </row>
    <row r="452" spans="1:38" x14ac:dyDescent="0.2">
      <c r="A452" s="45"/>
      <c r="B452" s="43" t="str">
        <f t="shared" si="184"/>
        <v/>
      </c>
      <c r="C452" s="96" t="str">
        <f t="shared" si="183"/>
        <v/>
      </c>
      <c r="D452" s="44" t="str">
        <f t="shared" si="185"/>
        <v/>
      </c>
      <c r="E452" s="52"/>
      <c r="F452" s="63" t="str">
        <f t="shared" si="186"/>
        <v/>
      </c>
      <c r="G452" s="56" t="str">
        <f t="shared" si="187"/>
        <v/>
      </c>
      <c r="H452" s="42"/>
      <c r="I452" s="2" t="str">
        <f t="shared" si="188"/>
        <v/>
      </c>
      <c r="J452" s="54" t="str">
        <f t="shared" si="175"/>
        <v/>
      </c>
      <c r="K452" s="55" t="str">
        <f t="shared" si="189"/>
        <v/>
      </c>
      <c r="L452" s="63" t="str">
        <f t="shared" si="190"/>
        <v/>
      </c>
      <c r="M452" s="96" t="str">
        <f t="shared" si="176"/>
        <v/>
      </c>
      <c r="N452" s="96" t="str">
        <f>IF(A452="","",IF(A452=Expiry,0,EXP(-q*Q452)*_xlfn.NORM.S.DIST(Y452,0)/(sigma*SQRT(Q452))*I452*Mult/100))</f>
        <v/>
      </c>
      <c r="O452" s="96" t="str">
        <f>IF(A452="","",IF(A452=Expiry,0,D452*E452*E452*EXP(-q*Q452)*_xlfn.NORM.S.DIST(Y452,0)*SQRT(Q452)/100))</f>
        <v/>
      </c>
      <c r="P452" s="69" t="str">
        <f>IF(A452="","",IF(A452=Expiry,0,AK452*I452*Mult*((-EXP(-q*Q452)*E452*_xlfn.NORM.S.DIST(Y452,0)*sigma/(2*SQRT(Q452))-r_dom*K*EXP(-r_dom*Q452)*_xlfn.NORM.S.DIST(Z452,1)+q*E452*EXP(-q*Q452)*_xlfn.NORM.S.DIST(Y452,1))/365)))</f>
        <v/>
      </c>
      <c r="Q452" s="83" t="str">
        <f t="shared" si="191"/>
        <v/>
      </c>
      <c r="R452" s="38"/>
      <c r="S452" s="68" t="str">
        <f t="shared" si="192"/>
        <v/>
      </c>
      <c r="T452" s="69" t="str">
        <f t="shared" si="193"/>
        <v/>
      </c>
      <c r="U452" s="70" t="str">
        <f t="shared" si="194"/>
        <v/>
      </c>
      <c r="V452" s="72" t="str">
        <f t="shared" si="195"/>
        <v/>
      </c>
      <c r="W452" s="2" t="str">
        <f t="shared" si="182"/>
        <v/>
      </c>
      <c r="X452" s="2" t="str">
        <f t="shared" si="177"/>
        <v/>
      </c>
      <c r="Y452" s="35" t="str">
        <f t="shared" ca="1" si="196"/>
        <v/>
      </c>
      <c r="Z452" s="36" t="str">
        <f t="shared" ca="1" si="197"/>
        <v/>
      </c>
      <c r="AA452" s="70" t="str">
        <f t="shared" si="198"/>
        <v/>
      </c>
      <c r="AB452" s="2"/>
      <c r="AC452" s="94" t="str">
        <f t="shared" si="178"/>
        <v/>
      </c>
      <c r="AD452" s="95" t="str">
        <f t="shared" si="179"/>
        <v/>
      </c>
      <c r="AE452" s="96" t="str">
        <f t="shared" si="180"/>
        <v/>
      </c>
      <c r="AF452" s="124" t="str">
        <f t="shared" si="181"/>
        <v/>
      </c>
      <c r="AG452" s="2"/>
      <c r="AH452" s="2"/>
      <c r="AI452" s="2"/>
      <c r="AJ452" s="2"/>
      <c r="AK452" s="2"/>
      <c r="AL452" s="2"/>
    </row>
    <row r="453" spans="1:38" x14ac:dyDescent="0.2">
      <c r="A453" s="45"/>
      <c r="B453" s="43" t="str">
        <f t="shared" si="184"/>
        <v/>
      </c>
      <c r="C453" s="96" t="str">
        <f t="shared" si="183"/>
        <v/>
      </c>
      <c r="D453" s="44" t="str">
        <f t="shared" si="185"/>
        <v/>
      </c>
      <c r="E453" s="52"/>
      <c r="F453" s="63" t="str">
        <f t="shared" si="186"/>
        <v/>
      </c>
      <c r="G453" s="56" t="str">
        <f t="shared" si="187"/>
        <v/>
      </c>
      <c r="H453" s="42"/>
      <c r="I453" s="2" t="str">
        <f t="shared" si="188"/>
        <v/>
      </c>
      <c r="J453" s="54" t="str">
        <f t="shared" si="175"/>
        <v/>
      </c>
      <c r="K453" s="55" t="str">
        <f t="shared" si="189"/>
        <v/>
      </c>
      <c r="L453" s="63" t="str">
        <f t="shared" si="190"/>
        <v/>
      </c>
      <c r="M453" s="96" t="str">
        <f t="shared" si="176"/>
        <v/>
      </c>
      <c r="N453" s="96" t="str">
        <f>IF(A453="","",IF(A453=Expiry,0,EXP(-q*Q453)*_xlfn.NORM.S.DIST(Y453,0)/(sigma*SQRT(Q453))*I453*Mult/100))</f>
        <v/>
      </c>
      <c r="O453" s="96" t="str">
        <f>IF(A453="","",IF(A453=Expiry,0,D453*E453*E453*EXP(-q*Q453)*_xlfn.NORM.S.DIST(Y453,0)*SQRT(Q453)/100))</f>
        <v/>
      </c>
      <c r="P453" s="69" t="str">
        <f>IF(A453="","",IF(A453=Expiry,0,AK453*I453*Mult*((-EXP(-q*Q453)*E453*_xlfn.NORM.S.DIST(Y453,0)*sigma/(2*SQRT(Q453))-r_dom*K*EXP(-r_dom*Q453)*_xlfn.NORM.S.DIST(Z453,1)+q*E453*EXP(-q*Q453)*_xlfn.NORM.S.DIST(Y453,1))/365)))</f>
        <v/>
      </c>
      <c r="Q453" s="83" t="str">
        <f t="shared" si="191"/>
        <v/>
      </c>
      <c r="R453" s="38"/>
      <c r="S453" s="68" t="str">
        <f t="shared" si="192"/>
        <v/>
      </c>
      <c r="T453" s="69" t="str">
        <f t="shared" si="193"/>
        <v/>
      </c>
      <c r="U453" s="70" t="str">
        <f t="shared" si="194"/>
        <v/>
      </c>
      <c r="V453" s="72" t="str">
        <f t="shared" si="195"/>
        <v/>
      </c>
      <c r="W453" s="2" t="str">
        <f t="shared" si="182"/>
        <v/>
      </c>
      <c r="X453" s="2" t="str">
        <f t="shared" si="177"/>
        <v/>
      </c>
      <c r="Y453" s="35" t="str">
        <f t="shared" ca="1" si="196"/>
        <v/>
      </c>
      <c r="Z453" s="36" t="str">
        <f t="shared" ca="1" si="197"/>
        <v/>
      </c>
      <c r="AA453" s="70" t="str">
        <f t="shared" si="198"/>
        <v/>
      </c>
      <c r="AB453" s="2"/>
      <c r="AC453" s="94" t="str">
        <f t="shared" si="178"/>
        <v/>
      </c>
      <c r="AD453" s="95" t="str">
        <f t="shared" si="179"/>
        <v/>
      </c>
      <c r="AE453" s="96" t="str">
        <f t="shared" si="180"/>
        <v/>
      </c>
      <c r="AF453" s="124" t="str">
        <f t="shared" si="181"/>
        <v/>
      </c>
      <c r="AG453" s="2"/>
      <c r="AH453" s="2"/>
      <c r="AI453" s="2"/>
      <c r="AJ453" s="2"/>
      <c r="AK453" s="2"/>
      <c r="AL453" s="2"/>
    </row>
    <row r="454" spans="1:38" x14ac:dyDescent="0.2">
      <c r="A454" s="45"/>
      <c r="B454" s="43" t="str">
        <f t="shared" si="184"/>
        <v/>
      </c>
      <c r="C454" s="96" t="str">
        <f t="shared" si="183"/>
        <v/>
      </c>
      <c r="D454" s="44" t="str">
        <f t="shared" si="185"/>
        <v/>
      </c>
      <c r="E454" s="52"/>
      <c r="F454" s="63" t="str">
        <f t="shared" si="186"/>
        <v/>
      </c>
      <c r="G454" s="56" t="str">
        <f t="shared" si="187"/>
        <v/>
      </c>
      <c r="H454" s="42"/>
      <c r="I454" s="2" t="str">
        <f t="shared" si="188"/>
        <v/>
      </c>
      <c r="J454" s="54" t="str">
        <f t="shared" si="175"/>
        <v/>
      </c>
      <c r="K454" s="55" t="str">
        <f t="shared" si="189"/>
        <v/>
      </c>
      <c r="L454" s="63" t="str">
        <f t="shared" si="190"/>
        <v/>
      </c>
      <c r="M454" s="96" t="str">
        <f t="shared" si="176"/>
        <v/>
      </c>
      <c r="N454" s="96" t="str">
        <f>IF(A454="","",IF(A454=Expiry,0,EXP(-q*Q454)*_xlfn.NORM.S.DIST(Y454,0)/(sigma*SQRT(Q454))*I454*Mult/100))</f>
        <v/>
      </c>
      <c r="O454" s="96" t="str">
        <f>IF(A454="","",IF(A454=Expiry,0,D454*E454*E454*EXP(-q*Q454)*_xlfn.NORM.S.DIST(Y454,0)*SQRT(Q454)/100))</f>
        <v/>
      </c>
      <c r="P454" s="69" t="str">
        <f>IF(A454="","",IF(A454=Expiry,0,AK454*I454*Mult*((-EXP(-q*Q454)*E454*_xlfn.NORM.S.DIST(Y454,0)*sigma/(2*SQRT(Q454))-r_dom*K*EXP(-r_dom*Q454)*_xlfn.NORM.S.DIST(Z454,1)+q*E454*EXP(-q*Q454)*_xlfn.NORM.S.DIST(Y454,1))/365)))</f>
        <v/>
      </c>
      <c r="Q454" s="83" t="str">
        <f t="shared" si="191"/>
        <v/>
      </c>
      <c r="R454" s="38"/>
      <c r="S454" s="68" t="str">
        <f t="shared" si="192"/>
        <v/>
      </c>
      <c r="T454" s="69" t="str">
        <f t="shared" si="193"/>
        <v/>
      </c>
      <c r="U454" s="70" t="str">
        <f t="shared" si="194"/>
        <v/>
      </c>
      <c r="V454" s="72" t="str">
        <f t="shared" si="195"/>
        <v/>
      </c>
      <c r="W454" s="2" t="str">
        <f t="shared" si="182"/>
        <v/>
      </c>
      <c r="X454" s="2" t="str">
        <f t="shared" si="177"/>
        <v/>
      </c>
      <c r="Y454" s="35" t="str">
        <f t="shared" ca="1" si="196"/>
        <v/>
      </c>
      <c r="Z454" s="36" t="str">
        <f t="shared" ca="1" si="197"/>
        <v/>
      </c>
      <c r="AA454" s="70" t="str">
        <f t="shared" si="198"/>
        <v/>
      </c>
      <c r="AB454" s="2"/>
      <c r="AC454" s="94" t="str">
        <f t="shared" si="178"/>
        <v/>
      </c>
      <c r="AD454" s="95" t="str">
        <f t="shared" si="179"/>
        <v/>
      </c>
      <c r="AE454" s="96" t="str">
        <f t="shared" si="180"/>
        <v/>
      </c>
      <c r="AF454" s="124" t="str">
        <f t="shared" si="181"/>
        <v/>
      </c>
      <c r="AG454" s="2"/>
      <c r="AH454" s="2"/>
      <c r="AI454" s="2"/>
      <c r="AJ454" s="2"/>
      <c r="AK454" s="2"/>
      <c r="AL454" s="2"/>
    </row>
    <row r="455" spans="1:38" x14ac:dyDescent="0.2">
      <c r="A455" s="45"/>
      <c r="B455" s="43" t="str">
        <f t="shared" si="184"/>
        <v/>
      </c>
      <c r="C455" s="96" t="str">
        <f t="shared" si="183"/>
        <v/>
      </c>
      <c r="D455" s="44" t="str">
        <f t="shared" si="185"/>
        <v/>
      </c>
      <c r="E455" s="52"/>
      <c r="F455" s="63" t="str">
        <f t="shared" si="186"/>
        <v/>
      </c>
      <c r="G455" s="56" t="str">
        <f t="shared" si="187"/>
        <v/>
      </c>
      <c r="H455" s="42"/>
      <c r="I455" s="2" t="str">
        <f t="shared" si="188"/>
        <v/>
      </c>
      <c r="J455" s="54" t="str">
        <f t="shared" si="175"/>
        <v/>
      </c>
      <c r="K455" s="55" t="str">
        <f t="shared" si="189"/>
        <v/>
      </c>
      <c r="L455" s="63" t="str">
        <f t="shared" si="190"/>
        <v/>
      </c>
      <c r="M455" s="96" t="str">
        <f t="shared" si="176"/>
        <v/>
      </c>
      <c r="N455" s="96" t="str">
        <f>IF(A455="","",IF(A455=Expiry,0,EXP(-q*Q455)*_xlfn.NORM.S.DIST(Y455,0)/(sigma*SQRT(Q455))*I455*Mult/100))</f>
        <v/>
      </c>
      <c r="O455" s="96" t="str">
        <f>IF(A455="","",IF(A455=Expiry,0,D455*E455*E455*EXP(-q*Q455)*_xlfn.NORM.S.DIST(Y455,0)*SQRT(Q455)/100))</f>
        <v/>
      </c>
      <c r="P455" s="69" t="str">
        <f>IF(A455="","",IF(A455=Expiry,0,AK455*I455*Mult*((-EXP(-q*Q455)*E455*_xlfn.NORM.S.DIST(Y455,0)*sigma/(2*SQRT(Q455))-r_dom*K*EXP(-r_dom*Q455)*_xlfn.NORM.S.DIST(Z455,1)+q*E455*EXP(-q*Q455)*_xlfn.NORM.S.DIST(Y455,1))/365)))</f>
        <v/>
      </c>
      <c r="Q455" s="83" t="str">
        <f t="shared" si="191"/>
        <v/>
      </c>
      <c r="R455" s="38"/>
      <c r="S455" s="68" t="str">
        <f t="shared" si="192"/>
        <v/>
      </c>
      <c r="T455" s="69" t="str">
        <f t="shared" si="193"/>
        <v/>
      </c>
      <c r="U455" s="70" t="str">
        <f t="shared" si="194"/>
        <v/>
      </c>
      <c r="V455" s="72" t="str">
        <f t="shared" si="195"/>
        <v/>
      </c>
      <c r="W455" s="2" t="str">
        <f t="shared" si="182"/>
        <v/>
      </c>
      <c r="X455" s="2" t="str">
        <f t="shared" si="177"/>
        <v/>
      </c>
      <c r="Y455" s="35" t="str">
        <f t="shared" ca="1" si="196"/>
        <v/>
      </c>
      <c r="Z455" s="36" t="str">
        <f t="shared" ca="1" si="197"/>
        <v/>
      </c>
      <c r="AA455" s="70" t="str">
        <f t="shared" si="198"/>
        <v/>
      </c>
      <c r="AB455" s="2"/>
      <c r="AC455" s="94" t="str">
        <f t="shared" si="178"/>
        <v/>
      </c>
      <c r="AD455" s="95" t="str">
        <f t="shared" si="179"/>
        <v/>
      </c>
      <c r="AE455" s="96" t="str">
        <f t="shared" si="180"/>
        <v/>
      </c>
      <c r="AF455" s="124" t="str">
        <f t="shared" si="181"/>
        <v/>
      </c>
      <c r="AG455" s="2"/>
      <c r="AH455" s="2"/>
      <c r="AI455" s="2"/>
      <c r="AJ455" s="2"/>
      <c r="AK455" s="2"/>
      <c r="AL455" s="2"/>
    </row>
    <row r="456" spans="1:38" x14ac:dyDescent="0.2">
      <c r="A456" s="45"/>
      <c r="B456" s="43" t="str">
        <f t="shared" si="184"/>
        <v/>
      </c>
      <c r="C456" s="96" t="str">
        <f t="shared" si="183"/>
        <v/>
      </c>
      <c r="D456" s="44" t="str">
        <f t="shared" si="185"/>
        <v/>
      </c>
      <c r="E456" s="52"/>
      <c r="F456" s="63" t="str">
        <f t="shared" si="186"/>
        <v/>
      </c>
      <c r="G456" s="56" t="str">
        <f t="shared" si="187"/>
        <v/>
      </c>
      <c r="H456" s="42"/>
      <c r="I456" s="2" t="str">
        <f t="shared" si="188"/>
        <v/>
      </c>
      <c r="J456" s="54" t="str">
        <f t="shared" si="175"/>
        <v/>
      </c>
      <c r="K456" s="55" t="str">
        <f t="shared" si="189"/>
        <v/>
      </c>
      <c r="L456" s="63" t="str">
        <f t="shared" si="190"/>
        <v/>
      </c>
      <c r="M456" s="96" t="str">
        <f t="shared" si="176"/>
        <v/>
      </c>
      <c r="N456" s="96" t="str">
        <f>IF(A456="","",IF(A456=Expiry,0,EXP(-q*Q456)*_xlfn.NORM.S.DIST(Y456,0)/(sigma*SQRT(Q456))*I456*Mult/100))</f>
        <v/>
      </c>
      <c r="O456" s="96" t="str">
        <f>IF(A456="","",IF(A456=Expiry,0,D456*E456*E456*EXP(-q*Q456)*_xlfn.NORM.S.DIST(Y456,0)*SQRT(Q456)/100))</f>
        <v/>
      </c>
      <c r="P456" s="69" t="str">
        <f>IF(A456="","",IF(A456=Expiry,0,AK456*I456*Mult*((-EXP(-q*Q456)*E456*_xlfn.NORM.S.DIST(Y456,0)*sigma/(2*SQRT(Q456))-r_dom*K*EXP(-r_dom*Q456)*_xlfn.NORM.S.DIST(Z456,1)+q*E456*EXP(-q*Q456)*_xlfn.NORM.S.DIST(Y456,1))/365)))</f>
        <v/>
      </c>
      <c r="Q456" s="83" t="str">
        <f t="shared" si="191"/>
        <v/>
      </c>
      <c r="R456" s="38"/>
      <c r="S456" s="68" t="str">
        <f t="shared" si="192"/>
        <v/>
      </c>
      <c r="T456" s="69" t="str">
        <f t="shared" si="193"/>
        <v/>
      </c>
      <c r="U456" s="70" t="str">
        <f t="shared" si="194"/>
        <v/>
      </c>
      <c r="V456" s="72" t="str">
        <f t="shared" si="195"/>
        <v/>
      </c>
      <c r="W456" s="2" t="str">
        <f t="shared" si="182"/>
        <v/>
      </c>
      <c r="X456" s="2" t="str">
        <f t="shared" si="177"/>
        <v/>
      </c>
      <c r="Y456" s="35" t="str">
        <f t="shared" ca="1" si="196"/>
        <v/>
      </c>
      <c r="Z456" s="36" t="str">
        <f t="shared" ca="1" si="197"/>
        <v/>
      </c>
      <c r="AA456" s="70" t="str">
        <f t="shared" si="198"/>
        <v/>
      </c>
      <c r="AB456" s="2"/>
      <c r="AC456" s="94" t="str">
        <f t="shared" si="178"/>
        <v/>
      </c>
      <c r="AD456" s="95" t="str">
        <f t="shared" si="179"/>
        <v/>
      </c>
      <c r="AE456" s="96" t="str">
        <f t="shared" si="180"/>
        <v/>
      </c>
      <c r="AF456" s="124" t="str">
        <f t="shared" si="181"/>
        <v/>
      </c>
      <c r="AG456" s="2"/>
      <c r="AH456" s="2"/>
      <c r="AI456" s="2"/>
      <c r="AJ456" s="2"/>
      <c r="AK456" s="2"/>
      <c r="AL456" s="2"/>
    </row>
    <row r="457" spans="1:38" x14ac:dyDescent="0.2">
      <c r="A457" s="45"/>
      <c r="B457" s="43" t="str">
        <f t="shared" si="184"/>
        <v/>
      </c>
      <c r="C457" s="96" t="str">
        <f t="shared" si="183"/>
        <v/>
      </c>
      <c r="D457" s="44" t="str">
        <f t="shared" si="185"/>
        <v/>
      </c>
      <c r="E457" s="52"/>
      <c r="F457" s="63" t="str">
        <f t="shared" si="186"/>
        <v/>
      </c>
      <c r="G457" s="56" t="str">
        <f t="shared" si="187"/>
        <v/>
      </c>
      <c r="H457" s="42"/>
      <c r="I457" s="2" t="str">
        <f t="shared" si="188"/>
        <v/>
      </c>
      <c r="J457" s="54" t="str">
        <f t="shared" si="175"/>
        <v/>
      </c>
      <c r="K457" s="55" t="str">
        <f t="shared" si="189"/>
        <v/>
      </c>
      <c r="L457" s="63" t="str">
        <f t="shared" si="190"/>
        <v/>
      </c>
      <c r="M457" s="96" t="str">
        <f t="shared" si="176"/>
        <v/>
      </c>
      <c r="N457" s="96" t="str">
        <f>IF(A457="","",IF(A457=Expiry,0,EXP(-q*Q457)*_xlfn.NORM.S.DIST(Y457,0)/(sigma*SQRT(Q457))*I457*Mult/100))</f>
        <v/>
      </c>
      <c r="O457" s="96" t="str">
        <f>IF(A457="","",IF(A457=Expiry,0,D457*E457*E457*EXP(-q*Q457)*_xlfn.NORM.S.DIST(Y457,0)*SQRT(Q457)/100))</f>
        <v/>
      </c>
      <c r="P457" s="69" t="str">
        <f>IF(A457="","",IF(A457=Expiry,0,AK457*I457*Mult*((-EXP(-q*Q457)*E457*_xlfn.NORM.S.DIST(Y457,0)*sigma/(2*SQRT(Q457))-r_dom*K*EXP(-r_dom*Q457)*_xlfn.NORM.S.DIST(Z457,1)+q*E457*EXP(-q*Q457)*_xlfn.NORM.S.DIST(Y457,1))/365)))</f>
        <v/>
      </c>
      <c r="Q457" s="83" t="str">
        <f t="shared" si="191"/>
        <v/>
      </c>
      <c r="R457" s="38"/>
      <c r="S457" s="68" t="str">
        <f t="shared" si="192"/>
        <v/>
      </c>
      <c r="T457" s="69" t="str">
        <f t="shared" si="193"/>
        <v/>
      </c>
      <c r="U457" s="70" t="str">
        <f t="shared" si="194"/>
        <v/>
      </c>
      <c r="V457" s="72" t="str">
        <f t="shared" si="195"/>
        <v/>
      </c>
      <c r="W457" s="2" t="str">
        <f t="shared" si="182"/>
        <v/>
      </c>
      <c r="X457" s="2" t="str">
        <f t="shared" si="177"/>
        <v/>
      </c>
      <c r="Y457" s="35" t="str">
        <f t="shared" ca="1" si="196"/>
        <v/>
      </c>
      <c r="Z457" s="36" t="str">
        <f t="shared" ca="1" si="197"/>
        <v/>
      </c>
      <c r="AA457" s="70" t="str">
        <f t="shared" si="198"/>
        <v/>
      </c>
      <c r="AB457" s="2"/>
      <c r="AC457" s="94" t="str">
        <f t="shared" si="178"/>
        <v/>
      </c>
      <c r="AD457" s="95" t="str">
        <f t="shared" si="179"/>
        <v/>
      </c>
      <c r="AE457" s="96" t="str">
        <f t="shared" si="180"/>
        <v/>
      </c>
      <c r="AF457" s="124" t="str">
        <f t="shared" si="181"/>
        <v/>
      </c>
      <c r="AG457" s="2"/>
      <c r="AH457" s="2"/>
      <c r="AI457" s="2"/>
      <c r="AJ457" s="2"/>
      <c r="AK457" s="2"/>
      <c r="AL457" s="2"/>
    </row>
    <row r="458" spans="1:38" x14ac:dyDescent="0.2">
      <c r="A458" s="45"/>
      <c r="B458" s="43" t="str">
        <f t="shared" si="184"/>
        <v/>
      </c>
      <c r="C458" s="96" t="str">
        <f t="shared" si="183"/>
        <v/>
      </c>
      <c r="D458" s="44" t="str">
        <f t="shared" si="185"/>
        <v/>
      </c>
      <c r="E458" s="52"/>
      <c r="F458" s="63" t="str">
        <f t="shared" si="186"/>
        <v/>
      </c>
      <c r="G458" s="56" t="str">
        <f t="shared" si="187"/>
        <v/>
      </c>
      <c r="H458" s="42"/>
      <c r="I458" s="2" t="str">
        <f t="shared" si="188"/>
        <v/>
      </c>
      <c r="J458" s="54" t="str">
        <f t="shared" si="175"/>
        <v/>
      </c>
      <c r="K458" s="55" t="str">
        <f t="shared" si="189"/>
        <v/>
      </c>
      <c r="L458" s="63" t="str">
        <f t="shared" si="190"/>
        <v/>
      </c>
      <c r="M458" s="96" t="str">
        <f t="shared" si="176"/>
        <v/>
      </c>
      <c r="N458" s="96" t="str">
        <f>IF(A458="","",IF(A458=Expiry,0,EXP(-q*Q458)*_xlfn.NORM.S.DIST(Y458,0)/(sigma*SQRT(Q458))*I458*Mult/100))</f>
        <v/>
      </c>
      <c r="O458" s="96" t="str">
        <f>IF(A458="","",IF(A458=Expiry,0,D458*E458*E458*EXP(-q*Q458)*_xlfn.NORM.S.DIST(Y458,0)*SQRT(Q458)/100))</f>
        <v/>
      </c>
      <c r="P458" s="69" t="str">
        <f>IF(A458="","",IF(A458=Expiry,0,AK458*I458*Mult*((-EXP(-q*Q458)*E458*_xlfn.NORM.S.DIST(Y458,0)*sigma/(2*SQRT(Q458))-r_dom*K*EXP(-r_dom*Q458)*_xlfn.NORM.S.DIST(Z458,1)+q*E458*EXP(-q*Q458)*_xlfn.NORM.S.DIST(Y458,1))/365)))</f>
        <v/>
      </c>
      <c r="Q458" s="83" t="str">
        <f t="shared" si="191"/>
        <v/>
      </c>
      <c r="R458" s="38"/>
      <c r="S458" s="68" t="str">
        <f t="shared" si="192"/>
        <v/>
      </c>
      <c r="T458" s="69" t="str">
        <f t="shared" si="193"/>
        <v/>
      </c>
      <c r="U458" s="70" t="str">
        <f t="shared" si="194"/>
        <v/>
      </c>
      <c r="V458" s="72" t="str">
        <f t="shared" si="195"/>
        <v/>
      </c>
      <c r="W458" s="2" t="str">
        <f t="shared" si="182"/>
        <v/>
      </c>
      <c r="X458" s="2" t="str">
        <f t="shared" si="177"/>
        <v/>
      </c>
      <c r="Y458" s="35" t="str">
        <f t="shared" ca="1" si="196"/>
        <v/>
      </c>
      <c r="Z458" s="36" t="str">
        <f t="shared" ca="1" si="197"/>
        <v/>
      </c>
      <c r="AA458" s="70" t="str">
        <f t="shared" si="198"/>
        <v/>
      </c>
      <c r="AB458" s="2"/>
      <c r="AC458" s="94" t="str">
        <f t="shared" si="178"/>
        <v/>
      </c>
      <c r="AD458" s="95" t="str">
        <f t="shared" si="179"/>
        <v/>
      </c>
      <c r="AE458" s="96" t="str">
        <f t="shared" si="180"/>
        <v/>
      </c>
      <c r="AF458" s="124" t="str">
        <f t="shared" si="181"/>
        <v/>
      </c>
      <c r="AG458" s="2"/>
      <c r="AH458" s="2"/>
      <c r="AI458" s="2"/>
      <c r="AJ458" s="2"/>
      <c r="AK458" s="2"/>
      <c r="AL458" s="2"/>
    </row>
    <row r="459" spans="1:38" x14ac:dyDescent="0.2">
      <c r="A459" s="45"/>
      <c r="B459" s="43" t="str">
        <f t="shared" si="184"/>
        <v/>
      </c>
      <c r="C459" s="96" t="str">
        <f t="shared" si="183"/>
        <v/>
      </c>
      <c r="D459" s="44" t="str">
        <f t="shared" si="185"/>
        <v/>
      </c>
      <c r="E459" s="52"/>
      <c r="F459" s="63" t="str">
        <f t="shared" si="186"/>
        <v/>
      </c>
      <c r="G459" s="56" t="str">
        <f t="shared" si="187"/>
        <v/>
      </c>
      <c r="H459" s="42"/>
      <c r="I459" s="2" t="str">
        <f t="shared" si="188"/>
        <v/>
      </c>
      <c r="J459" s="54" t="str">
        <f t="shared" si="175"/>
        <v/>
      </c>
      <c r="K459" s="55" t="str">
        <f t="shared" si="189"/>
        <v/>
      </c>
      <c r="L459" s="63" t="str">
        <f t="shared" si="190"/>
        <v/>
      </c>
      <c r="M459" s="96" t="str">
        <f t="shared" si="176"/>
        <v/>
      </c>
      <c r="N459" s="96" t="str">
        <f>IF(A459="","",IF(A459=Expiry,0,EXP(-q*Q459)*_xlfn.NORM.S.DIST(Y459,0)/(sigma*SQRT(Q459))*I459*Mult/100))</f>
        <v/>
      </c>
      <c r="O459" s="96" t="str">
        <f>IF(A459="","",IF(A459=Expiry,0,D459*E459*E459*EXP(-q*Q459)*_xlfn.NORM.S.DIST(Y459,0)*SQRT(Q459)/100))</f>
        <v/>
      </c>
      <c r="P459" s="69" t="str">
        <f>IF(A459="","",IF(A459=Expiry,0,AK459*I459*Mult*((-EXP(-q*Q459)*E459*_xlfn.NORM.S.DIST(Y459,0)*sigma/(2*SQRT(Q459))-r_dom*K*EXP(-r_dom*Q459)*_xlfn.NORM.S.DIST(Z459,1)+q*E459*EXP(-q*Q459)*_xlfn.NORM.S.DIST(Y459,1))/365)))</f>
        <v/>
      </c>
      <c r="Q459" s="83" t="str">
        <f t="shared" si="191"/>
        <v/>
      </c>
      <c r="R459" s="38"/>
      <c r="S459" s="68" t="str">
        <f t="shared" si="192"/>
        <v/>
      </c>
      <c r="T459" s="69" t="str">
        <f t="shared" si="193"/>
        <v/>
      </c>
      <c r="U459" s="70" t="str">
        <f t="shared" si="194"/>
        <v/>
      </c>
      <c r="V459" s="72" t="str">
        <f t="shared" si="195"/>
        <v/>
      </c>
      <c r="W459" s="2" t="str">
        <f t="shared" si="182"/>
        <v/>
      </c>
      <c r="X459" s="2" t="str">
        <f t="shared" si="177"/>
        <v/>
      </c>
      <c r="Y459" s="35" t="str">
        <f t="shared" ca="1" si="196"/>
        <v/>
      </c>
      <c r="Z459" s="36" t="str">
        <f t="shared" ca="1" si="197"/>
        <v/>
      </c>
      <c r="AA459" s="70" t="str">
        <f t="shared" si="198"/>
        <v/>
      </c>
      <c r="AB459" s="2"/>
      <c r="AC459" s="94" t="str">
        <f t="shared" si="178"/>
        <v/>
      </c>
      <c r="AD459" s="95" t="str">
        <f t="shared" si="179"/>
        <v/>
      </c>
      <c r="AE459" s="96" t="str">
        <f t="shared" si="180"/>
        <v/>
      </c>
      <c r="AF459" s="124" t="str">
        <f t="shared" si="181"/>
        <v/>
      </c>
      <c r="AG459" s="2"/>
      <c r="AH459" s="2"/>
      <c r="AI459" s="2"/>
      <c r="AJ459" s="2"/>
      <c r="AK459" s="2"/>
      <c r="AL459" s="2"/>
    </row>
    <row r="460" spans="1:38" x14ac:dyDescent="0.2">
      <c r="A460" s="45"/>
      <c r="B460" s="43" t="str">
        <f t="shared" si="184"/>
        <v/>
      </c>
      <c r="C460" s="96" t="str">
        <f t="shared" si="183"/>
        <v/>
      </c>
      <c r="D460" s="44" t="str">
        <f t="shared" si="185"/>
        <v/>
      </c>
      <c r="E460" s="52"/>
      <c r="F460" s="63" t="str">
        <f t="shared" si="186"/>
        <v/>
      </c>
      <c r="G460" s="56" t="str">
        <f t="shared" si="187"/>
        <v/>
      </c>
      <c r="H460" s="42"/>
      <c r="I460" s="2" t="str">
        <f t="shared" si="188"/>
        <v/>
      </c>
      <c r="J460" s="54" t="str">
        <f t="shared" si="175"/>
        <v/>
      </c>
      <c r="K460" s="55" t="str">
        <f t="shared" si="189"/>
        <v/>
      </c>
      <c r="L460" s="63" t="str">
        <f t="shared" si="190"/>
        <v/>
      </c>
      <c r="M460" s="96" t="str">
        <f t="shared" si="176"/>
        <v/>
      </c>
      <c r="N460" s="96" t="str">
        <f>IF(A460="","",IF(A460=Expiry,0,EXP(-q*Q460)*_xlfn.NORM.S.DIST(Y460,0)/(sigma*SQRT(Q460))*I460*Mult/100))</f>
        <v/>
      </c>
      <c r="O460" s="96" t="str">
        <f>IF(A460="","",IF(A460=Expiry,0,D460*E460*E460*EXP(-q*Q460)*_xlfn.NORM.S.DIST(Y460,0)*SQRT(Q460)/100))</f>
        <v/>
      </c>
      <c r="P460" s="69" t="str">
        <f>IF(A460="","",IF(A460=Expiry,0,AK460*I460*Mult*((-EXP(-q*Q460)*E460*_xlfn.NORM.S.DIST(Y460,0)*sigma/(2*SQRT(Q460))-r_dom*K*EXP(-r_dom*Q460)*_xlfn.NORM.S.DIST(Z460,1)+q*E460*EXP(-q*Q460)*_xlfn.NORM.S.DIST(Y460,1))/365)))</f>
        <v/>
      </c>
      <c r="Q460" s="83" t="str">
        <f t="shared" si="191"/>
        <v/>
      </c>
      <c r="R460" s="38"/>
      <c r="S460" s="68" t="str">
        <f t="shared" si="192"/>
        <v/>
      </c>
      <c r="T460" s="69" t="str">
        <f t="shared" si="193"/>
        <v/>
      </c>
      <c r="U460" s="70" t="str">
        <f t="shared" si="194"/>
        <v/>
      </c>
      <c r="V460" s="72" t="str">
        <f t="shared" si="195"/>
        <v/>
      </c>
      <c r="W460" s="2" t="str">
        <f t="shared" si="182"/>
        <v/>
      </c>
      <c r="X460" s="2" t="str">
        <f t="shared" si="177"/>
        <v/>
      </c>
      <c r="Y460" s="35" t="str">
        <f t="shared" ca="1" si="196"/>
        <v/>
      </c>
      <c r="Z460" s="36" t="str">
        <f t="shared" ca="1" si="197"/>
        <v/>
      </c>
      <c r="AA460" s="70" t="str">
        <f t="shared" si="198"/>
        <v/>
      </c>
      <c r="AB460" s="2"/>
      <c r="AC460" s="94" t="str">
        <f t="shared" si="178"/>
        <v/>
      </c>
      <c r="AD460" s="95" t="str">
        <f t="shared" si="179"/>
        <v/>
      </c>
      <c r="AE460" s="96" t="str">
        <f t="shared" si="180"/>
        <v/>
      </c>
      <c r="AF460" s="124" t="str">
        <f t="shared" si="181"/>
        <v/>
      </c>
      <c r="AG460" s="2"/>
      <c r="AH460" s="2"/>
      <c r="AI460" s="2"/>
      <c r="AJ460" s="2"/>
      <c r="AK460" s="2"/>
      <c r="AL460" s="2"/>
    </row>
    <row r="461" spans="1:38" x14ac:dyDescent="0.2">
      <c r="A461" s="45"/>
      <c r="B461" s="43" t="str">
        <f t="shared" si="184"/>
        <v/>
      </c>
      <c r="C461" s="96" t="str">
        <f t="shared" si="183"/>
        <v/>
      </c>
      <c r="D461" s="44" t="str">
        <f t="shared" si="185"/>
        <v/>
      </c>
      <c r="E461" s="52"/>
      <c r="F461" s="63" t="str">
        <f t="shared" si="186"/>
        <v/>
      </c>
      <c r="G461" s="56" t="str">
        <f t="shared" si="187"/>
        <v/>
      </c>
      <c r="H461" s="42"/>
      <c r="I461" s="2" t="str">
        <f t="shared" si="188"/>
        <v/>
      </c>
      <c r="J461" s="54" t="str">
        <f t="shared" si="175"/>
        <v/>
      </c>
      <c r="K461" s="55" t="str">
        <f t="shared" si="189"/>
        <v/>
      </c>
      <c r="L461" s="63" t="str">
        <f t="shared" si="190"/>
        <v/>
      </c>
      <c r="M461" s="96" t="str">
        <f t="shared" si="176"/>
        <v/>
      </c>
      <c r="N461" s="96" t="str">
        <f>IF(A461="","",IF(A461=Expiry,0,EXP(-q*Q461)*_xlfn.NORM.S.DIST(Y461,0)/(sigma*SQRT(Q461))*I461*Mult/100))</f>
        <v/>
      </c>
      <c r="O461" s="96" t="str">
        <f>IF(A461="","",IF(A461=Expiry,0,D461*E461*E461*EXP(-q*Q461)*_xlfn.NORM.S.DIST(Y461,0)*SQRT(Q461)/100))</f>
        <v/>
      </c>
      <c r="P461" s="69" t="str">
        <f>IF(A461="","",IF(A461=Expiry,0,AK461*I461*Mult*((-EXP(-q*Q461)*E461*_xlfn.NORM.S.DIST(Y461,0)*sigma/(2*SQRT(Q461))-r_dom*K*EXP(-r_dom*Q461)*_xlfn.NORM.S.DIST(Z461,1)+q*E461*EXP(-q*Q461)*_xlfn.NORM.S.DIST(Y461,1))/365)))</f>
        <v/>
      </c>
      <c r="Q461" s="83" t="str">
        <f t="shared" si="191"/>
        <v/>
      </c>
      <c r="R461" s="38"/>
      <c r="S461" s="68" t="str">
        <f t="shared" si="192"/>
        <v/>
      </c>
      <c r="T461" s="69" t="str">
        <f t="shared" si="193"/>
        <v/>
      </c>
      <c r="U461" s="70" t="str">
        <f t="shared" si="194"/>
        <v/>
      </c>
      <c r="V461" s="72" t="str">
        <f t="shared" si="195"/>
        <v/>
      </c>
      <c r="W461" s="2" t="str">
        <f t="shared" si="182"/>
        <v/>
      </c>
      <c r="X461" s="2" t="str">
        <f t="shared" si="177"/>
        <v/>
      </c>
      <c r="Y461" s="35" t="str">
        <f t="shared" ca="1" si="196"/>
        <v/>
      </c>
      <c r="Z461" s="36" t="str">
        <f t="shared" ca="1" si="197"/>
        <v/>
      </c>
      <c r="AA461" s="70" t="str">
        <f t="shared" si="198"/>
        <v/>
      </c>
      <c r="AB461" s="2"/>
      <c r="AC461" s="94" t="str">
        <f t="shared" si="178"/>
        <v/>
      </c>
      <c r="AD461" s="95" t="str">
        <f t="shared" si="179"/>
        <v/>
      </c>
      <c r="AE461" s="96" t="str">
        <f t="shared" si="180"/>
        <v/>
      </c>
      <c r="AF461" s="124" t="str">
        <f t="shared" si="181"/>
        <v/>
      </c>
      <c r="AG461" s="2"/>
      <c r="AH461" s="2"/>
      <c r="AI461" s="2"/>
      <c r="AJ461" s="2"/>
      <c r="AK461" s="2"/>
      <c r="AL461" s="2"/>
    </row>
    <row r="462" spans="1:38" x14ac:dyDescent="0.2">
      <c r="A462" s="45"/>
      <c r="B462" s="43" t="str">
        <f t="shared" si="184"/>
        <v/>
      </c>
      <c r="C462" s="96" t="str">
        <f t="shared" si="183"/>
        <v/>
      </c>
      <c r="D462" s="44" t="str">
        <f t="shared" si="185"/>
        <v/>
      </c>
      <c r="E462" s="52"/>
      <c r="F462" s="63" t="str">
        <f t="shared" si="186"/>
        <v/>
      </c>
      <c r="G462" s="56" t="str">
        <f t="shared" si="187"/>
        <v/>
      </c>
      <c r="H462" s="42"/>
      <c r="I462" s="2" t="str">
        <f t="shared" si="188"/>
        <v/>
      </c>
      <c r="J462" s="54" t="str">
        <f t="shared" si="175"/>
        <v/>
      </c>
      <c r="K462" s="55" t="str">
        <f t="shared" si="189"/>
        <v/>
      </c>
      <c r="L462" s="63" t="str">
        <f t="shared" si="190"/>
        <v/>
      </c>
      <c r="M462" s="96" t="str">
        <f t="shared" si="176"/>
        <v/>
      </c>
      <c r="N462" s="96" t="str">
        <f>IF(A462="","",IF(A462=Expiry,0,EXP(-q*Q462)*_xlfn.NORM.S.DIST(Y462,0)/(sigma*SQRT(Q462))*I462*Mult/100))</f>
        <v/>
      </c>
      <c r="O462" s="96" t="str">
        <f>IF(A462="","",IF(A462=Expiry,0,D462*E462*E462*EXP(-q*Q462)*_xlfn.NORM.S.DIST(Y462,0)*SQRT(Q462)/100))</f>
        <v/>
      </c>
      <c r="P462" s="69" t="str">
        <f>IF(A462="","",IF(A462=Expiry,0,AK462*I462*Mult*((-EXP(-q*Q462)*E462*_xlfn.NORM.S.DIST(Y462,0)*sigma/(2*SQRT(Q462))-r_dom*K*EXP(-r_dom*Q462)*_xlfn.NORM.S.DIST(Z462,1)+q*E462*EXP(-q*Q462)*_xlfn.NORM.S.DIST(Y462,1))/365)))</f>
        <v/>
      </c>
      <c r="Q462" s="83" t="str">
        <f t="shared" si="191"/>
        <v/>
      </c>
      <c r="R462" s="38"/>
      <c r="S462" s="68" t="str">
        <f t="shared" si="192"/>
        <v/>
      </c>
      <c r="T462" s="69" t="str">
        <f t="shared" si="193"/>
        <v/>
      </c>
      <c r="U462" s="70" t="str">
        <f t="shared" si="194"/>
        <v/>
      </c>
      <c r="V462" s="72" t="str">
        <f t="shared" si="195"/>
        <v/>
      </c>
      <c r="W462" s="2" t="str">
        <f t="shared" si="182"/>
        <v/>
      </c>
      <c r="X462" s="2" t="str">
        <f t="shared" si="177"/>
        <v/>
      </c>
      <c r="Y462" s="35" t="str">
        <f t="shared" ca="1" si="196"/>
        <v/>
      </c>
      <c r="Z462" s="36" t="str">
        <f t="shared" ca="1" si="197"/>
        <v/>
      </c>
      <c r="AA462" s="70" t="str">
        <f t="shared" si="198"/>
        <v/>
      </c>
      <c r="AB462" s="2"/>
      <c r="AC462" s="94" t="str">
        <f t="shared" si="178"/>
        <v/>
      </c>
      <c r="AD462" s="95" t="str">
        <f t="shared" si="179"/>
        <v/>
      </c>
      <c r="AE462" s="96" t="str">
        <f t="shared" si="180"/>
        <v/>
      </c>
      <c r="AF462" s="124" t="str">
        <f t="shared" si="181"/>
        <v/>
      </c>
      <c r="AG462" s="2"/>
      <c r="AH462" s="2"/>
      <c r="AI462" s="2"/>
      <c r="AJ462" s="2"/>
      <c r="AK462" s="2"/>
      <c r="AL462" s="2"/>
    </row>
    <row r="463" spans="1:38" x14ac:dyDescent="0.2">
      <c r="A463" s="45"/>
      <c r="B463" s="43" t="str">
        <f t="shared" si="184"/>
        <v/>
      </c>
      <c r="C463" s="96" t="str">
        <f t="shared" si="183"/>
        <v/>
      </c>
      <c r="D463" s="44" t="str">
        <f t="shared" si="185"/>
        <v/>
      </c>
      <c r="E463" s="52"/>
      <c r="F463" s="63" t="str">
        <f t="shared" si="186"/>
        <v/>
      </c>
      <c r="G463" s="56" t="str">
        <f t="shared" si="187"/>
        <v/>
      </c>
      <c r="H463" s="42"/>
      <c r="I463" s="2" t="str">
        <f t="shared" si="188"/>
        <v/>
      </c>
      <c r="J463" s="54" t="str">
        <f t="shared" si="175"/>
        <v/>
      </c>
      <c r="K463" s="55" t="str">
        <f t="shared" si="189"/>
        <v/>
      </c>
      <c r="L463" s="63" t="str">
        <f t="shared" si="190"/>
        <v/>
      </c>
      <c r="M463" s="96" t="str">
        <f t="shared" si="176"/>
        <v/>
      </c>
      <c r="N463" s="96" t="str">
        <f>IF(A463="","",IF(A463=Expiry,0,EXP(-q*Q463)*_xlfn.NORM.S.DIST(Y463,0)/(sigma*SQRT(Q463))*I463*Mult/100))</f>
        <v/>
      </c>
      <c r="O463" s="96" t="str">
        <f>IF(A463="","",IF(A463=Expiry,0,D463*E463*E463*EXP(-q*Q463)*_xlfn.NORM.S.DIST(Y463,0)*SQRT(Q463)/100))</f>
        <v/>
      </c>
      <c r="P463" s="69" t="str">
        <f>IF(A463="","",IF(A463=Expiry,0,AK463*I463*Mult*((-EXP(-q*Q463)*E463*_xlfn.NORM.S.DIST(Y463,0)*sigma/(2*SQRT(Q463))-r_dom*K*EXP(-r_dom*Q463)*_xlfn.NORM.S.DIST(Z463,1)+q*E463*EXP(-q*Q463)*_xlfn.NORM.S.DIST(Y463,1))/365)))</f>
        <v/>
      </c>
      <c r="Q463" s="83" t="str">
        <f t="shared" si="191"/>
        <v/>
      </c>
      <c r="R463" s="38"/>
      <c r="S463" s="68" t="str">
        <f t="shared" si="192"/>
        <v/>
      </c>
      <c r="T463" s="69" t="str">
        <f t="shared" si="193"/>
        <v/>
      </c>
      <c r="U463" s="70" t="str">
        <f t="shared" si="194"/>
        <v/>
      </c>
      <c r="V463" s="72" t="str">
        <f t="shared" si="195"/>
        <v/>
      </c>
      <c r="W463" s="2" t="str">
        <f t="shared" si="182"/>
        <v/>
      </c>
      <c r="X463" s="2" t="str">
        <f t="shared" si="177"/>
        <v/>
      </c>
      <c r="Y463" s="35" t="str">
        <f t="shared" ca="1" si="196"/>
        <v/>
      </c>
      <c r="Z463" s="36" t="str">
        <f t="shared" ca="1" si="197"/>
        <v/>
      </c>
      <c r="AA463" s="70" t="str">
        <f t="shared" si="198"/>
        <v/>
      </c>
      <c r="AB463" s="2"/>
      <c r="AC463" s="94" t="str">
        <f t="shared" si="178"/>
        <v/>
      </c>
      <c r="AD463" s="95" t="str">
        <f t="shared" si="179"/>
        <v/>
      </c>
      <c r="AE463" s="96" t="str">
        <f t="shared" si="180"/>
        <v/>
      </c>
      <c r="AF463" s="124" t="str">
        <f t="shared" si="181"/>
        <v/>
      </c>
      <c r="AG463" s="2"/>
      <c r="AH463" s="2"/>
      <c r="AI463" s="2"/>
      <c r="AJ463" s="2"/>
      <c r="AK463" s="2"/>
      <c r="AL463" s="2"/>
    </row>
    <row r="464" spans="1:38" x14ac:dyDescent="0.2">
      <c r="A464" s="45"/>
      <c r="B464" s="43" t="str">
        <f t="shared" si="184"/>
        <v/>
      </c>
      <c r="C464" s="96" t="str">
        <f t="shared" si="183"/>
        <v/>
      </c>
      <c r="D464" s="44" t="str">
        <f t="shared" si="185"/>
        <v/>
      </c>
      <c r="E464" s="52"/>
      <c r="F464" s="63" t="str">
        <f t="shared" si="186"/>
        <v/>
      </c>
      <c r="G464" s="56" t="str">
        <f t="shared" si="187"/>
        <v/>
      </c>
      <c r="H464" s="42"/>
      <c r="I464" s="2" t="str">
        <f t="shared" si="188"/>
        <v/>
      </c>
      <c r="J464" s="54" t="str">
        <f t="shared" si="175"/>
        <v/>
      </c>
      <c r="K464" s="55" t="str">
        <f t="shared" si="189"/>
        <v/>
      </c>
      <c r="L464" s="63" t="str">
        <f t="shared" si="190"/>
        <v/>
      </c>
      <c r="M464" s="96" t="str">
        <f t="shared" si="176"/>
        <v/>
      </c>
      <c r="N464" s="96" t="str">
        <f>IF(A464="","",IF(A464=Expiry,0,EXP(-q*Q464)*_xlfn.NORM.S.DIST(Y464,0)/(sigma*SQRT(Q464))*I464*Mult/100))</f>
        <v/>
      </c>
      <c r="O464" s="96" t="str">
        <f>IF(A464="","",IF(A464=Expiry,0,D464*E464*E464*EXP(-q*Q464)*_xlfn.NORM.S.DIST(Y464,0)*SQRT(Q464)/100))</f>
        <v/>
      </c>
      <c r="P464" s="69" t="str">
        <f>IF(A464="","",IF(A464=Expiry,0,AK464*I464*Mult*((-EXP(-q*Q464)*E464*_xlfn.NORM.S.DIST(Y464,0)*sigma/(2*SQRT(Q464))-r_dom*K*EXP(-r_dom*Q464)*_xlfn.NORM.S.DIST(Z464,1)+q*E464*EXP(-q*Q464)*_xlfn.NORM.S.DIST(Y464,1))/365)))</f>
        <v/>
      </c>
      <c r="Q464" s="83" t="str">
        <f t="shared" si="191"/>
        <v/>
      </c>
      <c r="R464" s="38"/>
      <c r="S464" s="68" t="str">
        <f t="shared" si="192"/>
        <v/>
      </c>
      <c r="T464" s="69" t="str">
        <f t="shared" si="193"/>
        <v/>
      </c>
      <c r="U464" s="70" t="str">
        <f t="shared" si="194"/>
        <v/>
      </c>
      <c r="V464" s="72" t="str">
        <f t="shared" si="195"/>
        <v/>
      </c>
      <c r="W464" s="2" t="str">
        <f t="shared" si="182"/>
        <v/>
      </c>
      <c r="X464" s="2" t="str">
        <f t="shared" si="177"/>
        <v/>
      </c>
      <c r="Y464" s="35" t="str">
        <f t="shared" ca="1" si="196"/>
        <v/>
      </c>
      <c r="Z464" s="36" t="str">
        <f t="shared" ca="1" si="197"/>
        <v/>
      </c>
      <c r="AA464" s="70" t="str">
        <f t="shared" si="198"/>
        <v/>
      </c>
      <c r="AB464" s="2"/>
      <c r="AC464" s="94" t="str">
        <f t="shared" si="178"/>
        <v/>
      </c>
      <c r="AD464" s="95" t="str">
        <f t="shared" si="179"/>
        <v/>
      </c>
      <c r="AE464" s="96" t="str">
        <f t="shared" si="180"/>
        <v/>
      </c>
      <c r="AF464" s="124" t="str">
        <f t="shared" si="181"/>
        <v/>
      </c>
      <c r="AG464" s="2"/>
      <c r="AH464" s="2"/>
      <c r="AI464" s="2"/>
      <c r="AJ464" s="2"/>
      <c r="AK464" s="2"/>
      <c r="AL464" s="2"/>
    </row>
    <row r="465" spans="1:38" x14ac:dyDescent="0.2">
      <c r="A465" s="45"/>
      <c r="B465" s="43" t="str">
        <f t="shared" si="184"/>
        <v/>
      </c>
      <c r="C465" s="96" t="str">
        <f t="shared" si="183"/>
        <v/>
      </c>
      <c r="D465" s="44" t="str">
        <f t="shared" si="185"/>
        <v/>
      </c>
      <c r="E465" s="52"/>
      <c r="F465" s="63" t="str">
        <f t="shared" si="186"/>
        <v/>
      </c>
      <c r="G465" s="56" t="str">
        <f t="shared" si="187"/>
        <v/>
      </c>
      <c r="H465" s="42"/>
      <c r="I465" s="2" t="str">
        <f t="shared" si="188"/>
        <v/>
      </c>
      <c r="J465" s="54" t="str">
        <f t="shared" si="175"/>
        <v/>
      </c>
      <c r="K465" s="55" t="str">
        <f t="shared" si="189"/>
        <v/>
      </c>
      <c r="L465" s="63" t="str">
        <f t="shared" si="190"/>
        <v/>
      </c>
      <c r="M465" s="96" t="str">
        <f t="shared" si="176"/>
        <v/>
      </c>
      <c r="N465" s="96" t="str">
        <f>IF(A465="","",IF(A465=Expiry,0,EXP(-q*Q465)*_xlfn.NORM.S.DIST(Y465,0)/(sigma*SQRT(Q465))*I465*Mult/100))</f>
        <v/>
      </c>
      <c r="O465" s="96" t="str">
        <f>IF(A465="","",IF(A465=Expiry,0,D465*E465*E465*EXP(-q*Q465)*_xlfn.NORM.S.DIST(Y465,0)*SQRT(Q465)/100))</f>
        <v/>
      </c>
      <c r="P465" s="69" t="str">
        <f>IF(A465="","",IF(A465=Expiry,0,AK465*I465*Mult*((-EXP(-q*Q465)*E465*_xlfn.NORM.S.DIST(Y465,0)*sigma/(2*SQRT(Q465))-r_dom*K*EXP(-r_dom*Q465)*_xlfn.NORM.S.DIST(Z465,1)+q*E465*EXP(-q*Q465)*_xlfn.NORM.S.DIST(Y465,1))/365)))</f>
        <v/>
      </c>
      <c r="Q465" s="83" t="str">
        <f t="shared" si="191"/>
        <v/>
      </c>
      <c r="R465" s="38"/>
      <c r="S465" s="68" t="str">
        <f t="shared" si="192"/>
        <v/>
      </c>
      <c r="T465" s="69" t="str">
        <f t="shared" si="193"/>
        <v/>
      </c>
      <c r="U465" s="70" t="str">
        <f t="shared" si="194"/>
        <v/>
      </c>
      <c r="V465" s="72" t="str">
        <f t="shared" si="195"/>
        <v/>
      </c>
      <c r="W465" s="2" t="str">
        <f t="shared" si="182"/>
        <v/>
      </c>
      <c r="X465" s="2" t="str">
        <f t="shared" si="177"/>
        <v/>
      </c>
      <c r="Y465" s="35" t="str">
        <f t="shared" ca="1" si="196"/>
        <v/>
      </c>
      <c r="Z465" s="36" t="str">
        <f t="shared" ca="1" si="197"/>
        <v/>
      </c>
      <c r="AA465" s="70" t="str">
        <f t="shared" si="198"/>
        <v/>
      </c>
      <c r="AB465" s="2"/>
      <c r="AC465" s="94" t="str">
        <f t="shared" si="178"/>
        <v/>
      </c>
      <c r="AD465" s="95" t="str">
        <f t="shared" si="179"/>
        <v/>
      </c>
      <c r="AE465" s="96" t="str">
        <f t="shared" si="180"/>
        <v/>
      </c>
      <c r="AF465" s="124" t="str">
        <f t="shared" si="181"/>
        <v/>
      </c>
      <c r="AG465" s="2"/>
      <c r="AH465" s="2"/>
      <c r="AI465" s="2"/>
      <c r="AJ465" s="2"/>
      <c r="AK465" s="2"/>
      <c r="AL465" s="2"/>
    </row>
    <row r="466" spans="1:38" x14ac:dyDescent="0.2">
      <c r="A466" s="45"/>
      <c r="B466" s="43" t="str">
        <f t="shared" si="184"/>
        <v/>
      </c>
      <c r="C466" s="96" t="str">
        <f t="shared" si="183"/>
        <v/>
      </c>
      <c r="D466" s="44" t="str">
        <f t="shared" si="185"/>
        <v/>
      </c>
      <c r="E466" s="52"/>
      <c r="F466" s="63" t="str">
        <f t="shared" si="186"/>
        <v/>
      </c>
      <c r="G466" s="56" t="str">
        <f t="shared" si="187"/>
        <v/>
      </c>
      <c r="H466" s="42"/>
      <c r="I466" s="2" t="str">
        <f t="shared" si="188"/>
        <v/>
      </c>
      <c r="J466" s="54" t="str">
        <f t="shared" si="175"/>
        <v/>
      </c>
      <c r="K466" s="55" t="str">
        <f t="shared" si="189"/>
        <v/>
      </c>
      <c r="L466" s="63" t="str">
        <f t="shared" si="190"/>
        <v/>
      </c>
      <c r="M466" s="96" t="str">
        <f t="shared" si="176"/>
        <v/>
      </c>
      <c r="N466" s="96" t="str">
        <f>IF(A466="","",IF(A466=Expiry,0,EXP(-q*Q466)*_xlfn.NORM.S.DIST(Y466,0)/(sigma*SQRT(Q466))*I466*Mult/100))</f>
        <v/>
      </c>
      <c r="O466" s="96" t="str">
        <f>IF(A466="","",IF(A466=Expiry,0,D466*E466*E466*EXP(-q*Q466)*_xlfn.NORM.S.DIST(Y466,0)*SQRT(Q466)/100))</f>
        <v/>
      </c>
      <c r="P466" s="69" t="str">
        <f>IF(A466="","",IF(A466=Expiry,0,AK466*I466*Mult*((-EXP(-q*Q466)*E466*_xlfn.NORM.S.DIST(Y466,0)*sigma/(2*SQRT(Q466))-r_dom*K*EXP(-r_dom*Q466)*_xlfn.NORM.S.DIST(Z466,1)+q*E466*EXP(-q*Q466)*_xlfn.NORM.S.DIST(Y466,1))/365)))</f>
        <v/>
      </c>
      <c r="Q466" s="83" t="str">
        <f t="shared" si="191"/>
        <v/>
      </c>
      <c r="R466" s="38"/>
      <c r="S466" s="68" t="str">
        <f t="shared" si="192"/>
        <v/>
      </c>
      <c r="T466" s="69" t="str">
        <f t="shared" si="193"/>
        <v/>
      </c>
      <c r="U466" s="70" t="str">
        <f t="shared" si="194"/>
        <v/>
      </c>
      <c r="V466" s="72" t="str">
        <f t="shared" si="195"/>
        <v/>
      </c>
      <c r="W466" s="2" t="str">
        <f t="shared" si="182"/>
        <v/>
      </c>
      <c r="X466" s="2" t="str">
        <f t="shared" si="177"/>
        <v/>
      </c>
      <c r="Y466" s="35" t="str">
        <f t="shared" ca="1" si="196"/>
        <v/>
      </c>
      <c r="Z466" s="36" t="str">
        <f t="shared" ca="1" si="197"/>
        <v/>
      </c>
      <c r="AA466" s="70" t="str">
        <f t="shared" si="198"/>
        <v/>
      </c>
      <c r="AB466" s="2"/>
      <c r="AC466" s="94" t="str">
        <f t="shared" si="178"/>
        <v/>
      </c>
      <c r="AD466" s="95" t="str">
        <f t="shared" si="179"/>
        <v/>
      </c>
      <c r="AE466" s="96" t="str">
        <f t="shared" si="180"/>
        <v/>
      </c>
      <c r="AF466" s="124" t="str">
        <f t="shared" si="181"/>
        <v/>
      </c>
      <c r="AG466" s="2"/>
      <c r="AH466" s="2"/>
      <c r="AI466" s="2"/>
      <c r="AJ466" s="2"/>
      <c r="AK466" s="2"/>
      <c r="AL466" s="2"/>
    </row>
    <row r="467" spans="1:38" x14ac:dyDescent="0.2">
      <c r="A467" s="45"/>
      <c r="B467" s="43" t="str">
        <f t="shared" si="184"/>
        <v/>
      </c>
      <c r="C467" s="96" t="str">
        <f t="shared" si="183"/>
        <v/>
      </c>
      <c r="D467" s="44" t="str">
        <f t="shared" si="185"/>
        <v/>
      </c>
      <c r="E467" s="52"/>
      <c r="F467" s="63" t="str">
        <f t="shared" si="186"/>
        <v/>
      </c>
      <c r="G467" s="56" t="str">
        <f t="shared" si="187"/>
        <v/>
      </c>
      <c r="H467" s="42"/>
      <c r="I467" s="2" t="str">
        <f t="shared" si="188"/>
        <v/>
      </c>
      <c r="J467" s="54" t="str">
        <f t="shared" si="175"/>
        <v/>
      </c>
      <c r="K467" s="55" t="str">
        <f t="shared" si="189"/>
        <v/>
      </c>
      <c r="L467" s="63" t="str">
        <f t="shared" si="190"/>
        <v/>
      </c>
      <c r="M467" s="96" t="str">
        <f t="shared" si="176"/>
        <v/>
      </c>
      <c r="N467" s="96" t="str">
        <f>IF(A467="","",IF(A467=Expiry,0,EXP(-q*Q467)*_xlfn.NORM.S.DIST(Y467,0)/(sigma*SQRT(Q467))*I467*Mult/100))</f>
        <v/>
      </c>
      <c r="O467" s="96" t="str">
        <f>IF(A467="","",IF(A467=Expiry,0,D467*E467*E467*EXP(-q*Q467)*_xlfn.NORM.S.DIST(Y467,0)*SQRT(Q467)/100))</f>
        <v/>
      </c>
      <c r="P467" s="69" t="str">
        <f>IF(A467="","",IF(A467=Expiry,0,AK467*I467*Mult*((-EXP(-q*Q467)*E467*_xlfn.NORM.S.DIST(Y467,0)*sigma/(2*SQRT(Q467))-r_dom*K*EXP(-r_dom*Q467)*_xlfn.NORM.S.DIST(Z467,1)+q*E467*EXP(-q*Q467)*_xlfn.NORM.S.DIST(Y467,1))/365)))</f>
        <v/>
      </c>
      <c r="Q467" s="83" t="str">
        <f t="shared" si="191"/>
        <v/>
      </c>
      <c r="R467" s="38"/>
      <c r="S467" s="68" t="str">
        <f t="shared" si="192"/>
        <v/>
      </c>
      <c r="T467" s="69" t="str">
        <f t="shared" si="193"/>
        <v/>
      </c>
      <c r="U467" s="70" t="str">
        <f t="shared" si="194"/>
        <v/>
      </c>
      <c r="V467" s="72" t="str">
        <f t="shared" si="195"/>
        <v/>
      </c>
      <c r="W467" s="2" t="str">
        <f t="shared" si="182"/>
        <v/>
      </c>
      <c r="X467" s="2" t="str">
        <f t="shared" si="177"/>
        <v/>
      </c>
      <c r="Y467" s="35" t="str">
        <f t="shared" ca="1" si="196"/>
        <v/>
      </c>
      <c r="Z467" s="36" t="str">
        <f t="shared" ca="1" si="197"/>
        <v/>
      </c>
      <c r="AA467" s="70" t="str">
        <f t="shared" si="198"/>
        <v/>
      </c>
      <c r="AB467" s="2"/>
      <c r="AC467" s="94" t="str">
        <f t="shared" si="178"/>
        <v/>
      </c>
      <c r="AD467" s="95" t="str">
        <f t="shared" si="179"/>
        <v/>
      </c>
      <c r="AE467" s="96" t="str">
        <f t="shared" si="180"/>
        <v/>
      </c>
      <c r="AF467" s="124" t="str">
        <f t="shared" si="181"/>
        <v/>
      </c>
      <c r="AG467" s="2"/>
      <c r="AH467" s="2"/>
      <c r="AI467" s="2"/>
      <c r="AJ467" s="2"/>
      <c r="AK467" s="2"/>
      <c r="AL467" s="2"/>
    </row>
    <row r="468" spans="1:38" x14ac:dyDescent="0.2">
      <c r="A468" s="45"/>
      <c r="B468" s="43" t="str">
        <f t="shared" si="184"/>
        <v/>
      </c>
      <c r="C468" s="96" t="str">
        <f t="shared" si="183"/>
        <v/>
      </c>
      <c r="D468" s="44" t="str">
        <f t="shared" si="185"/>
        <v/>
      </c>
      <c r="E468" s="52"/>
      <c r="F468" s="63" t="str">
        <f t="shared" si="186"/>
        <v/>
      </c>
      <c r="G468" s="56" t="str">
        <f t="shared" si="187"/>
        <v/>
      </c>
      <c r="H468" s="42"/>
      <c r="I468" s="2" t="str">
        <f t="shared" si="188"/>
        <v/>
      </c>
      <c r="J468" s="54" t="str">
        <f t="shared" si="175"/>
        <v/>
      </c>
      <c r="K468" s="55" t="str">
        <f t="shared" si="189"/>
        <v/>
      </c>
      <c r="L468" s="63" t="str">
        <f t="shared" si="190"/>
        <v/>
      </c>
      <c r="M468" s="96" t="str">
        <f t="shared" si="176"/>
        <v/>
      </c>
      <c r="N468" s="96" t="str">
        <f>IF(A468="","",IF(A468=Expiry,0,EXP(-q*Q468)*_xlfn.NORM.S.DIST(Y468,0)/(sigma*SQRT(Q468))*I468*Mult/100))</f>
        <v/>
      </c>
      <c r="O468" s="96" t="str">
        <f>IF(A468="","",IF(A468=Expiry,0,D468*E468*E468*EXP(-q*Q468)*_xlfn.NORM.S.DIST(Y468,0)*SQRT(Q468)/100))</f>
        <v/>
      </c>
      <c r="P468" s="69" t="str">
        <f>IF(A468="","",IF(A468=Expiry,0,AK468*I468*Mult*((-EXP(-q*Q468)*E468*_xlfn.NORM.S.DIST(Y468,0)*sigma/(2*SQRT(Q468))-r_dom*K*EXP(-r_dom*Q468)*_xlfn.NORM.S.DIST(Z468,1)+q*E468*EXP(-q*Q468)*_xlfn.NORM.S.DIST(Y468,1))/365)))</f>
        <v/>
      </c>
      <c r="Q468" s="83" t="str">
        <f t="shared" si="191"/>
        <v/>
      </c>
      <c r="R468" s="38"/>
      <c r="S468" s="68" t="str">
        <f t="shared" si="192"/>
        <v/>
      </c>
      <c r="T468" s="69" t="str">
        <f t="shared" si="193"/>
        <v/>
      </c>
      <c r="U468" s="70" t="str">
        <f t="shared" si="194"/>
        <v/>
      </c>
      <c r="V468" s="72" t="str">
        <f t="shared" si="195"/>
        <v/>
      </c>
      <c r="W468" s="2" t="str">
        <f t="shared" si="182"/>
        <v/>
      </c>
      <c r="X468" s="2" t="str">
        <f t="shared" si="177"/>
        <v/>
      </c>
      <c r="Y468" s="35" t="str">
        <f t="shared" ca="1" si="196"/>
        <v/>
      </c>
      <c r="Z468" s="36" t="str">
        <f t="shared" ca="1" si="197"/>
        <v/>
      </c>
      <c r="AA468" s="70" t="str">
        <f t="shared" si="198"/>
        <v/>
      </c>
      <c r="AB468" s="2"/>
      <c r="AC468" s="94" t="str">
        <f t="shared" si="178"/>
        <v/>
      </c>
      <c r="AD468" s="95" t="str">
        <f t="shared" si="179"/>
        <v/>
      </c>
      <c r="AE468" s="96" t="str">
        <f t="shared" si="180"/>
        <v/>
      </c>
      <c r="AF468" s="124" t="str">
        <f t="shared" si="181"/>
        <v/>
      </c>
      <c r="AG468" s="2"/>
      <c r="AH468" s="2"/>
      <c r="AI468" s="2"/>
      <c r="AJ468" s="2"/>
      <c r="AK468" s="2"/>
      <c r="AL468" s="2"/>
    </row>
    <row r="469" spans="1:38" x14ac:dyDescent="0.2">
      <c r="A469" s="45"/>
      <c r="B469" s="43" t="str">
        <f t="shared" si="184"/>
        <v/>
      </c>
      <c r="C469" s="96" t="str">
        <f t="shared" si="183"/>
        <v/>
      </c>
      <c r="D469" s="44" t="str">
        <f t="shared" si="185"/>
        <v/>
      </c>
      <c r="E469" s="52"/>
      <c r="F469" s="63" t="str">
        <f t="shared" si="186"/>
        <v/>
      </c>
      <c r="G469" s="56" t="str">
        <f t="shared" si="187"/>
        <v/>
      </c>
      <c r="H469" s="42"/>
      <c r="I469" s="2" t="str">
        <f t="shared" si="188"/>
        <v/>
      </c>
      <c r="J469" s="54" t="str">
        <f t="shared" si="175"/>
        <v/>
      </c>
      <c r="K469" s="55" t="str">
        <f t="shared" si="189"/>
        <v/>
      </c>
      <c r="L469" s="63" t="str">
        <f t="shared" si="190"/>
        <v/>
      </c>
      <c r="M469" s="96" t="str">
        <f t="shared" si="176"/>
        <v/>
      </c>
      <c r="N469" s="96" t="str">
        <f>IF(A469="","",IF(A469=Expiry,0,EXP(-q*Q469)*_xlfn.NORM.S.DIST(Y469,0)/(sigma*SQRT(Q469))*I469*Mult/100))</f>
        <v/>
      </c>
      <c r="O469" s="96" t="str">
        <f>IF(A469="","",IF(A469=Expiry,0,D469*E469*E469*EXP(-q*Q469)*_xlfn.NORM.S.DIST(Y469,0)*SQRT(Q469)/100))</f>
        <v/>
      </c>
      <c r="P469" s="69" t="str">
        <f>IF(A469="","",IF(A469=Expiry,0,AK469*I469*Mult*((-EXP(-q*Q469)*E469*_xlfn.NORM.S.DIST(Y469,0)*sigma/(2*SQRT(Q469))-r_dom*K*EXP(-r_dom*Q469)*_xlfn.NORM.S.DIST(Z469,1)+q*E469*EXP(-q*Q469)*_xlfn.NORM.S.DIST(Y469,1))/365)))</f>
        <v/>
      </c>
      <c r="Q469" s="83" t="str">
        <f t="shared" si="191"/>
        <v/>
      </c>
      <c r="R469" s="38"/>
      <c r="S469" s="68" t="str">
        <f t="shared" si="192"/>
        <v/>
      </c>
      <c r="T469" s="69" t="str">
        <f t="shared" si="193"/>
        <v/>
      </c>
      <c r="U469" s="70" t="str">
        <f t="shared" si="194"/>
        <v/>
      </c>
      <c r="V469" s="72" t="str">
        <f t="shared" si="195"/>
        <v/>
      </c>
      <c r="W469" s="2" t="str">
        <f t="shared" si="182"/>
        <v/>
      </c>
      <c r="X469" s="2" t="str">
        <f t="shared" si="177"/>
        <v/>
      </c>
      <c r="Y469" s="35" t="str">
        <f t="shared" ca="1" si="196"/>
        <v/>
      </c>
      <c r="Z469" s="36" t="str">
        <f t="shared" ca="1" si="197"/>
        <v/>
      </c>
      <c r="AA469" s="70" t="str">
        <f t="shared" si="198"/>
        <v/>
      </c>
      <c r="AB469" s="2"/>
      <c r="AC469" s="94" t="str">
        <f t="shared" si="178"/>
        <v/>
      </c>
      <c r="AD469" s="95" t="str">
        <f t="shared" si="179"/>
        <v/>
      </c>
      <c r="AE469" s="96" t="str">
        <f t="shared" si="180"/>
        <v/>
      </c>
      <c r="AF469" s="124" t="str">
        <f t="shared" si="181"/>
        <v/>
      </c>
      <c r="AG469" s="2"/>
      <c r="AH469" s="2"/>
      <c r="AI469" s="2"/>
      <c r="AJ469" s="2"/>
      <c r="AK469" s="2"/>
      <c r="AL469" s="2"/>
    </row>
    <row r="470" spans="1:38" x14ac:dyDescent="0.2">
      <c r="A470" s="45"/>
      <c r="B470" s="43" t="str">
        <f t="shared" si="184"/>
        <v/>
      </c>
      <c r="C470" s="96" t="str">
        <f t="shared" si="183"/>
        <v/>
      </c>
      <c r="D470" s="44" t="str">
        <f t="shared" si="185"/>
        <v/>
      </c>
      <c r="E470" s="52"/>
      <c r="F470" s="63" t="str">
        <f t="shared" si="186"/>
        <v/>
      </c>
      <c r="G470" s="56" t="str">
        <f t="shared" si="187"/>
        <v/>
      </c>
      <c r="H470" s="42"/>
      <c r="I470" s="2" t="str">
        <f t="shared" si="188"/>
        <v/>
      </c>
      <c r="J470" s="54" t="str">
        <f t="shared" si="175"/>
        <v/>
      </c>
      <c r="K470" s="55" t="str">
        <f t="shared" si="189"/>
        <v/>
      </c>
      <c r="L470" s="63" t="str">
        <f t="shared" si="190"/>
        <v/>
      </c>
      <c r="M470" s="96" t="str">
        <f t="shared" si="176"/>
        <v/>
      </c>
      <c r="N470" s="96" t="str">
        <f>IF(A470="","",IF(A470=Expiry,0,EXP(-q*Q470)*_xlfn.NORM.S.DIST(Y470,0)/(sigma*SQRT(Q470))*I470*Mult/100))</f>
        <v/>
      </c>
      <c r="O470" s="96" t="str">
        <f>IF(A470="","",IF(A470=Expiry,0,D470*E470*E470*EXP(-q*Q470)*_xlfn.NORM.S.DIST(Y470,0)*SQRT(Q470)/100))</f>
        <v/>
      </c>
      <c r="P470" s="69" t="str">
        <f>IF(A470="","",IF(A470=Expiry,0,AK470*I470*Mult*((-EXP(-q*Q470)*E470*_xlfn.NORM.S.DIST(Y470,0)*sigma/(2*SQRT(Q470))-r_dom*K*EXP(-r_dom*Q470)*_xlfn.NORM.S.DIST(Z470,1)+q*E470*EXP(-q*Q470)*_xlfn.NORM.S.DIST(Y470,1))/365)))</f>
        <v/>
      </c>
      <c r="Q470" s="83" t="str">
        <f t="shared" si="191"/>
        <v/>
      </c>
      <c r="R470" s="38"/>
      <c r="S470" s="68" t="str">
        <f t="shared" si="192"/>
        <v/>
      </c>
      <c r="T470" s="69" t="str">
        <f t="shared" si="193"/>
        <v/>
      </c>
      <c r="U470" s="70" t="str">
        <f t="shared" si="194"/>
        <v/>
      </c>
      <c r="V470" s="72" t="str">
        <f t="shared" si="195"/>
        <v/>
      </c>
      <c r="W470" s="2" t="str">
        <f t="shared" si="182"/>
        <v/>
      </c>
      <c r="X470" s="2" t="str">
        <f t="shared" si="177"/>
        <v/>
      </c>
      <c r="Y470" s="35" t="str">
        <f t="shared" ca="1" si="196"/>
        <v/>
      </c>
      <c r="Z470" s="36" t="str">
        <f t="shared" ca="1" si="197"/>
        <v/>
      </c>
      <c r="AA470" s="70" t="str">
        <f t="shared" si="198"/>
        <v/>
      </c>
      <c r="AB470" s="2"/>
      <c r="AC470" s="94" t="str">
        <f t="shared" si="178"/>
        <v/>
      </c>
      <c r="AD470" s="95" t="str">
        <f t="shared" si="179"/>
        <v/>
      </c>
      <c r="AE470" s="96" t="str">
        <f t="shared" si="180"/>
        <v/>
      </c>
      <c r="AF470" s="124" t="str">
        <f t="shared" si="181"/>
        <v/>
      </c>
      <c r="AG470" s="2"/>
      <c r="AH470" s="2"/>
      <c r="AI470" s="2"/>
      <c r="AJ470" s="2"/>
      <c r="AK470" s="2"/>
      <c r="AL470" s="2"/>
    </row>
    <row r="471" spans="1:38" x14ac:dyDescent="0.2">
      <c r="A471" s="45"/>
      <c r="B471" s="43" t="str">
        <f t="shared" si="184"/>
        <v/>
      </c>
      <c r="C471" s="96" t="str">
        <f t="shared" si="183"/>
        <v/>
      </c>
      <c r="D471" s="44" t="str">
        <f t="shared" si="185"/>
        <v/>
      </c>
      <c r="E471" s="52"/>
      <c r="F471" s="63" t="str">
        <f t="shared" si="186"/>
        <v/>
      </c>
      <c r="G471" s="56" t="str">
        <f t="shared" si="187"/>
        <v/>
      </c>
      <c r="H471" s="42"/>
      <c r="I471" s="2" t="str">
        <f t="shared" si="188"/>
        <v/>
      </c>
      <c r="J471" s="54" t="str">
        <f t="shared" si="175"/>
        <v/>
      </c>
      <c r="K471" s="55" t="str">
        <f t="shared" si="189"/>
        <v/>
      </c>
      <c r="L471" s="63" t="str">
        <f t="shared" si="190"/>
        <v/>
      </c>
      <c r="M471" s="96" t="str">
        <f t="shared" si="176"/>
        <v/>
      </c>
      <c r="N471" s="96" t="str">
        <f>IF(A471="","",IF(A471=Expiry,0,EXP(-q*Q471)*_xlfn.NORM.S.DIST(Y471,0)/(sigma*SQRT(Q471))*I471*Mult/100))</f>
        <v/>
      </c>
      <c r="O471" s="96" t="str">
        <f>IF(A471="","",IF(A471=Expiry,0,D471*E471*E471*EXP(-q*Q471)*_xlfn.NORM.S.DIST(Y471,0)*SQRT(Q471)/100))</f>
        <v/>
      </c>
      <c r="P471" s="69" t="str">
        <f>IF(A471="","",IF(A471=Expiry,0,AK471*I471*Mult*((-EXP(-q*Q471)*E471*_xlfn.NORM.S.DIST(Y471,0)*sigma/(2*SQRT(Q471))-r_dom*K*EXP(-r_dom*Q471)*_xlfn.NORM.S.DIST(Z471,1)+q*E471*EXP(-q*Q471)*_xlfn.NORM.S.DIST(Y471,1))/365)))</f>
        <v/>
      </c>
      <c r="Q471" s="83" t="str">
        <f t="shared" si="191"/>
        <v/>
      </c>
      <c r="R471" s="38"/>
      <c r="S471" s="68" t="str">
        <f t="shared" si="192"/>
        <v/>
      </c>
      <c r="T471" s="69" t="str">
        <f t="shared" si="193"/>
        <v/>
      </c>
      <c r="U471" s="70" t="str">
        <f t="shared" si="194"/>
        <v/>
      </c>
      <c r="V471" s="72" t="str">
        <f t="shared" si="195"/>
        <v/>
      </c>
      <c r="W471" s="2" t="str">
        <f t="shared" si="182"/>
        <v/>
      </c>
      <c r="X471" s="2" t="str">
        <f t="shared" si="177"/>
        <v/>
      </c>
      <c r="Y471" s="35" t="str">
        <f t="shared" ca="1" si="196"/>
        <v/>
      </c>
      <c r="Z471" s="36" t="str">
        <f t="shared" ca="1" si="197"/>
        <v/>
      </c>
      <c r="AA471" s="70" t="str">
        <f t="shared" si="198"/>
        <v/>
      </c>
      <c r="AB471" s="2"/>
      <c r="AC471" s="94" t="str">
        <f t="shared" si="178"/>
        <v/>
      </c>
      <c r="AD471" s="95" t="str">
        <f t="shared" si="179"/>
        <v/>
      </c>
      <c r="AE471" s="96" t="str">
        <f t="shared" si="180"/>
        <v/>
      </c>
      <c r="AF471" s="124" t="str">
        <f t="shared" si="181"/>
        <v/>
      </c>
      <c r="AG471" s="2"/>
      <c r="AH471" s="2"/>
      <c r="AI471" s="2"/>
      <c r="AJ471" s="2"/>
      <c r="AK471" s="2"/>
      <c r="AL471" s="2"/>
    </row>
    <row r="472" spans="1:38" x14ac:dyDescent="0.2">
      <c r="A472" s="45"/>
      <c r="B472" s="43" t="str">
        <f t="shared" si="184"/>
        <v/>
      </c>
      <c r="C472" s="96" t="str">
        <f t="shared" si="183"/>
        <v/>
      </c>
      <c r="D472" s="44" t="str">
        <f t="shared" si="185"/>
        <v/>
      </c>
      <c r="E472" s="52"/>
      <c r="F472" s="63" t="str">
        <f t="shared" si="186"/>
        <v/>
      </c>
      <c r="G472" s="56" t="str">
        <f t="shared" si="187"/>
        <v/>
      </c>
      <c r="H472" s="42"/>
      <c r="I472" s="2" t="str">
        <f t="shared" si="188"/>
        <v/>
      </c>
      <c r="J472" s="54" t="str">
        <f t="shared" si="175"/>
        <v/>
      </c>
      <c r="K472" s="55" t="str">
        <f t="shared" si="189"/>
        <v/>
      </c>
      <c r="L472" s="63" t="str">
        <f t="shared" si="190"/>
        <v/>
      </c>
      <c r="M472" s="96" t="str">
        <f t="shared" si="176"/>
        <v/>
      </c>
      <c r="N472" s="96" t="str">
        <f>IF(A472="","",IF(A472=Expiry,0,EXP(-q*Q472)*_xlfn.NORM.S.DIST(Y472,0)/(sigma*SQRT(Q472))*I472*Mult/100))</f>
        <v/>
      </c>
      <c r="O472" s="96" t="str">
        <f>IF(A472="","",IF(A472=Expiry,0,D472*E472*E472*EXP(-q*Q472)*_xlfn.NORM.S.DIST(Y472,0)*SQRT(Q472)/100))</f>
        <v/>
      </c>
      <c r="P472" s="69" t="str">
        <f>IF(A472="","",IF(A472=Expiry,0,AK472*I472*Mult*((-EXP(-q*Q472)*E472*_xlfn.NORM.S.DIST(Y472,0)*sigma/(2*SQRT(Q472))-r_dom*K*EXP(-r_dom*Q472)*_xlfn.NORM.S.DIST(Z472,1)+q*E472*EXP(-q*Q472)*_xlfn.NORM.S.DIST(Y472,1))/365)))</f>
        <v/>
      </c>
      <c r="Q472" s="83" t="str">
        <f t="shared" si="191"/>
        <v/>
      </c>
      <c r="R472" s="38"/>
      <c r="S472" s="68" t="str">
        <f t="shared" si="192"/>
        <v/>
      </c>
      <c r="T472" s="69" t="str">
        <f t="shared" si="193"/>
        <v/>
      </c>
      <c r="U472" s="70" t="str">
        <f t="shared" si="194"/>
        <v/>
      </c>
      <c r="V472" s="72" t="str">
        <f t="shared" si="195"/>
        <v/>
      </c>
      <c r="W472" s="2" t="str">
        <f t="shared" si="182"/>
        <v/>
      </c>
      <c r="X472" s="2" t="str">
        <f t="shared" si="177"/>
        <v/>
      </c>
      <c r="Y472" s="35" t="str">
        <f t="shared" ca="1" si="196"/>
        <v/>
      </c>
      <c r="Z472" s="36" t="str">
        <f t="shared" ca="1" si="197"/>
        <v/>
      </c>
      <c r="AA472" s="70" t="str">
        <f t="shared" si="198"/>
        <v/>
      </c>
      <c r="AB472" s="2"/>
      <c r="AC472" s="94" t="str">
        <f t="shared" si="178"/>
        <v/>
      </c>
      <c r="AD472" s="95" t="str">
        <f t="shared" si="179"/>
        <v/>
      </c>
      <c r="AE472" s="96" t="str">
        <f t="shared" si="180"/>
        <v/>
      </c>
      <c r="AF472" s="124" t="str">
        <f t="shared" si="181"/>
        <v/>
      </c>
      <c r="AG472" s="2"/>
      <c r="AH472" s="2"/>
      <c r="AI472" s="2"/>
      <c r="AJ472" s="2"/>
      <c r="AK472" s="2"/>
      <c r="AL472" s="2"/>
    </row>
    <row r="473" spans="1:38" x14ac:dyDescent="0.2">
      <c r="A473" s="45"/>
      <c r="B473" s="43" t="str">
        <f t="shared" si="184"/>
        <v/>
      </c>
      <c r="C473" s="96" t="str">
        <f t="shared" si="183"/>
        <v/>
      </c>
      <c r="D473" s="44" t="str">
        <f t="shared" si="185"/>
        <v/>
      </c>
      <c r="E473" s="52"/>
      <c r="F473" s="63" t="str">
        <f t="shared" si="186"/>
        <v/>
      </c>
      <c r="G473" s="56" t="str">
        <f t="shared" si="187"/>
        <v/>
      </c>
      <c r="H473" s="42"/>
      <c r="I473" s="2" t="str">
        <f t="shared" si="188"/>
        <v/>
      </c>
      <c r="J473" s="54" t="str">
        <f t="shared" si="175"/>
        <v/>
      </c>
      <c r="K473" s="55" t="str">
        <f t="shared" si="189"/>
        <v/>
      </c>
      <c r="L473" s="63" t="str">
        <f t="shared" si="190"/>
        <v/>
      </c>
      <c r="M473" s="96" t="str">
        <f t="shared" si="176"/>
        <v/>
      </c>
      <c r="N473" s="96" t="str">
        <f>IF(A473="","",IF(A473=Expiry,0,EXP(-q*Q473)*_xlfn.NORM.S.DIST(Y473,0)/(sigma*SQRT(Q473))*I473*Mult/100))</f>
        <v/>
      </c>
      <c r="O473" s="96" t="str">
        <f>IF(A473="","",IF(A473=Expiry,0,D473*E473*E473*EXP(-q*Q473)*_xlfn.NORM.S.DIST(Y473,0)*SQRT(Q473)/100))</f>
        <v/>
      </c>
      <c r="P473" s="69" t="str">
        <f>IF(A473="","",IF(A473=Expiry,0,AK473*I473*Mult*((-EXP(-q*Q473)*E473*_xlfn.NORM.S.DIST(Y473,0)*sigma/(2*SQRT(Q473))-r_dom*K*EXP(-r_dom*Q473)*_xlfn.NORM.S.DIST(Z473,1)+q*E473*EXP(-q*Q473)*_xlfn.NORM.S.DIST(Y473,1))/365)))</f>
        <v/>
      </c>
      <c r="Q473" s="83" t="str">
        <f t="shared" si="191"/>
        <v/>
      </c>
      <c r="R473" s="38"/>
      <c r="S473" s="68" t="str">
        <f t="shared" si="192"/>
        <v/>
      </c>
      <c r="T473" s="69" t="str">
        <f t="shared" si="193"/>
        <v/>
      </c>
      <c r="U473" s="70" t="str">
        <f t="shared" si="194"/>
        <v/>
      </c>
      <c r="V473" s="72" t="str">
        <f t="shared" si="195"/>
        <v/>
      </c>
      <c r="W473" s="2" t="str">
        <f t="shared" si="182"/>
        <v/>
      </c>
      <c r="X473" s="2" t="str">
        <f t="shared" si="177"/>
        <v/>
      </c>
      <c r="Y473" s="35" t="str">
        <f t="shared" ca="1" si="196"/>
        <v/>
      </c>
      <c r="Z473" s="36" t="str">
        <f t="shared" ca="1" si="197"/>
        <v/>
      </c>
      <c r="AA473" s="70" t="str">
        <f t="shared" si="198"/>
        <v/>
      </c>
      <c r="AB473" s="2"/>
      <c r="AC473" s="94" t="str">
        <f t="shared" si="178"/>
        <v/>
      </c>
      <c r="AD473" s="95" t="str">
        <f t="shared" si="179"/>
        <v/>
      </c>
      <c r="AE473" s="96" t="str">
        <f t="shared" si="180"/>
        <v/>
      </c>
      <c r="AF473" s="124" t="str">
        <f t="shared" si="181"/>
        <v/>
      </c>
      <c r="AG473" s="2"/>
      <c r="AH473" s="2"/>
      <c r="AI473" s="2"/>
      <c r="AJ473" s="2"/>
      <c r="AK473" s="2"/>
      <c r="AL473" s="2"/>
    </row>
    <row r="474" spans="1:38" x14ac:dyDescent="0.2">
      <c r="A474" s="45"/>
      <c r="B474" s="43" t="str">
        <f t="shared" si="184"/>
        <v/>
      </c>
      <c r="C474" s="96" t="str">
        <f t="shared" si="183"/>
        <v/>
      </c>
      <c r="D474" s="44" t="str">
        <f t="shared" si="185"/>
        <v/>
      </c>
      <c r="E474" s="52"/>
      <c r="F474" s="63" t="str">
        <f t="shared" si="186"/>
        <v/>
      </c>
      <c r="G474" s="56" t="str">
        <f t="shared" si="187"/>
        <v/>
      </c>
      <c r="H474" s="42"/>
      <c r="I474" s="2" t="str">
        <f t="shared" si="188"/>
        <v/>
      </c>
      <c r="J474" s="54" t="str">
        <f t="shared" si="175"/>
        <v/>
      </c>
      <c r="K474" s="55" t="str">
        <f t="shared" si="189"/>
        <v/>
      </c>
      <c r="L474" s="63" t="str">
        <f t="shared" si="190"/>
        <v/>
      </c>
      <c r="M474" s="96" t="str">
        <f t="shared" si="176"/>
        <v/>
      </c>
      <c r="N474" s="96" t="str">
        <f>IF(A474="","",IF(A474=Expiry,0,EXP(-q*Q474)*_xlfn.NORM.S.DIST(Y474,0)/(sigma*SQRT(Q474))*I474*Mult/100))</f>
        <v/>
      </c>
      <c r="O474" s="96" t="str">
        <f>IF(A474="","",IF(A474=Expiry,0,D474*E474*E474*EXP(-q*Q474)*_xlfn.NORM.S.DIST(Y474,0)*SQRT(Q474)/100))</f>
        <v/>
      </c>
      <c r="P474" s="69" t="str">
        <f>IF(A474="","",IF(A474=Expiry,0,AK474*I474*Mult*((-EXP(-q*Q474)*E474*_xlfn.NORM.S.DIST(Y474,0)*sigma/(2*SQRT(Q474))-r_dom*K*EXP(-r_dom*Q474)*_xlfn.NORM.S.DIST(Z474,1)+q*E474*EXP(-q*Q474)*_xlfn.NORM.S.DIST(Y474,1))/365)))</f>
        <v/>
      </c>
      <c r="Q474" s="83" t="str">
        <f t="shared" si="191"/>
        <v/>
      </c>
      <c r="R474" s="38"/>
      <c r="S474" s="68" t="str">
        <f t="shared" si="192"/>
        <v/>
      </c>
      <c r="T474" s="69" t="str">
        <f t="shared" si="193"/>
        <v/>
      </c>
      <c r="U474" s="70" t="str">
        <f t="shared" si="194"/>
        <v/>
      </c>
      <c r="V474" s="72" t="str">
        <f t="shared" si="195"/>
        <v/>
      </c>
      <c r="W474" s="2" t="str">
        <f t="shared" si="182"/>
        <v/>
      </c>
      <c r="X474" s="2" t="str">
        <f t="shared" si="177"/>
        <v/>
      </c>
      <c r="Y474" s="35" t="str">
        <f t="shared" ca="1" si="196"/>
        <v/>
      </c>
      <c r="Z474" s="36" t="str">
        <f t="shared" ca="1" si="197"/>
        <v/>
      </c>
      <c r="AA474" s="70" t="str">
        <f t="shared" si="198"/>
        <v/>
      </c>
      <c r="AB474" s="2"/>
      <c r="AC474" s="94" t="str">
        <f t="shared" si="178"/>
        <v/>
      </c>
      <c r="AD474" s="95" t="str">
        <f t="shared" si="179"/>
        <v/>
      </c>
      <c r="AE474" s="96" t="str">
        <f t="shared" si="180"/>
        <v/>
      </c>
      <c r="AF474" s="124" t="str">
        <f t="shared" si="181"/>
        <v/>
      </c>
      <c r="AG474" s="2"/>
      <c r="AH474" s="2"/>
      <c r="AI474" s="2"/>
      <c r="AJ474" s="2"/>
      <c r="AK474" s="2"/>
      <c r="AL474" s="2"/>
    </row>
    <row r="475" spans="1:38" x14ac:dyDescent="0.2">
      <c r="A475" s="45"/>
      <c r="B475" s="43" t="str">
        <f t="shared" si="184"/>
        <v/>
      </c>
      <c r="C475" s="96" t="str">
        <f t="shared" si="183"/>
        <v/>
      </c>
      <c r="D475" s="44" t="str">
        <f t="shared" si="185"/>
        <v/>
      </c>
      <c r="E475" s="52"/>
      <c r="F475" s="63" t="str">
        <f t="shared" si="186"/>
        <v/>
      </c>
      <c r="G475" s="56" t="str">
        <f t="shared" si="187"/>
        <v/>
      </c>
      <c r="H475" s="42"/>
      <c r="I475" s="2" t="str">
        <f t="shared" si="188"/>
        <v/>
      </c>
      <c r="J475" s="54" t="str">
        <f t="shared" si="175"/>
        <v/>
      </c>
      <c r="K475" s="55" t="str">
        <f t="shared" si="189"/>
        <v/>
      </c>
      <c r="L475" s="63" t="str">
        <f t="shared" si="190"/>
        <v/>
      </c>
      <c r="M475" s="96" t="str">
        <f t="shared" si="176"/>
        <v/>
      </c>
      <c r="N475" s="96" t="str">
        <f>IF(A475="","",IF(A475=Expiry,0,EXP(-q*Q475)*_xlfn.NORM.S.DIST(Y475,0)/(sigma*SQRT(Q475))*I475*Mult/100))</f>
        <v/>
      </c>
      <c r="O475" s="96" t="str">
        <f>IF(A475="","",IF(A475=Expiry,0,D475*E475*E475*EXP(-q*Q475)*_xlfn.NORM.S.DIST(Y475,0)*SQRT(Q475)/100))</f>
        <v/>
      </c>
      <c r="P475" s="69" t="str">
        <f>IF(A475="","",IF(A475=Expiry,0,AK475*I475*Mult*((-EXP(-q*Q475)*E475*_xlfn.NORM.S.DIST(Y475,0)*sigma/(2*SQRT(Q475))-r_dom*K*EXP(-r_dom*Q475)*_xlfn.NORM.S.DIST(Z475,1)+q*E475*EXP(-q*Q475)*_xlfn.NORM.S.DIST(Y475,1))/365)))</f>
        <v/>
      </c>
      <c r="Q475" s="83" t="str">
        <f t="shared" si="191"/>
        <v/>
      </c>
      <c r="R475" s="38"/>
      <c r="S475" s="68" t="str">
        <f t="shared" si="192"/>
        <v/>
      </c>
      <c r="T475" s="69" t="str">
        <f t="shared" si="193"/>
        <v/>
      </c>
      <c r="U475" s="70" t="str">
        <f t="shared" si="194"/>
        <v/>
      </c>
      <c r="V475" s="72" t="str">
        <f t="shared" si="195"/>
        <v/>
      </c>
      <c r="W475" s="2" t="str">
        <f t="shared" si="182"/>
        <v/>
      </c>
      <c r="X475" s="2" t="str">
        <f t="shared" si="177"/>
        <v/>
      </c>
      <c r="Y475" s="35" t="str">
        <f t="shared" ca="1" si="196"/>
        <v/>
      </c>
      <c r="Z475" s="36" t="str">
        <f t="shared" ca="1" si="197"/>
        <v/>
      </c>
      <c r="AA475" s="70" t="str">
        <f t="shared" si="198"/>
        <v/>
      </c>
      <c r="AB475" s="2"/>
      <c r="AC475" s="94" t="str">
        <f t="shared" si="178"/>
        <v/>
      </c>
      <c r="AD475" s="95" t="str">
        <f t="shared" si="179"/>
        <v/>
      </c>
      <c r="AE475" s="96" t="str">
        <f t="shared" si="180"/>
        <v/>
      </c>
      <c r="AF475" s="124" t="str">
        <f t="shared" si="181"/>
        <v/>
      </c>
      <c r="AG475" s="2"/>
      <c r="AH475" s="2"/>
      <c r="AI475" s="2"/>
      <c r="AJ475" s="2"/>
      <c r="AK475" s="2"/>
      <c r="AL475" s="2"/>
    </row>
    <row r="476" spans="1:38" x14ac:dyDescent="0.2">
      <c r="A476" s="45"/>
      <c r="B476" s="43" t="str">
        <f t="shared" si="184"/>
        <v/>
      </c>
      <c r="C476" s="96" t="str">
        <f t="shared" si="183"/>
        <v/>
      </c>
      <c r="D476" s="44" t="str">
        <f t="shared" si="185"/>
        <v/>
      </c>
      <c r="E476" s="52"/>
      <c r="F476" s="63" t="str">
        <f t="shared" si="186"/>
        <v/>
      </c>
      <c r="G476" s="56" t="str">
        <f t="shared" si="187"/>
        <v/>
      </c>
      <c r="H476" s="42"/>
      <c r="I476" s="2" t="str">
        <f t="shared" si="188"/>
        <v/>
      </c>
      <c r="J476" s="54" t="str">
        <f t="shared" si="175"/>
        <v/>
      </c>
      <c r="K476" s="55" t="str">
        <f t="shared" si="189"/>
        <v/>
      </c>
      <c r="L476" s="63" t="str">
        <f t="shared" si="190"/>
        <v/>
      </c>
      <c r="M476" s="96" t="str">
        <f t="shared" si="176"/>
        <v/>
      </c>
      <c r="N476" s="96" t="str">
        <f>IF(A476="","",IF(A476=Expiry,0,EXP(-q*Q476)*_xlfn.NORM.S.DIST(Y476,0)/(sigma*SQRT(Q476))*I476*Mult/100))</f>
        <v/>
      </c>
      <c r="O476" s="96" t="str">
        <f>IF(A476="","",IF(A476=Expiry,0,D476*E476*E476*EXP(-q*Q476)*_xlfn.NORM.S.DIST(Y476,0)*SQRT(Q476)/100))</f>
        <v/>
      </c>
      <c r="P476" s="69" t="str">
        <f>IF(A476="","",IF(A476=Expiry,0,AK476*I476*Mult*((-EXP(-q*Q476)*E476*_xlfn.NORM.S.DIST(Y476,0)*sigma/(2*SQRT(Q476))-r_dom*K*EXP(-r_dom*Q476)*_xlfn.NORM.S.DIST(Z476,1)+q*E476*EXP(-q*Q476)*_xlfn.NORM.S.DIST(Y476,1))/365)))</f>
        <v/>
      </c>
      <c r="Q476" s="83" t="str">
        <f t="shared" si="191"/>
        <v/>
      </c>
      <c r="R476" s="38"/>
      <c r="S476" s="68" t="str">
        <f t="shared" si="192"/>
        <v/>
      </c>
      <c r="T476" s="69" t="str">
        <f t="shared" si="193"/>
        <v/>
      </c>
      <c r="U476" s="70" t="str">
        <f t="shared" si="194"/>
        <v/>
      </c>
      <c r="V476" s="72" t="str">
        <f t="shared" si="195"/>
        <v/>
      </c>
      <c r="W476" s="2" t="str">
        <f t="shared" si="182"/>
        <v/>
      </c>
      <c r="X476" s="2" t="str">
        <f t="shared" si="177"/>
        <v/>
      </c>
      <c r="Y476" s="35" t="str">
        <f t="shared" ca="1" si="196"/>
        <v/>
      </c>
      <c r="Z476" s="36" t="str">
        <f t="shared" ca="1" si="197"/>
        <v/>
      </c>
      <c r="AA476" s="70" t="str">
        <f t="shared" si="198"/>
        <v/>
      </c>
      <c r="AB476" s="2"/>
      <c r="AC476" s="94" t="str">
        <f t="shared" si="178"/>
        <v/>
      </c>
      <c r="AD476" s="95" t="str">
        <f t="shared" si="179"/>
        <v/>
      </c>
      <c r="AE476" s="96" t="str">
        <f t="shared" si="180"/>
        <v/>
      </c>
      <c r="AF476" s="124" t="str">
        <f t="shared" si="181"/>
        <v/>
      </c>
      <c r="AG476" s="2"/>
      <c r="AH476" s="2"/>
      <c r="AI476" s="2"/>
      <c r="AJ476" s="2"/>
      <c r="AK476" s="2"/>
      <c r="AL476" s="2"/>
    </row>
    <row r="477" spans="1:38" x14ac:dyDescent="0.2">
      <c r="A477" s="45"/>
      <c r="B477" s="43" t="str">
        <f t="shared" si="184"/>
        <v/>
      </c>
      <c r="C477" s="96" t="str">
        <f t="shared" si="183"/>
        <v/>
      </c>
      <c r="D477" s="44" t="str">
        <f t="shared" si="185"/>
        <v/>
      </c>
      <c r="E477" s="52"/>
      <c r="F477" s="63" t="str">
        <f t="shared" si="186"/>
        <v/>
      </c>
      <c r="G477" s="56" t="str">
        <f t="shared" si="187"/>
        <v/>
      </c>
      <c r="H477" s="42"/>
      <c r="I477" s="2" t="str">
        <f t="shared" si="188"/>
        <v/>
      </c>
      <c r="J477" s="54" t="str">
        <f t="shared" si="175"/>
        <v/>
      </c>
      <c r="K477" s="55" t="str">
        <f t="shared" si="189"/>
        <v/>
      </c>
      <c r="L477" s="63" t="str">
        <f t="shared" si="190"/>
        <v/>
      </c>
      <c r="M477" s="96" t="str">
        <f t="shared" si="176"/>
        <v/>
      </c>
      <c r="N477" s="96" t="str">
        <f>IF(A477="","",IF(A477=Expiry,0,EXP(-q*Q477)*_xlfn.NORM.S.DIST(Y477,0)/(sigma*SQRT(Q477))*I477*Mult/100))</f>
        <v/>
      </c>
      <c r="O477" s="96" t="str">
        <f>IF(A477="","",IF(A477=Expiry,0,D477*E477*E477*EXP(-q*Q477)*_xlfn.NORM.S.DIST(Y477,0)*SQRT(Q477)/100))</f>
        <v/>
      </c>
      <c r="P477" s="69" t="str">
        <f>IF(A477="","",IF(A477=Expiry,0,AK477*I477*Mult*((-EXP(-q*Q477)*E477*_xlfn.NORM.S.DIST(Y477,0)*sigma/(2*SQRT(Q477))-r_dom*K*EXP(-r_dom*Q477)*_xlfn.NORM.S.DIST(Z477,1)+q*E477*EXP(-q*Q477)*_xlfn.NORM.S.DIST(Y477,1))/365)))</f>
        <v/>
      </c>
      <c r="Q477" s="83" t="str">
        <f t="shared" si="191"/>
        <v/>
      </c>
      <c r="R477" s="38"/>
      <c r="S477" s="68" t="str">
        <f t="shared" si="192"/>
        <v/>
      </c>
      <c r="T477" s="69" t="str">
        <f t="shared" si="193"/>
        <v/>
      </c>
      <c r="U477" s="70" t="str">
        <f t="shared" si="194"/>
        <v/>
      </c>
      <c r="V477" s="72" t="str">
        <f t="shared" si="195"/>
        <v/>
      </c>
      <c r="W477" s="2" t="str">
        <f t="shared" si="182"/>
        <v/>
      </c>
      <c r="X477" s="2" t="str">
        <f t="shared" si="177"/>
        <v/>
      </c>
      <c r="Y477" s="35" t="str">
        <f t="shared" ca="1" si="196"/>
        <v/>
      </c>
      <c r="Z477" s="36" t="str">
        <f t="shared" ca="1" si="197"/>
        <v/>
      </c>
      <c r="AA477" s="70" t="str">
        <f t="shared" si="198"/>
        <v/>
      </c>
      <c r="AB477" s="2"/>
      <c r="AC477" s="94" t="str">
        <f t="shared" si="178"/>
        <v/>
      </c>
      <c r="AD477" s="95" t="str">
        <f t="shared" si="179"/>
        <v/>
      </c>
      <c r="AE477" s="96" t="str">
        <f t="shared" si="180"/>
        <v/>
      </c>
      <c r="AF477" s="124" t="str">
        <f t="shared" si="181"/>
        <v/>
      </c>
      <c r="AG477" s="2"/>
      <c r="AH477" s="2"/>
      <c r="AI477" s="2"/>
      <c r="AJ477" s="2"/>
      <c r="AK477" s="2"/>
      <c r="AL477" s="2"/>
    </row>
    <row r="478" spans="1:38" x14ac:dyDescent="0.2">
      <c r="A478" s="45"/>
      <c r="B478" s="43" t="str">
        <f t="shared" si="184"/>
        <v/>
      </c>
      <c r="C478" s="96" t="str">
        <f t="shared" si="183"/>
        <v/>
      </c>
      <c r="D478" s="44" t="str">
        <f t="shared" si="185"/>
        <v/>
      </c>
      <c r="E478" s="52"/>
      <c r="F478" s="63" t="str">
        <f t="shared" si="186"/>
        <v/>
      </c>
      <c r="G478" s="56" t="str">
        <f t="shared" si="187"/>
        <v/>
      </c>
      <c r="H478" s="42"/>
      <c r="I478" s="2" t="str">
        <f t="shared" si="188"/>
        <v/>
      </c>
      <c r="J478" s="54" t="str">
        <f t="shared" si="175"/>
        <v/>
      </c>
      <c r="K478" s="55" t="str">
        <f t="shared" si="189"/>
        <v/>
      </c>
      <c r="L478" s="63" t="str">
        <f t="shared" si="190"/>
        <v/>
      </c>
      <c r="M478" s="96" t="str">
        <f t="shared" si="176"/>
        <v/>
      </c>
      <c r="N478" s="96" t="str">
        <f>IF(A478="","",IF(A478=Expiry,0,EXP(-q*Q478)*_xlfn.NORM.S.DIST(Y478,0)/(sigma*SQRT(Q478))*I478*Mult/100))</f>
        <v/>
      </c>
      <c r="O478" s="96" t="str">
        <f>IF(A478="","",IF(A478=Expiry,0,D478*E478*E478*EXP(-q*Q478)*_xlfn.NORM.S.DIST(Y478,0)*SQRT(Q478)/100))</f>
        <v/>
      </c>
      <c r="P478" s="69" t="str">
        <f>IF(A478="","",IF(A478=Expiry,0,AK478*I478*Mult*((-EXP(-q*Q478)*E478*_xlfn.NORM.S.DIST(Y478,0)*sigma/(2*SQRT(Q478))-r_dom*K*EXP(-r_dom*Q478)*_xlfn.NORM.S.DIST(Z478,1)+q*E478*EXP(-q*Q478)*_xlfn.NORM.S.DIST(Y478,1))/365)))</f>
        <v/>
      </c>
      <c r="Q478" s="83" t="str">
        <f t="shared" si="191"/>
        <v/>
      </c>
      <c r="R478" s="38"/>
      <c r="S478" s="68" t="str">
        <f t="shared" si="192"/>
        <v/>
      </c>
      <c r="T478" s="69" t="str">
        <f t="shared" si="193"/>
        <v/>
      </c>
      <c r="U478" s="70" t="str">
        <f t="shared" si="194"/>
        <v/>
      </c>
      <c r="V478" s="72" t="str">
        <f t="shared" si="195"/>
        <v/>
      </c>
      <c r="W478" s="2" t="str">
        <f t="shared" si="182"/>
        <v/>
      </c>
      <c r="X478" s="2" t="str">
        <f t="shared" si="177"/>
        <v/>
      </c>
      <c r="Y478" s="35" t="str">
        <f t="shared" ca="1" si="196"/>
        <v/>
      </c>
      <c r="Z478" s="36" t="str">
        <f t="shared" ca="1" si="197"/>
        <v/>
      </c>
      <c r="AA478" s="70" t="str">
        <f t="shared" si="198"/>
        <v/>
      </c>
      <c r="AB478" s="2"/>
      <c r="AC478" s="94" t="str">
        <f t="shared" si="178"/>
        <v/>
      </c>
      <c r="AD478" s="95" t="str">
        <f t="shared" si="179"/>
        <v/>
      </c>
      <c r="AE478" s="96" t="str">
        <f t="shared" si="180"/>
        <v/>
      </c>
      <c r="AF478" s="124" t="str">
        <f t="shared" si="181"/>
        <v/>
      </c>
      <c r="AG478" s="2"/>
      <c r="AH478" s="2"/>
      <c r="AI478" s="2"/>
      <c r="AJ478" s="2"/>
      <c r="AK478" s="2"/>
      <c r="AL478" s="2"/>
    </row>
    <row r="479" spans="1:38" x14ac:dyDescent="0.2">
      <c r="A479" s="45"/>
      <c r="B479" s="43" t="str">
        <f t="shared" si="184"/>
        <v/>
      </c>
      <c r="C479" s="96" t="str">
        <f t="shared" si="183"/>
        <v/>
      </c>
      <c r="D479" s="44" t="str">
        <f t="shared" si="185"/>
        <v/>
      </c>
      <c r="E479" s="52"/>
      <c r="F479" s="63" t="str">
        <f t="shared" si="186"/>
        <v/>
      </c>
      <c r="G479" s="56" t="str">
        <f t="shared" si="187"/>
        <v/>
      </c>
      <c r="H479" s="42"/>
      <c r="I479" s="2" t="str">
        <f t="shared" si="188"/>
        <v/>
      </c>
      <c r="J479" s="54" t="str">
        <f t="shared" si="175"/>
        <v/>
      </c>
      <c r="K479" s="55" t="str">
        <f t="shared" si="189"/>
        <v/>
      </c>
      <c r="L479" s="63" t="str">
        <f t="shared" si="190"/>
        <v/>
      </c>
      <c r="M479" s="96" t="str">
        <f t="shared" si="176"/>
        <v/>
      </c>
      <c r="N479" s="96" t="str">
        <f>IF(A479="","",IF(A479=Expiry,0,EXP(-q*Q479)*_xlfn.NORM.S.DIST(Y479,0)/(sigma*SQRT(Q479))*I479*Mult/100))</f>
        <v/>
      </c>
      <c r="O479" s="96" t="str">
        <f>IF(A479="","",IF(A479=Expiry,0,D479*E479*E479*EXP(-q*Q479)*_xlfn.NORM.S.DIST(Y479,0)*SQRT(Q479)/100))</f>
        <v/>
      </c>
      <c r="P479" s="69" t="str">
        <f>IF(A479="","",IF(A479=Expiry,0,AK479*I479*Mult*((-EXP(-q*Q479)*E479*_xlfn.NORM.S.DIST(Y479,0)*sigma/(2*SQRT(Q479))-r_dom*K*EXP(-r_dom*Q479)*_xlfn.NORM.S.DIST(Z479,1)+q*E479*EXP(-q*Q479)*_xlfn.NORM.S.DIST(Y479,1))/365)))</f>
        <v/>
      </c>
      <c r="Q479" s="83" t="str">
        <f t="shared" si="191"/>
        <v/>
      </c>
      <c r="R479" s="38"/>
      <c r="S479" s="68" t="str">
        <f t="shared" si="192"/>
        <v/>
      </c>
      <c r="T479" s="69" t="str">
        <f t="shared" si="193"/>
        <v/>
      </c>
      <c r="U479" s="70" t="str">
        <f t="shared" si="194"/>
        <v/>
      </c>
      <c r="V479" s="72" t="str">
        <f t="shared" si="195"/>
        <v/>
      </c>
      <c r="W479" s="2" t="str">
        <f t="shared" si="182"/>
        <v/>
      </c>
      <c r="X479" s="2" t="str">
        <f t="shared" si="177"/>
        <v/>
      </c>
      <c r="Y479" s="35" t="str">
        <f t="shared" ca="1" si="196"/>
        <v/>
      </c>
      <c r="Z479" s="36" t="str">
        <f t="shared" ca="1" si="197"/>
        <v/>
      </c>
      <c r="AA479" s="70" t="str">
        <f t="shared" si="198"/>
        <v/>
      </c>
      <c r="AB479" s="2"/>
      <c r="AC479" s="94" t="str">
        <f t="shared" si="178"/>
        <v/>
      </c>
      <c r="AD479" s="95" t="str">
        <f t="shared" si="179"/>
        <v/>
      </c>
      <c r="AE479" s="96" t="str">
        <f t="shared" si="180"/>
        <v/>
      </c>
      <c r="AF479" s="124" t="str">
        <f t="shared" si="181"/>
        <v/>
      </c>
      <c r="AG479" s="2"/>
      <c r="AH479" s="2"/>
      <c r="AI479" s="2"/>
      <c r="AJ479" s="2"/>
      <c r="AK479" s="2"/>
      <c r="AL479" s="2"/>
    </row>
    <row r="480" spans="1:38" x14ac:dyDescent="0.2">
      <c r="A480" s="45"/>
      <c r="B480" s="43" t="str">
        <f t="shared" si="184"/>
        <v/>
      </c>
      <c r="C480" s="96" t="str">
        <f t="shared" si="183"/>
        <v/>
      </c>
      <c r="D480" s="44" t="str">
        <f t="shared" si="185"/>
        <v/>
      </c>
      <c r="E480" s="52"/>
      <c r="F480" s="63" t="str">
        <f t="shared" si="186"/>
        <v/>
      </c>
      <c r="G480" s="56" t="str">
        <f t="shared" si="187"/>
        <v/>
      </c>
      <c r="H480" s="42"/>
      <c r="I480" s="2" t="str">
        <f t="shared" si="188"/>
        <v/>
      </c>
      <c r="J480" s="54" t="str">
        <f t="shared" si="175"/>
        <v/>
      </c>
      <c r="K480" s="55" t="str">
        <f t="shared" si="189"/>
        <v/>
      </c>
      <c r="L480" s="63" t="str">
        <f t="shared" si="190"/>
        <v/>
      </c>
      <c r="M480" s="96" t="str">
        <f t="shared" si="176"/>
        <v/>
      </c>
      <c r="N480" s="96" t="str">
        <f>IF(A480="","",IF(A480=Expiry,0,EXP(-q*Q480)*_xlfn.NORM.S.DIST(Y480,0)/(sigma*SQRT(Q480))*I480*Mult/100))</f>
        <v/>
      </c>
      <c r="O480" s="96" t="str">
        <f>IF(A480="","",IF(A480=Expiry,0,D480*E480*E480*EXP(-q*Q480)*_xlfn.NORM.S.DIST(Y480,0)*SQRT(Q480)/100))</f>
        <v/>
      </c>
      <c r="P480" s="69" t="str">
        <f>IF(A480="","",IF(A480=Expiry,0,AK480*I480*Mult*((-EXP(-q*Q480)*E480*_xlfn.NORM.S.DIST(Y480,0)*sigma/(2*SQRT(Q480))-r_dom*K*EXP(-r_dom*Q480)*_xlfn.NORM.S.DIST(Z480,1)+q*E480*EXP(-q*Q480)*_xlfn.NORM.S.DIST(Y480,1))/365)))</f>
        <v/>
      </c>
      <c r="Q480" s="83" t="str">
        <f t="shared" si="191"/>
        <v/>
      </c>
      <c r="R480" s="38"/>
      <c r="S480" s="68" t="str">
        <f t="shared" si="192"/>
        <v/>
      </c>
      <c r="T480" s="69" t="str">
        <f t="shared" si="193"/>
        <v/>
      </c>
      <c r="U480" s="70" t="str">
        <f t="shared" si="194"/>
        <v/>
      </c>
      <c r="V480" s="72" t="str">
        <f t="shared" si="195"/>
        <v/>
      </c>
      <c r="W480" s="2" t="str">
        <f t="shared" si="182"/>
        <v/>
      </c>
      <c r="X480" s="2" t="str">
        <f t="shared" si="177"/>
        <v/>
      </c>
      <c r="Y480" s="35" t="str">
        <f t="shared" ca="1" si="196"/>
        <v/>
      </c>
      <c r="Z480" s="36" t="str">
        <f t="shared" ca="1" si="197"/>
        <v/>
      </c>
      <c r="AA480" s="70" t="str">
        <f t="shared" si="198"/>
        <v/>
      </c>
      <c r="AB480" s="2"/>
      <c r="AC480" s="94" t="str">
        <f t="shared" si="178"/>
        <v/>
      </c>
      <c r="AD480" s="95" t="str">
        <f t="shared" si="179"/>
        <v/>
      </c>
      <c r="AE480" s="96" t="str">
        <f t="shared" si="180"/>
        <v/>
      </c>
      <c r="AF480" s="124" t="str">
        <f t="shared" si="181"/>
        <v/>
      </c>
      <c r="AG480" s="2"/>
      <c r="AH480" s="2"/>
      <c r="AI480" s="2"/>
      <c r="AJ480" s="2"/>
      <c r="AK480" s="2"/>
      <c r="AL480" s="2"/>
    </row>
    <row r="481" spans="1:38" x14ac:dyDescent="0.2">
      <c r="A481" s="45"/>
      <c r="B481" s="43" t="str">
        <f t="shared" si="184"/>
        <v/>
      </c>
      <c r="C481" s="96" t="str">
        <f t="shared" si="183"/>
        <v/>
      </c>
      <c r="D481" s="44" t="str">
        <f t="shared" si="185"/>
        <v/>
      </c>
      <c r="E481" s="52"/>
      <c r="F481" s="63" t="str">
        <f t="shared" si="186"/>
        <v/>
      </c>
      <c r="G481" s="56" t="str">
        <f t="shared" si="187"/>
        <v/>
      </c>
      <c r="H481" s="42"/>
      <c r="I481" s="2" t="str">
        <f t="shared" si="188"/>
        <v/>
      </c>
      <c r="J481" s="54" t="str">
        <f t="shared" si="175"/>
        <v/>
      </c>
      <c r="K481" s="55" t="str">
        <f t="shared" si="189"/>
        <v/>
      </c>
      <c r="L481" s="63" t="str">
        <f t="shared" si="190"/>
        <v/>
      </c>
      <c r="M481" s="96" t="str">
        <f t="shared" si="176"/>
        <v/>
      </c>
      <c r="N481" s="96" t="str">
        <f>IF(A481="","",IF(A481=Expiry,0,EXP(-q*Q481)*_xlfn.NORM.S.DIST(Y481,0)/(sigma*SQRT(Q481))*I481*Mult/100))</f>
        <v/>
      </c>
      <c r="O481" s="96" t="str">
        <f>IF(A481="","",IF(A481=Expiry,0,D481*E481*E481*EXP(-q*Q481)*_xlfn.NORM.S.DIST(Y481,0)*SQRT(Q481)/100))</f>
        <v/>
      </c>
      <c r="P481" s="69" t="str">
        <f>IF(A481="","",IF(A481=Expiry,0,AK481*I481*Mult*((-EXP(-q*Q481)*E481*_xlfn.NORM.S.DIST(Y481,0)*sigma/(2*SQRT(Q481))-r_dom*K*EXP(-r_dom*Q481)*_xlfn.NORM.S.DIST(Z481,1)+q*E481*EXP(-q*Q481)*_xlfn.NORM.S.DIST(Y481,1))/365)))</f>
        <v/>
      </c>
      <c r="Q481" s="83" t="str">
        <f t="shared" si="191"/>
        <v/>
      </c>
      <c r="R481" s="38"/>
      <c r="S481" s="68" t="str">
        <f t="shared" si="192"/>
        <v/>
      </c>
      <c r="T481" s="69" t="str">
        <f t="shared" si="193"/>
        <v/>
      </c>
      <c r="U481" s="70" t="str">
        <f t="shared" si="194"/>
        <v/>
      </c>
      <c r="V481" s="72" t="str">
        <f t="shared" si="195"/>
        <v/>
      </c>
      <c r="W481" s="2" t="str">
        <f t="shared" si="182"/>
        <v/>
      </c>
      <c r="X481" s="2" t="str">
        <f t="shared" si="177"/>
        <v/>
      </c>
      <c r="Y481" s="35" t="str">
        <f t="shared" ca="1" si="196"/>
        <v/>
      </c>
      <c r="Z481" s="36" t="str">
        <f t="shared" ca="1" si="197"/>
        <v/>
      </c>
      <c r="AA481" s="70" t="str">
        <f t="shared" si="198"/>
        <v/>
      </c>
      <c r="AB481" s="2"/>
      <c r="AC481" s="94" t="str">
        <f t="shared" si="178"/>
        <v/>
      </c>
      <c r="AD481" s="95" t="str">
        <f t="shared" si="179"/>
        <v/>
      </c>
      <c r="AE481" s="96" t="str">
        <f t="shared" si="180"/>
        <v/>
      </c>
      <c r="AF481" s="124" t="str">
        <f t="shared" si="181"/>
        <v/>
      </c>
      <c r="AG481" s="2"/>
      <c r="AH481" s="2"/>
      <c r="AI481" s="2"/>
      <c r="AJ481" s="2"/>
      <c r="AK481" s="2"/>
      <c r="AL481" s="2"/>
    </row>
    <row r="482" spans="1:38" x14ac:dyDescent="0.2">
      <c r="A482" s="45"/>
      <c r="B482" s="43" t="str">
        <f t="shared" si="184"/>
        <v/>
      </c>
      <c r="C482" s="96" t="str">
        <f t="shared" si="183"/>
        <v/>
      </c>
      <c r="D482" s="44" t="str">
        <f t="shared" si="185"/>
        <v/>
      </c>
      <c r="E482" s="52"/>
      <c r="F482" s="63" t="str">
        <f t="shared" si="186"/>
        <v/>
      </c>
      <c r="G482" s="56" t="str">
        <f t="shared" si="187"/>
        <v/>
      </c>
      <c r="H482" s="42"/>
      <c r="I482" s="2" t="str">
        <f t="shared" si="188"/>
        <v/>
      </c>
      <c r="J482" s="54" t="str">
        <f t="shared" si="175"/>
        <v/>
      </c>
      <c r="K482" s="55" t="str">
        <f t="shared" si="189"/>
        <v/>
      </c>
      <c r="L482" s="63" t="str">
        <f t="shared" si="190"/>
        <v/>
      </c>
      <c r="M482" s="96" t="str">
        <f t="shared" si="176"/>
        <v/>
      </c>
      <c r="N482" s="96" t="str">
        <f>IF(A482="","",IF(A482=Expiry,0,EXP(-q*Q482)*_xlfn.NORM.S.DIST(Y482,0)/(sigma*SQRT(Q482))*I482*Mult/100))</f>
        <v/>
      </c>
      <c r="O482" s="96" t="str">
        <f>IF(A482="","",IF(A482=Expiry,0,D482*E482*E482*EXP(-q*Q482)*_xlfn.NORM.S.DIST(Y482,0)*SQRT(Q482)/100))</f>
        <v/>
      </c>
      <c r="P482" s="69" t="str">
        <f>IF(A482="","",IF(A482=Expiry,0,AK482*I482*Mult*((-EXP(-q*Q482)*E482*_xlfn.NORM.S.DIST(Y482,0)*sigma/(2*SQRT(Q482))-r_dom*K*EXP(-r_dom*Q482)*_xlfn.NORM.S.DIST(Z482,1)+q*E482*EXP(-q*Q482)*_xlfn.NORM.S.DIST(Y482,1))/365)))</f>
        <v/>
      </c>
      <c r="Q482" s="83" t="str">
        <f t="shared" si="191"/>
        <v/>
      </c>
      <c r="R482" s="38"/>
      <c r="S482" s="68" t="str">
        <f t="shared" si="192"/>
        <v/>
      </c>
      <c r="T482" s="69" t="str">
        <f t="shared" si="193"/>
        <v/>
      </c>
      <c r="U482" s="70" t="str">
        <f t="shared" si="194"/>
        <v/>
      </c>
      <c r="V482" s="72" t="str">
        <f t="shared" si="195"/>
        <v/>
      </c>
      <c r="W482" s="2" t="str">
        <f t="shared" si="182"/>
        <v/>
      </c>
      <c r="X482" s="2" t="str">
        <f t="shared" si="177"/>
        <v/>
      </c>
      <c r="Y482" s="35" t="str">
        <f t="shared" ca="1" si="196"/>
        <v/>
      </c>
      <c r="Z482" s="36" t="str">
        <f t="shared" ca="1" si="197"/>
        <v/>
      </c>
      <c r="AA482" s="70" t="str">
        <f t="shared" si="198"/>
        <v/>
      </c>
      <c r="AB482" s="2"/>
      <c r="AC482" s="94" t="str">
        <f t="shared" si="178"/>
        <v/>
      </c>
      <c r="AD482" s="95" t="str">
        <f t="shared" si="179"/>
        <v/>
      </c>
      <c r="AE482" s="96" t="str">
        <f t="shared" si="180"/>
        <v/>
      </c>
      <c r="AF482" s="124" t="str">
        <f t="shared" si="181"/>
        <v/>
      </c>
      <c r="AG482" s="2"/>
      <c r="AH482" s="2"/>
      <c r="AI482" s="2"/>
      <c r="AJ482" s="2"/>
      <c r="AK482" s="2"/>
      <c r="AL482" s="2"/>
    </row>
    <row r="483" spans="1:38" x14ac:dyDescent="0.2">
      <c r="A483" s="45"/>
      <c r="B483" s="43" t="str">
        <f t="shared" si="184"/>
        <v/>
      </c>
      <c r="C483" s="96" t="str">
        <f t="shared" si="183"/>
        <v/>
      </c>
      <c r="D483" s="44" t="str">
        <f t="shared" si="185"/>
        <v/>
      </c>
      <c r="E483" s="52"/>
      <c r="F483" s="63" t="str">
        <f t="shared" si="186"/>
        <v/>
      </c>
      <c r="G483" s="56" t="str">
        <f t="shared" si="187"/>
        <v/>
      </c>
      <c r="H483" s="42"/>
      <c r="I483" s="2" t="str">
        <f t="shared" si="188"/>
        <v/>
      </c>
      <c r="J483" s="54" t="str">
        <f t="shared" si="175"/>
        <v/>
      </c>
      <c r="K483" s="55" t="str">
        <f t="shared" si="189"/>
        <v/>
      </c>
      <c r="L483" s="63" t="str">
        <f t="shared" si="190"/>
        <v/>
      </c>
      <c r="M483" s="96" t="str">
        <f t="shared" si="176"/>
        <v/>
      </c>
      <c r="N483" s="96" t="str">
        <f>IF(A483="","",IF(A483=Expiry,0,EXP(-q*Q483)*_xlfn.NORM.S.DIST(Y483,0)/(sigma*SQRT(Q483))*I483*Mult/100))</f>
        <v/>
      </c>
      <c r="O483" s="96" t="str">
        <f>IF(A483="","",IF(A483=Expiry,0,D483*E483*E483*EXP(-q*Q483)*_xlfn.NORM.S.DIST(Y483,0)*SQRT(Q483)/100))</f>
        <v/>
      </c>
      <c r="P483" s="69" t="str">
        <f>IF(A483="","",IF(A483=Expiry,0,AK483*I483*Mult*((-EXP(-q*Q483)*E483*_xlfn.NORM.S.DIST(Y483,0)*sigma/(2*SQRT(Q483))-r_dom*K*EXP(-r_dom*Q483)*_xlfn.NORM.S.DIST(Z483,1)+q*E483*EXP(-q*Q483)*_xlfn.NORM.S.DIST(Y483,1))/365)))</f>
        <v/>
      </c>
      <c r="Q483" s="83" t="str">
        <f t="shared" si="191"/>
        <v/>
      </c>
      <c r="R483" s="38"/>
      <c r="S483" s="68" t="str">
        <f t="shared" si="192"/>
        <v/>
      </c>
      <c r="T483" s="69" t="str">
        <f t="shared" si="193"/>
        <v/>
      </c>
      <c r="U483" s="70" t="str">
        <f t="shared" si="194"/>
        <v/>
      </c>
      <c r="V483" s="72" t="str">
        <f t="shared" si="195"/>
        <v/>
      </c>
      <c r="W483" s="2" t="str">
        <f t="shared" si="182"/>
        <v/>
      </c>
      <c r="X483" s="2" t="str">
        <f t="shared" si="177"/>
        <v/>
      </c>
      <c r="Y483" s="35" t="str">
        <f t="shared" ca="1" si="196"/>
        <v/>
      </c>
      <c r="Z483" s="36" t="str">
        <f t="shared" ca="1" si="197"/>
        <v/>
      </c>
      <c r="AA483" s="70" t="str">
        <f t="shared" si="198"/>
        <v/>
      </c>
      <c r="AB483" s="2"/>
      <c r="AC483" s="94" t="str">
        <f t="shared" si="178"/>
        <v/>
      </c>
      <c r="AD483" s="95" t="str">
        <f t="shared" si="179"/>
        <v/>
      </c>
      <c r="AE483" s="96" t="str">
        <f t="shared" si="180"/>
        <v/>
      </c>
      <c r="AF483" s="124" t="str">
        <f t="shared" si="181"/>
        <v/>
      </c>
      <c r="AG483" s="2"/>
      <c r="AH483" s="2"/>
      <c r="AI483" s="2"/>
      <c r="AJ483" s="2"/>
      <c r="AK483" s="2"/>
      <c r="AL483" s="2"/>
    </row>
    <row r="484" spans="1:38" x14ac:dyDescent="0.2">
      <c r="A484" s="45"/>
      <c r="B484" s="43" t="str">
        <f t="shared" si="184"/>
        <v/>
      </c>
      <c r="C484" s="96" t="str">
        <f t="shared" si="183"/>
        <v/>
      </c>
      <c r="D484" s="44" t="str">
        <f t="shared" si="185"/>
        <v/>
      </c>
      <c r="E484" s="52"/>
      <c r="F484" s="63" t="str">
        <f t="shared" si="186"/>
        <v/>
      </c>
      <c r="G484" s="56" t="str">
        <f t="shared" si="187"/>
        <v/>
      </c>
      <c r="H484" s="42"/>
      <c r="I484" s="2" t="str">
        <f t="shared" si="188"/>
        <v/>
      </c>
      <c r="J484" s="54" t="str">
        <f t="shared" ref="J484:J547" si="199">IF(CorP="C",AC484,AD484)</f>
        <v/>
      </c>
      <c r="K484" s="55" t="str">
        <f t="shared" si="189"/>
        <v/>
      </c>
      <c r="L484" s="63" t="str">
        <f t="shared" si="190"/>
        <v/>
      </c>
      <c r="M484" s="96" t="str">
        <f t="shared" ref="M484:M547" si="200">IF(CorP="C",AE484,AF484)</f>
        <v/>
      </c>
      <c r="N484" s="96" t="str">
        <f>IF(A484="","",IF(A484=Expiry,0,EXP(-q*Q484)*_xlfn.NORM.S.DIST(Y484,0)/(sigma*SQRT(Q484))*I484*Mult/100))</f>
        <v/>
      </c>
      <c r="O484" s="96" t="str">
        <f>IF(A484="","",IF(A484=Expiry,0,D484*E484*E484*EXP(-q*Q484)*_xlfn.NORM.S.DIST(Y484,0)*SQRT(Q484)/100))</f>
        <v/>
      </c>
      <c r="P484" s="69" t="str">
        <f>IF(A484="","",IF(A484=Expiry,0,AK484*I484*Mult*((-EXP(-q*Q484)*E484*_xlfn.NORM.S.DIST(Y484,0)*sigma/(2*SQRT(Q484))-r_dom*K*EXP(-r_dom*Q484)*_xlfn.NORM.S.DIST(Z484,1)+q*E484*EXP(-q*Q484)*_xlfn.NORM.S.DIST(Y484,1))/365)))</f>
        <v/>
      </c>
      <c r="Q484" s="83" t="str">
        <f t="shared" si="191"/>
        <v/>
      </c>
      <c r="R484" s="38"/>
      <c r="S484" s="68" t="str">
        <f t="shared" si="192"/>
        <v/>
      </c>
      <c r="T484" s="69" t="str">
        <f t="shared" si="193"/>
        <v/>
      </c>
      <c r="U484" s="70" t="str">
        <f t="shared" si="194"/>
        <v/>
      </c>
      <c r="V484" s="72" t="str">
        <f t="shared" si="195"/>
        <v/>
      </c>
      <c r="W484" s="2" t="str">
        <f t="shared" si="182"/>
        <v/>
      </c>
      <c r="X484" s="2" t="str">
        <f t="shared" ref="X484:X547" si="201">IF(A484="","",K)</f>
        <v/>
      </c>
      <c r="Y484" s="35" t="str">
        <f t="shared" ca="1" si="196"/>
        <v/>
      </c>
      <c r="Z484" s="36" t="str">
        <f t="shared" ca="1" si="197"/>
        <v/>
      </c>
      <c r="AA484" s="70" t="str">
        <f t="shared" si="198"/>
        <v/>
      </c>
      <c r="AB484" s="2"/>
      <c r="AC484" s="94" t="str">
        <f t="shared" ref="AC484:AC547" si="202">IF(A484="","",IF(A484=Expiry,MAX(E484-K,0),E484*EXP(-q*Q484)*_xlfn.NORM.S.DIST(Y484,1)-K*EXP(-r_dom*Q484)*_xlfn.NORM.S.DIST(Z484,1)))</f>
        <v/>
      </c>
      <c r="AD484" s="95" t="str">
        <f t="shared" ref="AD484:AD547" si="203">IF(A484="","",IF(A484=Expiry,MAX(K-E484,0),K*EXP(-r_dom*Q484)*_xlfn.NORM.S.DIST(-Z484,1)-E484*EXP(-q*Q484)*_xlfn.NORM.S.DIST(-Y484,1)))</f>
        <v/>
      </c>
      <c r="AE484" s="96" t="str">
        <f t="shared" ref="AE484:AE547" si="204">IF(A484="","",I484*Mult*IF(A484=Expiry,IF(E484&gt;K,1,0),EXP(-q*Q484)*_xlfn.NORM.S.DIST(Y484,1)))</f>
        <v/>
      </c>
      <c r="AF484" s="124" t="str">
        <f t="shared" ref="AF484:AF547" si="205">IF(A484="","",I484*Mult*IF(A484=Expiry,IF(E484&lt;K,-1,0),-EXP(-q*Q484)*_xlfn.NORM.S.DIST(-Y484,1)))</f>
        <v/>
      </c>
      <c r="AG484" s="2"/>
      <c r="AH484" s="2"/>
      <c r="AI484" s="2"/>
      <c r="AJ484" s="2"/>
      <c r="AK484" s="2"/>
      <c r="AL484" s="2"/>
    </row>
    <row r="485" spans="1:38" x14ac:dyDescent="0.2">
      <c r="A485" s="45"/>
      <c r="B485" s="43" t="str">
        <f t="shared" si="184"/>
        <v/>
      </c>
      <c r="C485" s="96" t="str">
        <f t="shared" si="183"/>
        <v/>
      </c>
      <c r="D485" s="44" t="str">
        <f t="shared" si="185"/>
        <v/>
      </c>
      <c r="E485" s="52"/>
      <c r="F485" s="63" t="str">
        <f t="shared" si="186"/>
        <v/>
      </c>
      <c r="G485" s="56" t="str">
        <f t="shared" si="187"/>
        <v/>
      </c>
      <c r="H485" s="42"/>
      <c r="I485" s="2" t="str">
        <f t="shared" si="188"/>
        <v/>
      </c>
      <c r="J485" s="54" t="str">
        <f t="shared" si="199"/>
        <v/>
      </c>
      <c r="K485" s="55" t="str">
        <f t="shared" si="189"/>
        <v/>
      </c>
      <c r="L485" s="63" t="str">
        <f t="shared" si="190"/>
        <v/>
      </c>
      <c r="M485" s="96" t="str">
        <f t="shared" si="200"/>
        <v/>
      </c>
      <c r="N485" s="96" t="str">
        <f>IF(A485="","",IF(A485=Expiry,0,EXP(-q*Q485)*_xlfn.NORM.S.DIST(Y485,0)/(sigma*SQRT(Q485))*I485*Mult/100))</f>
        <v/>
      </c>
      <c r="O485" s="96" t="str">
        <f>IF(A485="","",IF(A485=Expiry,0,D485*E485*E485*EXP(-q*Q485)*_xlfn.NORM.S.DIST(Y485,0)*SQRT(Q485)/100))</f>
        <v/>
      </c>
      <c r="P485" s="69" t="str">
        <f>IF(A485="","",IF(A485=Expiry,0,AK485*I485*Mult*((-EXP(-q*Q485)*E485*_xlfn.NORM.S.DIST(Y485,0)*sigma/(2*SQRT(Q485))-r_dom*K*EXP(-r_dom*Q485)*_xlfn.NORM.S.DIST(Z485,1)+q*E485*EXP(-q*Q485)*_xlfn.NORM.S.DIST(Y485,1))/365)))</f>
        <v/>
      </c>
      <c r="Q485" s="83" t="str">
        <f t="shared" si="191"/>
        <v/>
      </c>
      <c r="R485" s="38"/>
      <c r="S485" s="68" t="str">
        <f t="shared" si="192"/>
        <v/>
      </c>
      <c r="T485" s="69" t="str">
        <f t="shared" si="193"/>
        <v/>
      </c>
      <c r="U485" s="70" t="str">
        <f t="shared" si="194"/>
        <v/>
      </c>
      <c r="V485" s="72" t="str">
        <f t="shared" si="195"/>
        <v/>
      </c>
      <c r="W485" s="2" t="str">
        <f t="shared" ref="W485:W548" si="206">IF(A485="","",100)</f>
        <v/>
      </c>
      <c r="X485" s="2" t="str">
        <f t="shared" si="201"/>
        <v/>
      </c>
      <c r="Y485" s="35" t="str">
        <f t="shared" ca="1" si="196"/>
        <v/>
      </c>
      <c r="Z485" s="36" t="str">
        <f t="shared" ca="1" si="197"/>
        <v/>
      </c>
      <c r="AA485" s="70" t="str">
        <f t="shared" si="198"/>
        <v/>
      </c>
      <c r="AB485" s="2"/>
      <c r="AC485" s="94" t="str">
        <f t="shared" si="202"/>
        <v/>
      </c>
      <c r="AD485" s="95" t="str">
        <f t="shared" si="203"/>
        <v/>
      </c>
      <c r="AE485" s="96" t="str">
        <f t="shared" si="204"/>
        <v/>
      </c>
      <c r="AF485" s="124" t="str">
        <f t="shared" si="205"/>
        <v/>
      </c>
      <c r="AG485" s="2"/>
      <c r="AH485" s="2"/>
      <c r="AI485" s="2"/>
      <c r="AJ485" s="2"/>
      <c r="AK485" s="2"/>
      <c r="AL485" s="2"/>
    </row>
    <row r="486" spans="1:38" x14ac:dyDescent="0.2">
      <c r="A486" s="45"/>
      <c r="B486" s="43" t="str">
        <f t="shared" si="184"/>
        <v/>
      </c>
      <c r="C486" s="96" t="str">
        <f t="shared" ref="C486:C549" si="207">IF(A486="","",C485+B486)</f>
        <v/>
      </c>
      <c r="D486" s="44" t="str">
        <f t="shared" si="185"/>
        <v/>
      </c>
      <c r="E486" s="52"/>
      <c r="F486" s="63" t="str">
        <f t="shared" si="186"/>
        <v/>
      </c>
      <c r="G486" s="56" t="str">
        <f t="shared" si="187"/>
        <v/>
      </c>
      <c r="H486" s="42"/>
      <c r="I486" s="2" t="str">
        <f t="shared" si="188"/>
        <v/>
      </c>
      <c r="J486" s="54" t="str">
        <f t="shared" si="199"/>
        <v/>
      </c>
      <c r="K486" s="55" t="str">
        <f t="shared" si="189"/>
        <v/>
      </c>
      <c r="L486" s="63" t="str">
        <f t="shared" si="190"/>
        <v/>
      </c>
      <c r="M486" s="96" t="str">
        <f t="shared" si="200"/>
        <v/>
      </c>
      <c r="N486" s="96" t="str">
        <f>IF(A486="","",IF(A486=Expiry,0,EXP(-q*Q486)*_xlfn.NORM.S.DIST(Y486,0)/(sigma*SQRT(Q486))*I486*Mult/100))</f>
        <v/>
      </c>
      <c r="O486" s="96" t="str">
        <f>IF(A486="","",IF(A486=Expiry,0,D486*E486*E486*EXP(-q*Q486)*_xlfn.NORM.S.DIST(Y486,0)*SQRT(Q486)/100))</f>
        <v/>
      </c>
      <c r="P486" s="69" t="str">
        <f>IF(A486="","",IF(A486=Expiry,0,AK486*I486*Mult*((-EXP(-q*Q486)*E486*_xlfn.NORM.S.DIST(Y486,0)*sigma/(2*SQRT(Q486))-r_dom*K*EXP(-r_dom*Q486)*_xlfn.NORM.S.DIST(Z486,1)+q*E486*EXP(-q*Q486)*_xlfn.NORM.S.DIST(Y486,1))/365)))</f>
        <v/>
      </c>
      <c r="Q486" s="83" t="str">
        <f t="shared" si="191"/>
        <v/>
      </c>
      <c r="R486" s="38"/>
      <c r="S486" s="68" t="str">
        <f t="shared" si="192"/>
        <v/>
      </c>
      <c r="T486" s="69" t="str">
        <f t="shared" si="193"/>
        <v/>
      </c>
      <c r="U486" s="70" t="str">
        <f t="shared" si="194"/>
        <v/>
      </c>
      <c r="V486" s="72" t="str">
        <f t="shared" si="195"/>
        <v/>
      </c>
      <c r="W486" s="2" t="str">
        <f t="shared" si="206"/>
        <v/>
      </c>
      <c r="X486" s="2" t="str">
        <f t="shared" si="201"/>
        <v/>
      </c>
      <c r="Y486" s="35" t="str">
        <f t="shared" ca="1" si="196"/>
        <v/>
      </c>
      <c r="Z486" s="36" t="str">
        <f t="shared" ca="1" si="197"/>
        <v/>
      </c>
      <c r="AA486" s="70" t="str">
        <f t="shared" si="198"/>
        <v/>
      </c>
      <c r="AB486" s="2"/>
      <c r="AC486" s="94" t="str">
        <f t="shared" si="202"/>
        <v/>
      </c>
      <c r="AD486" s="95" t="str">
        <f t="shared" si="203"/>
        <v/>
      </c>
      <c r="AE486" s="96" t="str">
        <f t="shared" si="204"/>
        <v/>
      </c>
      <c r="AF486" s="124" t="str">
        <f t="shared" si="205"/>
        <v/>
      </c>
      <c r="AG486" s="2"/>
      <c r="AH486" s="2"/>
      <c r="AI486" s="2"/>
      <c r="AJ486" s="2"/>
      <c r="AK486" s="2"/>
      <c r="AL486" s="2"/>
    </row>
    <row r="487" spans="1:38" x14ac:dyDescent="0.2">
      <c r="A487" s="45"/>
      <c r="B487" s="43" t="str">
        <f t="shared" si="184"/>
        <v/>
      </c>
      <c r="C487" s="96" t="str">
        <f t="shared" si="207"/>
        <v/>
      </c>
      <c r="D487" s="44" t="str">
        <f t="shared" si="185"/>
        <v/>
      </c>
      <c r="E487" s="52"/>
      <c r="F487" s="63" t="str">
        <f t="shared" si="186"/>
        <v/>
      </c>
      <c r="G487" s="56" t="str">
        <f t="shared" si="187"/>
        <v/>
      </c>
      <c r="H487" s="42"/>
      <c r="I487" s="2" t="str">
        <f t="shared" si="188"/>
        <v/>
      </c>
      <c r="J487" s="54" t="str">
        <f t="shared" si="199"/>
        <v/>
      </c>
      <c r="K487" s="55" t="str">
        <f t="shared" si="189"/>
        <v/>
      </c>
      <c r="L487" s="63" t="str">
        <f t="shared" si="190"/>
        <v/>
      </c>
      <c r="M487" s="96" t="str">
        <f t="shared" si="200"/>
        <v/>
      </c>
      <c r="N487" s="96" t="str">
        <f>IF(A487="","",IF(A487=Expiry,0,EXP(-q*Q487)*_xlfn.NORM.S.DIST(Y487,0)/(sigma*SQRT(Q487))*I487*Mult/100))</f>
        <v/>
      </c>
      <c r="O487" s="96" t="str">
        <f>IF(A487="","",IF(A487=Expiry,0,D487*E487*E487*EXP(-q*Q487)*_xlfn.NORM.S.DIST(Y487,0)*SQRT(Q487)/100))</f>
        <v/>
      </c>
      <c r="P487" s="69" t="str">
        <f>IF(A487="","",IF(A487=Expiry,0,AK487*I487*Mult*((-EXP(-q*Q487)*E487*_xlfn.NORM.S.DIST(Y487,0)*sigma/(2*SQRT(Q487))-r_dom*K*EXP(-r_dom*Q487)*_xlfn.NORM.S.DIST(Z487,1)+q*E487*EXP(-q*Q487)*_xlfn.NORM.S.DIST(Y487,1))/365)))</f>
        <v/>
      </c>
      <c r="Q487" s="83" t="str">
        <f t="shared" si="191"/>
        <v/>
      </c>
      <c r="R487" s="38"/>
      <c r="S487" s="68" t="str">
        <f t="shared" si="192"/>
        <v/>
      </c>
      <c r="T487" s="69" t="str">
        <f t="shared" si="193"/>
        <v/>
      </c>
      <c r="U487" s="70" t="str">
        <f t="shared" si="194"/>
        <v/>
      </c>
      <c r="V487" s="72" t="str">
        <f t="shared" si="195"/>
        <v/>
      </c>
      <c r="W487" s="2" t="str">
        <f t="shared" si="206"/>
        <v/>
      </c>
      <c r="X487" s="2" t="str">
        <f t="shared" si="201"/>
        <v/>
      </c>
      <c r="Y487" s="35" t="str">
        <f t="shared" ca="1" si="196"/>
        <v/>
      </c>
      <c r="Z487" s="36" t="str">
        <f t="shared" ca="1" si="197"/>
        <v/>
      </c>
      <c r="AA487" s="70" t="str">
        <f t="shared" si="198"/>
        <v/>
      </c>
      <c r="AB487" s="2"/>
      <c r="AC487" s="94" t="str">
        <f t="shared" si="202"/>
        <v/>
      </c>
      <c r="AD487" s="95" t="str">
        <f t="shared" si="203"/>
        <v/>
      </c>
      <c r="AE487" s="96" t="str">
        <f t="shared" si="204"/>
        <v/>
      </c>
      <c r="AF487" s="124" t="str">
        <f t="shared" si="205"/>
        <v/>
      </c>
      <c r="AG487" s="2"/>
      <c r="AH487" s="2"/>
      <c r="AI487" s="2"/>
      <c r="AJ487" s="2"/>
      <c r="AK487" s="2"/>
      <c r="AL487" s="2"/>
    </row>
    <row r="488" spans="1:38" x14ac:dyDescent="0.2">
      <c r="A488" s="45"/>
      <c r="B488" s="43" t="str">
        <f t="shared" si="184"/>
        <v/>
      </c>
      <c r="C488" s="96" t="str">
        <f t="shared" si="207"/>
        <v/>
      </c>
      <c r="D488" s="44" t="str">
        <f t="shared" si="185"/>
        <v/>
      </c>
      <c r="E488" s="52"/>
      <c r="F488" s="63" t="str">
        <f t="shared" si="186"/>
        <v/>
      </c>
      <c r="G488" s="56" t="str">
        <f t="shared" si="187"/>
        <v/>
      </c>
      <c r="H488" s="42"/>
      <c r="I488" s="2" t="str">
        <f t="shared" si="188"/>
        <v/>
      </c>
      <c r="J488" s="54" t="str">
        <f t="shared" si="199"/>
        <v/>
      </c>
      <c r="K488" s="55" t="str">
        <f t="shared" si="189"/>
        <v/>
      </c>
      <c r="L488" s="63" t="str">
        <f t="shared" si="190"/>
        <v/>
      </c>
      <c r="M488" s="96" t="str">
        <f t="shared" si="200"/>
        <v/>
      </c>
      <c r="N488" s="96" t="str">
        <f>IF(A488="","",IF(A488=Expiry,0,EXP(-q*Q488)*_xlfn.NORM.S.DIST(Y488,0)/(sigma*SQRT(Q488))*I488*Mult/100))</f>
        <v/>
      </c>
      <c r="O488" s="96" t="str">
        <f>IF(A488="","",IF(A488=Expiry,0,D488*E488*E488*EXP(-q*Q488)*_xlfn.NORM.S.DIST(Y488,0)*SQRT(Q488)/100))</f>
        <v/>
      </c>
      <c r="P488" s="69" t="str">
        <f>IF(A488="","",IF(A488=Expiry,0,AK488*I488*Mult*((-EXP(-q*Q488)*E488*_xlfn.NORM.S.DIST(Y488,0)*sigma/(2*SQRT(Q488))-r_dom*K*EXP(-r_dom*Q488)*_xlfn.NORM.S.DIST(Z488,1)+q*E488*EXP(-q*Q488)*_xlfn.NORM.S.DIST(Y488,1))/365)))</f>
        <v/>
      </c>
      <c r="Q488" s="83" t="str">
        <f t="shared" si="191"/>
        <v/>
      </c>
      <c r="R488" s="38"/>
      <c r="S488" s="68" t="str">
        <f t="shared" si="192"/>
        <v/>
      </c>
      <c r="T488" s="69" t="str">
        <f t="shared" si="193"/>
        <v/>
      </c>
      <c r="U488" s="70" t="str">
        <f t="shared" si="194"/>
        <v/>
      </c>
      <c r="V488" s="72" t="str">
        <f t="shared" si="195"/>
        <v/>
      </c>
      <c r="W488" s="2" t="str">
        <f t="shared" si="206"/>
        <v/>
      </c>
      <c r="X488" s="2" t="str">
        <f t="shared" si="201"/>
        <v/>
      </c>
      <c r="Y488" s="35" t="str">
        <f t="shared" ca="1" si="196"/>
        <v/>
      </c>
      <c r="Z488" s="36" t="str">
        <f t="shared" ca="1" si="197"/>
        <v/>
      </c>
      <c r="AA488" s="70" t="str">
        <f t="shared" si="198"/>
        <v/>
      </c>
      <c r="AB488" s="2"/>
      <c r="AC488" s="94" t="str">
        <f t="shared" si="202"/>
        <v/>
      </c>
      <c r="AD488" s="95" t="str">
        <f t="shared" si="203"/>
        <v/>
      </c>
      <c r="AE488" s="96" t="str">
        <f t="shared" si="204"/>
        <v/>
      </c>
      <c r="AF488" s="124" t="str">
        <f t="shared" si="205"/>
        <v/>
      </c>
      <c r="AG488" s="2"/>
      <c r="AH488" s="2"/>
      <c r="AI488" s="2"/>
      <c r="AJ488" s="2"/>
      <c r="AK488" s="2"/>
      <c r="AL488" s="2"/>
    </row>
    <row r="489" spans="1:38" x14ac:dyDescent="0.2">
      <c r="A489" s="45"/>
      <c r="B489" s="43" t="str">
        <f t="shared" si="184"/>
        <v/>
      </c>
      <c r="C489" s="96" t="str">
        <f t="shared" si="207"/>
        <v/>
      </c>
      <c r="D489" s="44" t="str">
        <f t="shared" si="185"/>
        <v/>
      </c>
      <c r="E489" s="52"/>
      <c r="F489" s="63" t="str">
        <f t="shared" si="186"/>
        <v/>
      </c>
      <c r="G489" s="56" t="str">
        <f t="shared" si="187"/>
        <v/>
      </c>
      <c r="H489" s="42"/>
      <c r="I489" s="2" t="str">
        <f t="shared" si="188"/>
        <v/>
      </c>
      <c r="J489" s="54" t="str">
        <f t="shared" si="199"/>
        <v/>
      </c>
      <c r="K489" s="55" t="str">
        <f t="shared" si="189"/>
        <v/>
      </c>
      <c r="L489" s="63" t="str">
        <f t="shared" si="190"/>
        <v/>
      </c>
      <c r="M489" s="96" t="str">
        <f t="shared" si="200"/>
        <v/>
      </c>
      <c r="N489" s="96" t="str">
        <f>IF(A489="","",IF(A489=Expiry,0,EXP(-q*Q489)*_xlfn.NORM.S.DIST(Y489,0)/(sigma*SQRT(Q489))*I489*Mult/100))</f>
        <v/>
      </c>
      <c r="O489" s="96" t="str">
        <f>IF(A489="","",IF(A489=Expiry,0,D489*E489*E489*EXP(-q*Q489)*_xlfn.NORM.S.DIST(Y489,0)*SQRT(Q489)/100))</f>
        <v/>
      </c>
      <c r="P489" s="69" t="str">
        <f>IF(A489="","",IF(A489=Expiry,0,AK489*I489*Mult*((-EXP(-q*Q489)*E489*_xlfn.NORM.S.DIST(Y489,0)*sigma/(2*SQRT(Q489))-r_dom*K*EXP(-r_dom*Q489)*_xlfn.NORM.S.DIST(Z489,1)+q*E489*EXP(-q*Q489)*_xlfn.NORM.S.DIST(Y489,1))/365)))</f>
        <v/>
      </c>
      <c r="Q489" s="83" t="str">
        <f t="shared" si="191"/>
        <v/>
      </c>
      <c r="R489" s="38"/>
      <c r="S489" s="68" t="str">
        <f t="shared" si="192"/>
        <v/>
      </c>
      <c r="T489" s="69" t="str">
        <f t="shared" si="193"/>
        <v/>
      </c>
      <c r="U489" s="70" t="str">
        <f t="shared" si="194"/>
        <v/>
      </c>
      <c r="V489" s="72" t="str">
        <f t="shared" si="195"/>
        <v/>
      </c>
      <c r="W489" s="2" t="str">
        <f t="shared" si="206"/>
        <v/>
      </c>
      <c r="X489" s="2" t="str">
        <f t="shared" si="201"/>
        <v/>
      </c>
      <c r="Y489" s="35" t="str">
        <f t="shared" ca="1" si="196"/>
        <v/>
      </c>
      <c r="Z489" s="36" t="str">
        <f t="shared" ca="1" si="197"/>
        <v/>
      </c>
      <c r="AA489" s="70" t="str">
        <f t="shared" si="198"/>
        <v/>
      </c>
      <c r="AB489" s="2"/>
      <c r="AC489" s="94" t="str">
        <f t="shared" si="202"/>
        <v/>
      </c>
      <c r="AD489" s="95" t="str">
        <f t="shared" si="203"/>
        <v/>
      </c>
      <c r="AE489" s="96" t="str">
        <f t="shared" si="204"/>
        <v/>
      </c>
      <c r="AF489" s="124" t="str">
        <f t="shared" si="205"/>
        <v/>
      </c>
      <c r="AG489" s="2"/>
      <c r="AH489" s="2"/>
      <c r="AI489" s="2"/>
      <c r="AJ489" s="2"/>
      <c r="AK489" s="2"/>
      <c r="AL489" s="2"/>
    </row>
    <row r="490" spans="1:38" x14ac:dyDescent="0.2">
      <c r="A490" s="45"/>
      <c r="B490" s="43" t="str">
        <f t="shared" si="184"/>
        <v/>
      </c>
      <c r="C490" s="96" t="str">
        <f t="shared" si="207"/>
        <v/>
      </c>
      <c r="D490" s="44" t="str">
        <f t="shared" si="185"/>
        <v/>
      </c>
      <c r="E490" s="52"/>
      <c r="F490" s="63" t="str">
        <f t="shared" si="186"/>
        <v/>
      </c>
      <c r="G490" s="56" t="str">
        <f t="shared" si="187"/>
        <v/>
      </c>
      <c r="H490" s="42"/>
      <c r="I490" s="2" t="str">
        <f t="shared" si="188"/>
        <v/>
      </c>
      <c r="J490" s="54" t="str">
        <f t="shared" si="199"/>
        <v/>
      </c>
      <c r="K490" s="55" t="str">
        <f t="shared" si="189"/>
        <v/>
      </c>
      <c r="L490" s="63" t="str">
        <f t="shared" si="190"/>
        <v/>
      </c>
      <c r="M490" s="96" t="str">
        <f t="shared" si="200"/>
        <v/>
      </c>
      <c r="N490" s="96" t="str">
        <f>IF(A490="","",IF(A490=Expiry,0,EXP(-q*Q490)*_xlfn.NORM.S.DIST(Y490,0)/(sigma*SQRT(Q490))*I490*Mult/100))</f>
        <v/>
      </c>
      <c r="O490" s="96" t="str">
        <f>IF(A490="","",IF(A490=Expiry,0,D490*E490*E490*EXP(-q*Q490)*_xlfn.NORM.S.DIST(Y490,0)*SQRT(Q490)/100))</f>
        <v/>
      </c>
      <c r="P490" s="69" t="str">
        <f>IF(A490="","",IF(A490=Expiry,0,AK490*I490*Mult*((-EXP(-q*Q490)*E490*_xlfn.NORM.S.DIST(Y490,0)*sigma/(2*SQRT(Q490))-r_dom*K*EXP(-r_dom*Q490)*_xlfn.NORM.S.DIST(Z490,1)+q*E490*EXP(-q*Q490)*_xlfn.NORM.S.DIST(Y490,1))/365)))</f>
        <v/>
      </c>
      <c r="Q490" s="83" t="str">
        <f t="shared" si="191"/>
        <v/>
      </c>
      <c r="R490" s="38"/>
      <c r="S490" s="68" t="str">
        <f t="shared" si="192"/>
        <v/>
      </c>
      <c r="T490" s="69" t="str">
        <f t="shared" si="193"/>
        <v/>
      </c>
      <c r="U490" s="70" t="str">
        <f t="shared" si="194"/>
        <v/>
      </c>
      <c r="V490" s="72" t="str">
        <f t="shared" si="195"/>
        <v/>
      </c>
      <c r="W490" s="2" t="str">
        <f t="shared" si="206"/>
        <v/>
      </c>
      <c r="X490" s="2" t="str">
        <f t="shared" si="201"/>
        <v/>
      </c>
      <c r="Y490" s="35" t="str">
        <f t="shared" ca="1" si="196"/>
        <v/>
      </c>
      <c r="Z490" s="36" t="str">
        <f t="shared" ca="1" si="197"/>
        <v/>
      </c>
      <c r="AA490" s="70" t="str">
        <f t="shared" si="198"/>
        <v/>
      </c>
      <c r="AB490" s="2"/>
      <c r="AC490" s="94" t="str">
        <f t="shared" si="202"/>
        <v/>
      </c>
      <c r="AD490" s="95" t="str">
        <f t="shared" si="203"/>
        <v/>
      </c>
      <c r="AE490" s="96" t="str">
        <f t="shared" si="204"/>
        <v/>
      </c>
      <c r="AF490" s="124" t="str">
        <f t="shared" si="205"/>
        <v/>
      </c>
      <c r="AG490" s="2"/>
      <c r="AH490" s="2"/>
      <c r="AI490" s="2"/>
      <c r="AJ490" s="2"/>
      <c r="AK490" s="2"/>
      <c r="AL490" s="2"/>
    </row>
    <row r="491" spans="1:38" x14ac:dyDescent="0.2">
      <c r="A491" s="45"/>
      <c r="B491" s="43" t="str">
        <f t="shared" si="184"/>
        <v/>
      </c>
      <c r="C491" s="96" t="str">
        <f t="shared" si="207"/>
        <v/>
      </c>
      <c r="D491" s="44" t="str">
        <f t="shared" si="185"/>
        <v/>
      </c>
      <c r="E491" s="52"/>
      <c r="F491" s="63" t="str">
        <f t="shared" si="186"/>
        <v/>
      </c>
      <c r="G491" s="56" t="str">
        <f t="shared" si="187"/>
        <v/>
      </c>
      <c r="H491" s="42"/>
      <c r="I491" s="2" t="str">
        <f t="shared" si="188"/>
        <v/>
      </c>
      <c r="J491" s="54" t="str">
        <f t="shared" si="199"/>
        <v/>
      </c>
      <c r="K491" s="55" t="str">
        <f t="shared" si="189"/>
        <v/>
      </c>
      <c r="L491" s="63" t="str">
        <f t="shared" si="190"/>
        <v/>
      </c>
      <c r="M491" s="96" t="str">
        <f t="shared" si="200"/>
        <v/>
      </c>
      <c r="N491" s="96" t="str">
        <f>IF(A491="","",IF(A491=Expiry,0,EXP(-q*Q491)*_xlfn.NORM.S.DIST(Y491,0)/(sigma*SQRT(Q491))*I491*Mult/100))</f>
        <v/>
      </c>
      <c r="O491" s="96" t="str">
        <f>IF(A491="","",IF(A491=Expiry,0,D491*E491*E491*EXP(-q*Q491)*_xlfn.NORM.S.DIST(Y491,0)*SQRT(Q491)/100))</f>
        <v/>
      </c>
      <c r="P491" s="69" t="str">
        <f>IF(A491="","",IF(A491=Expiry,0,AK491*I491*Mult*((-EXP(-q*Q491)*E491*_xlfn.NORM.S.DIST(Y491,0)*sigma/(2*SQRT(Q491))-r_dom*K*EXP(-r_dom*Q491)*_xlfn.NORM.S.DIST(Z491,1)+q*E491*EXP(-q*Q491)*_xlfn.NORM.S.DIST(Y491,1))/365)))</f>
        <v/>
      </c>
      <c r="Q491" s="83" t="str">
        <f t="shared" si="191"/>
        <v/>
      </c>
      <c r="R491" s="38"/>
      <c r="S491" s="68" t="str">
        <f t="shared" si="192"/>
        <v/>
      </c>
      <c r="T491" s="69" t="str">
        <f t="shared" si="193"/>
        <v/>
      </c>
      <c r="U491" s="70" t="str">
        <f t="shared" si="194"/>
        <v/>
      </c>
      <c r="V491" s="72" t="str">
        <f t="shared" si="195"/>
        <v/>
      </c>
      <c r="W491" s="2" t="str">
        <f t="shared" si="206"/>
        <v/>
      </c>
      <c r="X491" s="2" t="str">
        <f t="shared" si="201"/>
        <v/>
      </c>
      <c r="Y491" s="35" t="str">
        <f t="shared" ca="1" si="196"/>
        <v/>
      </c>
      <c r="Z491" s="36" t="str">
        <f t="shared" ca="1" si="197"/>
        <v/>
      </c>
      <c r="AA491" s="70" t="str">
        <f t="shared" si="198"/>
        <v/>
      </c>
      <c r="AB491" s="2"/>
      <c r="AC491" s="94" t="str">
        <f t="shared" si="202"/>
        <v/>
      </c>
      <c r="AD491" s="95" t="str">
        <f t="shared" si="203"/>
        <v/>
      </c>
      <c r="AE491" s="96" t="str">
        <f t="shared" si="204"/>
        <v/>
      </c>
      <c r="AF491" s="124" t="str">
        <f t="shared" si="205"/>
        <v/>
      </c>
      <c r="AG491" s="2"/>
      <c r="AH491" s="2"/>
      <c r="AI491" s="2"/>
      <c r="AJ491" s="2"/>
      <c r="AK491" s="2"/>
      <c r="AL491" s="2"/>
    </row>
    <row r="492" spans="1:38" x14ac:dyDescent="0.2">
      <c r="A492" s="45"/>
      <c r="B492" s="43" t="str">
        <f t="shared" si="184"/>
        <v/>
      </c>
      <c r="C492" s="96" t="str">
        <f t="shared" si="207"/>
        <v/>
      </c>
      <c r="D492" s="44" t="str">
        <f t="shared" si="185"/>
        <v/>
      </c>
      <c r="E492" s="52"/>
      <c r="F492" s="63" t="str">
        <f t="shared" si="186"/>
        <v/>
      </c>
      <c r="G492" s="56" t="str">
        <f t="shared" si="187"/>
        <v/>
      </c>
      <c r="H492" s="42"/>
      <c r="I492" s="2" t="str">
        <f t="shared" si="188"/>
        <v/>
      </c>
      <c r="J492" s="54" t="str">
        <f t="shared" si="199"/>
        <v/>
      </c>
      <c r="K492" s="55" t="str">
        <f t="shared" si="189"/>
        <v/>
      </c>
      <c r="L492" s="63" t="str">
        <f t="shared" si="190"/>
        <v/>
      </c>
      <c r="M492" s="96" t="str">
        <f t="shared" si="200"/>
        <v/>
      </c>
      <c r="N492" s="96" t="str">
        <f>IF(A492="","",IF(A492=Expiry,0,EXP(-q*Q492)*_xlfn.NORM.S.DIST(Y492,0)/(sigma*SQRT(Q492))*I492*Mult/100))</f>
        <v/>
      </c>
      <c r="O492" s="96" t="str">
        <f>IF(A492="","",IF(A492=Expiry,0,D492*E492*E492*EXP(-q*Q492)*_xlfn.NORM.S.DIST(Y492,0)*SQRT(Q492)/100))</f>
        <v/>
      </c>
      <c r="P492" s="69" t="str">
        <f>IF(A492="","",IF(A492=Expiry,0,AK492*I492*Mult*((-EXP(-q*Q492)*E492*_xlfn.NORM.S.DIST(Y492,0)*sigma/(2*SQRT(Q492))-r_dom*K*EXP(-r_dom*Q492)*_xlfn.NORM.S.DIST(Z492,1)+q*E492*EXP(-q*Q492)*_xlfn.NORM.S.DIST(Y492,1))/365)))</f>
        <v/>
      </c>
      <c r="Q492" s="83" t="str">
        <f t="shared" si="191"/>
        <v/>
      </c>
      <c r="R492" s="38"/>
      <c r="S492" s="68" t="str">
        <f t="shared" si="192"/>
        <v/>
      </c>
      <c r="T492" s="69" t="str">
        <f t="shared" si="193"/>
        <v/>
      </c>
      <c r="U492" s="70" t="str">
        <f t="shared" si="194"/>
        <v/>
      </c>
      <c r="V492" s="72" t="str">
        <f t="shared" si="195"/>
        <v/>
      </c>
      <c r="W492" s="2" t="str">
        <f t="shared" si="206"/>
        <v/>
      </c>
      <c r="X492" s="2" t="str">
        <f t="shared" si="201"/>
        <v/>
      </c>
      <c r="Y492" s="35" t="str">
        <f t="shared" ca="1" si="196"/>
        <v/>
      </c>
      <c r="Z492" s="36" t="str">
        <f t="shared" ca="1" si="197"/>
        <v/>
      </c>
      <c r="AA492" s="70" t="str">
        <f t="shared" si="198"/>
        <v/>
      </c>
      <c r="AB492" s="2"/>
      <c r="AC492" s="94" t="str">
        <f t="shared" si="202"/>
        <v/>
      </c>
      <c r="AD492" s="95" t="str">
        <f t="shared" si="203"/>
        <v/>
      </c>
      <c r="AE492" s="96" t="str">
        <f t="shared" si="204"/>
        <v/>
      </c>
      <c r="AF492" s="124" t="str">
        <f t="shared" si="205"/>
        <v/>
      </c>
      <c r="AG492" s="2"/>
      <c r="AH492" s="2"/>
      <c r="AI492" s="2"/>
      <c r="AJ492" s="2"/>
      <c r="AK492" s="2"/>
      <c r="AL492" s="2"/>
    </row>
    <row r="493" spans="1:38" x14ac:dyDescent="0.2">
      <c r="A493" s="45"/>
      <c r="B493" s="43" t="str">
        <f t="shared" si="184"/>
        <v/>
      </c>
      <c r="C493" s="96" t="str">
        <f t="shared" si="207"/>
        <v/>
      </c>
      <c r="D493" s="44" t="str">
        <f t="shared" si="185"/>
        <v/>
      </c>
      <c r="E493" s="52"/>
      <c r="F493" s="63" t="str">
        <f t="shared" si="186"/>
        <v/>
      </c>
      <c r="G493" s="56" t="str">
        <f t="shared" si="187"/>
        <v/>
      </c>
      <c r="H493" s="42"/>
      <c r="I493" s="2" t="str">
        <f t="shared" si="188"/>
        <v/>
      </c>
      <c r="J493" s="54" t="str">
        <f t="shared" si="199"/>
        <v/>
      </c>
      <c r="K493" s="55" t="str">
        <f t="shared" si="189"/>
        <v/>
      </c>
      <c r="L493" s="63" t="str">
        <f t="shared" si="190"/>
        <v/>
      </c>
      <c r="M493" s="96" t="str">
        <f t="shared" si="200"/>
        <v/>
      </c>
      <c r="N493" s="96" t="str">
        <f>IF(A493="","",IF(A493=Expiry,0,EXP(-q*Q493)*_xlfn.NORM.S.DIST(Y493,0)/(sigma*SQRT(Q493))*I493*Mult/100))</f>
        <v/>
      </c>
      <c r="O493" s="96" t="str">
        <f>IF(A493="","",IF(A493=Expiry,0,D493*E493*E493*EXP(-q*Q493)*_xlfn.NORM.S.DIST(Y493,0)*SQRT(Q493)/100))</f>
        <v/>
      </c>
      <c r="P493" s="69" t="str">
        <f>IF(A493="","",IF(A493=Expiry,0,AK493*I493*Mult*((-EXP(-q*Q493)*E493*_xlfn.NORM.S.DIST(Y493,0)*sigma/(2*SQRT(Q493))-r_dom*K*EXP(-r_dom*Q493)*_xlfn.NORM.S.DIST(Z493,1)+q*E493*EXP(-q*Q493)*_xlfn.NORM.S.DIST(Y493,1))/365)))</f>
        <v/>
      </c>
      <c r="Q493" s="83" t="str">
        <f t="shared" si="191"/>
        <v/>
      </c>
      <c r="R493" s="38"/>
      <c r="S493" s="68" t="str">
        <f t="shared" si="192"/>
        <v/>
      </c>
      <c r="T493" s="69" t="str">
        <f t="shared" si="193"/>
        <v/>
      </c>
      <c r="U493" s="70" t="str">
        <f t="shared" si="194"/>
        <v/>
      </c>
      <c r="V493" s="72" t="str">
        <f t="shared" si="195"/>
        <v/>
      </c>
      <c r="W493" s="2" t="str">
        <f t="shared" si="206"/>
        <v/>
      </c>
      <c r="X493" s="2" t="str">
        <f t="shared" si="201"/>
        <v/>
      </c>
      <c r="Y493" s="35" t="str">
        <f t="shared" ca="1" si="196"/>
        <v/>
      </c>
      <c r="Z493" s="36" t="str">
        <f t="shared" ca="1" si="197"/>
        <v/>
      </c>
      <c r="AA493" s="70" t="str">
        <f t="shared" si="198"/>
        <v/>
      </c>
      <c r="AB493" s="2"/>
      <c r="AC493" s="94" t="str">
        <f t="shared" si="202"/>
        <v/>
      </c>
      <c r="AD493" s="95" t="str">
        <f t="shared" si="203"/>
        <v/>
      </c>
      <c r="AE493" s="96" t="str">
        <f t="shared" si="204"/>
        <v/>
      </c>
      <c r="AF493" s="124" t="str">
        <f t="shared" si="205"/>
        <v/>
      </c>
      <c r="AG493" s="2"/>
      <c r="AH493" s="2"/>
      <c r="AI493" s="2"/>
      <c r="AJ493" s="2"/>
      <c r="AK493" s="2"/>
      <c r="AL493" s="2"/>
    </row>
    <row r="494" spans="1:38" x14ac:dyDescent="0.2">
      <c r="A494" s="45"/>
      <c r="B494" s="43" t="str">
        <f t="shared" si="184"/>
        <v/>
      </c>
      <c r="C494" s="96" t="str">
        <f t="shared" si="207"/>
        <v/>
      </c>
      <c r="D494" s="44" t="str">
        <f t="shared" si="185"/>
        <v/>
      </c>
      <c r="E494" s="52"/>
      <c r="F494" s="63" t="str">
        <f t="shared" si="186"/>
        <v/>
      </c>
      <c r="G494" s="56" t="str">
        <f t="shared" si="187"/>
        <v/>
      </c>
      <c r="H494" s="42"/>
      <c r="I494" s="2" t="str">
        <f t="shared" si="188"/>
        <v/>
      </c>
      <c r="J494" s="54" t="str">
        <f t="shared" si="199"/>
        <v/>
      </c>
      <c r="K494" s="55" t="str">
        <f t="shared" si="189"/>
        <v/>
      </c>
      <c r="L494" s="63" t="str">
        <f t="shared" si="190"/>
        <v/>
      </c>
      <c r="M494" s="96" t="str">
        <f t="shared" si="200"/>
        <v/>
      </c>
      <c r="N494" s="96" t="str">
        <f>IF(A494="","",IF(A494=Expiry,0,EXP(-q*Q494)*_xlfn.NORM.S.DIST(Y494,0)/(sigma*SQRT(Q494))*I494*Mult/100))</f>
        <v/>
      </c>
      <c r="O494" s="96" t="str">
        <f>IF(A494="","",IF(A494=Expiry,0,D494*E494*E494*EXP(-q*Q494)*_xlfn.NORM.S.DIST(Y494,0)*SQRT(Q494)/100))</f>
        <v/>
      </c>
      <c r="P494" s="69" t="str">
        <f>IF(A494="","",IF(A494=Expiry,0,AK494*I494*Mult*((-EXP(-q*Q494)*E494*_xlfn.NORM.S.DIST(Y494,0)*sigma/(2*SQRT(Q494))-r_dom*K*EXP(-r_dom*Q494)*_xlfn.NORM.S.DIST(Z494,1)+q*E494*EXP(-q*Q494)*_xlfn.NORM.S.DIST(Y494,1))/365)))</f>
        <v/>
      </c>
      <c r="Q494" s="83" t="str">
        <f t="shared" si="191"/>
        <v/>
      </c>
      <c r="R494" s="38"/>
      <c r="S494" s="68" t="str">
        <f t="shared" si="192"/>
        <v/>
      </c>
      <c r="T494" s="69" t="str">
        <f t="shared" si="193"/>
        <v/>
      </c>
      <c r="U494" s="70" t="str">
        <f t="shared" si="194"/>
        <v/>
      </c>
      <c r="V494" s="72" t="str">
        <f t="shared" si="195"/>
        <v/>
      </c>
      <c r="W494" s="2" t="str">
        <f t="shared" si="206"/>
        <v/>
      </c>
      <c r="X494" s="2" t="str">
        <f t="shared" si="201"/>
        <v/>
      </c>
      <c r="Y494" s="35" t="str">
        <f t="shared" ca="1" si="196"/>
        <v/>
      </c>
      <c r="Z494" s="36" t="str">
        <f t="shared" ca="1" si="197"/>
        <v/>
      </c>
      <c r="AA494" s="70" t="str">
        <f t="shared" si="198"/>
        <v/>
      </c>
      <c r="AB494" s="2"/>
      <c r="AC494" s="94" t="str">
        <f t="shared" si="202"/>
        <v/>
      </c>
      <c r="AD494" s="95" t="str">
        <f t="shared" si="203"/>
        <v/>
      </c>
      <c r="AE494" s="96" t="str">
        <f t="shared" si="204"/>
        <v/>
      </c>
      <c r="AF494" s="124" t="str">
        <f t="shared" si="205"/>
        <v/>
      </c>
      <c r="AG494" s="2"/>
      <c r="AH494" s="2"/>
      <c r="AI494" s="2"/>
      <c r="AJ494" s="2"/>
      <c r="AK494" s="2"/>
      <c r="AL494" s="2"/>
    </row>
    <row r="495" spans="1:38" x14ac:dyDescent="0.2">
      <c r="A495" s="45"/>
      <c r="B495" s="43" t="str">
        <f t="shared" si="184"/>
        <v/>
      </c>
      <c r="C495" s="96" t="str">
        <f t="shared" si="207"/>
        <v/>
      </c>
      <c r="D495" s="44" t="str">
        <f t="shared" si="185"/>
        <v/>
      </c>
      <c r="E495" s="52"/>
      <c r="F495" s="63" t="str">
        <f t="shared" si="186"/>
        <v/>
      </c>
      <c r="G495" s="56" t="str">
        <f t="shared" si="187"/>
        <v/>
      </c>
      <c r="H495" s="42"/>
      <c r="I495" s="2" t="str">
        <f t="shared" si="188"/>
        <v/>
      </c>
      <c r="J495" s="54" t="str">
        <f t="shared" si="199"/>
        <v/>
      </c>
      <c r="K495" s="55" t="str">
        <f t="shared" si="189"/>
        <v/>
      </c>
      <c r="L495" s="63" t="str">
        <f t="shared" si="190"/>
        <v/>
      </c>
      <c r="M495" s="96" t="str">
        <f t="shared" si="200"/>
        <v/>
      </c>
      <c r="N495" s="96" t="str">
        <f>IF(A495="","",IF(A495=Expiry,0,EXP(-q*Q495)*_xlfn.NORM.S.DIST(Y495,0)/(sigma*SQRT(Q495))*I495*Mult/100))</f>
        <v/>
      </c>
      <c r="O495" s="96" t="str">
        <f>IF(A495="","",IF(A495=Expiry,0,D495*E495*E495*EXP(-q*Q495)*_xlfn.NORM.S.DIST(Y495,0)*SQRT(Q495)/100))</f>
        <v/>
      </c>
      <c r="P495" s="69" t="str">
        <f>IF(A495="","",IF(A495=Expiry,0,AK495*I495*Mult*((-EXP(-q*Q495)*E495*_xlfn.NORM.S.DIST(Y495,0)*sigma/(2*SQRT(Q495))-r_dom*K*EXP(-r_dom*Q495)*_xlfn.NORM.S.DIST(Z495,1)+q*E495*EXP(-q*Q495)*_xlfn.NORM.S.DIST(Y495,1))/365)))</f>
        <v/>
      </c>
      <c r="Q495" s="83" t="str">
        <f t="shared" si="191"/>
        <v/>
      </c>
      <c r="R495" s="38"/>
      <c r="S495" s="68" t="str">
        <f t="shared" si="192"/>
        <v/>
      </c>
      <c r="T495" s="69" t="str">
        <f t="shared" si="193"/>
        <v/>
      </c>
      <c r="U495" s="70" t="str">
        <f t="shared" si="194"/>
        <v/>
      </c>
      <c r="V495" s="72" t="str">
        <f t="shared" si="195"/>
        <v/>
      </c>
      <c r="W495" s="2" t="str">
        <f t="shared" si="206"/>
        <v/>
      </c>
      <c r="X495" s="2" t="str">
        <f t="shared" si="201"/>
        <v/>
      </c>
      <c r="Y495" s="35" t="str">
        <f t="shared" ca="1" si="196"/>
        <v/>
      </c>
      <c r="Z495" s="36" t="str">
        <f t="shared" ca="1" si="197"/>
        <v/>
      </c>
      <c r="AA495" s="70" t="str">
        <f t="shared" si="198"/>
        <v/>
      </c>
      <c r="AB495" s="2"/>
      <c r="AC495" s="94" t="str">
        <f t="shared" si="202"/>
        <v/>
      </c>
      <c r="AD495" s="95" t="str">
        <f t="shared" si="203"/>
        <v/>
      </c>
      <c r="AE495" s="96" t="str">
        <f t="shared" si="204"/>
        <v/>
      </c>
      <c r="AF495" s="124" t="str">
        <f t="shared" si="205"/>
        <v/>
      </c>
      <c r="AG495" s="2"/>
      <c r="AH495" s="2"/>
      <c r="AI495" s="2"/>
      <c r="AJ495" s="2"/>
      <c r="AK495" s="2"/>
      <c r="AL495" s="2"/>
    </row>
    <row r="496" spans="1:38" x14ac:dyDescent="0.2">
      <c r="A496" s="45"/>
      <c r="B496" s="43" t="str">
        <f t="shared" si="184"/>
        <v/>
      </c>
      <c r="C496" s="96" t="str">
        <f t="shared" si="207"/>
        <v/>
      </c>
      <c r="D496" s="44" t="str">
        <f t="shared" si="185"/>
        <v/>
      </c>
      <c r="E496" s="52"/>
      <c r="F496" s="63" t="str">
        <f t="shared" si="186"/>
        <v/>
      </c>
      <c r="G496" s="56" t="str">
        <f t="shared" si="187"/>
        <v/>
      </c>
      <c r="H496" s="42"/>
      <c r="I496" s="2" t="str">
        <f t="shared" si="188"/>
        <v/>
      </c>
      <c r="J496" s="54" t="str">
        <f t="shared" si="199"/>
        <v/>
      </c>
      <c r="K496" s="55" t="str">
        <f t="shared" si="189"/>
        <v/>
      </c>
      <c r="L496" s="63" t="str">
        <f t="shared" si="190"/>
        <v/>
      </c>
      <c r="M496" s="96" t="str">
        <f t="shared" si="200"/>
        <v/>
      </c>
      <c r="N496" s="96" t="str">
        <f>IF(A496="","",IF(A496=Expiry,0,EXP(-q*Q496)*_xlfn.NORM.S.DIST(Y496,0)/(sigma*SQRT(Q496))*I496*Mult/100))</f>
        <v/>
      </c>
      <c r="O496" s="96" t="str">
        <f>IF(A496="","",IF(A496=Expiry,0,D496*E496*E496*EXP(-q*Q496)*_xlfn.NORM.S.DIST(Y496,0)*SQRT(Q496)/100))</f>
        <v/>
      </c>
      <c r="P496" s="69" t="str">
        <f>IF(A496="","",IF(A496=Expiry,0,AK496*I496*Mult*((-EXP(-q*Q496)*E496*_xlfn.NORM.S.DIST(Y496,0)*sigma/(2*SQRT(Q496))-r_dom*K*EXP(-r_dom*Q496)*_xlfn.NORM.S.DIST(Z496,1)+q*E496*EXP(-q*Q496)*_xlfn.NORM.S.DIST(Y496,1))/365)))</f>
        <v/>
      </c>
      <c r="Q496" s="83" t="str">
        <f t="shared" si="191"/>
        <v/>
      </c>
      <c r="R496" s="38"/>
      <c r="S496" s="68" t="str">
        <f t="shared" si="192"/>
        <v/>
      </c>
      <c r="T496" s="69" t="str">
        <f t="shared" si="193"/>
        <v/>
      </c>
      <c r="U496" s="70" t="str">
        <f t="shared" si="194"/>
        <v/>
      </c>
      <c r="V496" s="72" t="str">
        <f t="shared" si="195"/>
        <v/>
      </c>
      <c r="W496" s="2" t="str">
        <f t="shared" si="206"/>
        <v/>
      </c>
      <c r="X496" s="2" t="str">
        <f t="shared" si="201"/>
        <v/>
      </c>
      <c r="Y496" s="35" t="str">
        <f t="shared" ca="1" si="196"/>
        <v/>
      </c>
      <c r="Z496" s="36" t="str">
        <f t="shared" ca="1" si="197"/>
        <v/>
      </c>
      <c r="AA496" s="70" t="str">
        <f t="shared" si="198"/>
        <v/>
      </c>
      <c r="AB496" s="2"/>
      <c r="AC496" s="94" t="str">
        <f t="shared" si="202"/>
        <v/>
      </c>
      <c r="AD496" s="95" t="str">
        <f t="shared" si="203"/>
        <v/>
      </c>
      <c r="AE496" s="96" t="str">
        <f t="shared" si="204"/>
        <v/>
      </c>
      <c r="AF496" s="124" t="str">
        <f t="shared" si="205"/>
        <v/>
      </c>
      <c r="AG496" s="2"/>
      <c r="AH496" s="2"/>
      <c r="AI496" s="2"/>
      <c r="AJ496" s="2"/>
      <c r="AK496" s="2"/>
      <c r="AL496" s="2"/>
    </row>
    <row r="497" spans="1:38" x14ac:dyDescent="0.2">
      <c r="A497" s="45"/>
      <c r="B497" s="43" t="str">
        <f t="shared" si="184"/>
        <v/>
      </c>
      <c r="C497" s="96" t="str">
        <f t="shared" si="207"/>
        <v/>
      </c>
      <c r="D497" s="44" t="str">
        <f t="shared" si="185"/>
        <v/>
      </c>
      <c r="E497" s="52"/>
      <c r="F497" s="63" t="str">
        <f t="shared" si="186"/>
        <v/>
      </c>
      <c r="G497" s="56" t="str">
        <f t="shared" si="187"/>
        <v/>
      </c>
      <c r="H497" s="42"/>
      <c r="I497" s="2" t="str">
        <f t="shared" si="188"/>
        <v/>
      </c>
      <c r="J497" s="54" t="str">
        <f t="shared" si="199"/>
        <v/>
      </c>
      <c r="K497" s="55" t="str">
        <f t="shared" si="189"/>
        <v/>
      </c>
      <c r="L497" s="63" t="str">
        <f t="shared" si="190"/>
        <v/>
      </c>
      <c r="M497" s="96" t="str">
        <f t="shared" si="200"/>
        <v/>
      </c>
      <c r="N497" s="96" t="str">
        <f>IF(A497="","",IF(A497=Expiry,0,EXP(-q*Q497)*_xlfn.NORM.S.DIST(Y497,0)/(sigma*SQRT(Q497))*I497*Mult/100))</f>
        <v/>
      </c>
      <c r="O497" s="96" t="str">
        <f>IF(A497="","",IF(A497=Expiry,0,D497*E497*E497*EXP(-q*Q497)*_xlfn.NORM.S.DIST(Y497,0)*SQRT(Q497)/100))</f>
        <v/>
      </c>
      <c r="P497" s="69" t="str">
        <f>IF(A497="","",IF(A497=Expiry,0,AK497*I497*Mult*((-EXP(-q*Q497)*E497*_xlfn.NORM.S.DIST(Y497,0)*sigma/(2*SQRT(Q497))-r_dom*K*EXP(-r_dom*Q497)*_xlfn.NORM.S.DIST(Z497,1)+q*E497*EXP(-q*Q497)*_xlfn.NORM.S.DIST(Y497,1))/365)))</f>
        <v/>
      </c>
      <c r="Q497" s="83" t="str">
        <f t="shared" si="191"/>
        <v/>
      </c>
      <c r="R497" s="38"/>
      <c r="S497" s="68" t="str">
        <f t="shared" si="192"/>
        <v/>
      </c>
      <c r="T497" s="69" t="str">
        <f t="shared" si="193"/>
        <v/>
      </c>
      <c r="U497" s="70" t="str">
        <f t="shared" si="194"/>
        <v/>
      </c>
      <c r="V497" s="72" t="str">
        <f t="shared" si="195"/>
        <v/>
      </c>
      <c r="W497" s="2" t="str">
        <f t="shared" si="206"/>
        <v/>
      </c>
      <c r="X497" s="2" t="str">
        <f t="shared" si="201"/>
        <v/>
      </c>
      <c r="Y497" s="35" t="str">
        <f t="shared" ca="1" si="196"/>
        <v/>
      </c>
      <c r="Z497" s="36" t="str">
        <f t="shared" ca="1" si="197"/>
        <v/>
      </c>
      <c r="AA497" s="70" t="str">
        <f t="shared" si="198"/>
        <v/>
      </c>
      <c r="AB497" s="2"/>
      <c r="AC497" s="94" t="str">
        <f t="shared" si="202"/>
        <v/>
      </c>
      <c r="AD497" s="95" t="str">
        <f t="shared" si="203"/>
        <v/>
      </c>
      <c r="AE497" s="96" t="str">
        <f t="shared" si="204"/>
        <v/>
      </c>
      <c r="AF497" s="124" t="str">
        <f t="shared" si="205"/>
        <v/>
      </c>
      <c r="AG497" s="2"/>
      <c r="AH497" s="2"/>
      <c r="AI497" s="2"/>
      <c r="AJ497" s="2"/>
      <c r="AK497" s="2"/>
      <c r="AL497" s="2"/>
    </row>
    <row r="498" spans="1:38" x14ac:dyDescent="0.2">
      <c r="A498" s="45"/>
      <c r="B498" s="43" t="str">
        <f t="shared" ref="B498:B561" si="208">IF(A498="","",-(M498+C497))</f>
        <v/>
      </c>
      <c r="C498" s="96" t="str">
        <f t="shared" si="207"/>
        <v/>
      </c>
      <c r="D498" s="44" t="str">
        <f t="shared" ref="D498:D561" si="209">IF(A498="","",C498*E498)</f>
        <v/>
      </c>
      <c r="E498" s="52"/>
      <c r="F498" s="63" t="str">
        <f t="shared" ref="F498:F561" si="210">IF(A498="","",C497*(E498-E497))</f>
        <v/>
      </c>
      <c r="G498" s="56" t="str">
        <f t="shared" ref="G498:G561" si="211">IF(H498="","",J498)</f>
        <v/>
      </c>
      <c r="H498" s="42"/>
      <c r="I498" s="2" t="str">
        <f t="shared" ref="I498:I561" si="212">IF(A498="","",I497+H498)</f>
        <v/>
      </c>
      <c r="J498" s="54" t="str">
        <f t="shared" si="199"/>
        <v/>
      </c>
      <c r="K498" s="55" t="str">
        <f t="shared" ref="K498:K561" si="213">IF(I498="","",I498*Mult*J498)</f>
        <v/>
      </c>
      <c r="L498" s="63" t="str">
        <f t="shared" ref="L498:L561" si="214">IF(A498="","",Mult*(IFERROR(0,H498*(G498-J498))+(I498-H498)*(J498-J497)))</f>
        <v/>
      </c>
      <c r="M498" s="96" t="str">
        <f t="shared" si="200"/>
        <v/>
      </c>
      <c r="N498" s="96" t="str">
        <f>IF(A498="","",IF(A498=Expiry,0,EXP(-q*Q498)*_xlfn.NORM.S.DIST(Y498,0)/(sigma*SQRT(Q498))*I498*Mult/100))</f>
        <v/>
      </c>
      <c r="O498" s="96" t="str">
        <f>IF(A498="","",IF(A498=Expiry,0,D498*E498*E498*EXP(-q*Q498)*_xlfn.NORM.S.DIST(Y498,0)*SQRT(Q498)/100))</f>
        <v/>
      </c>
      <c r="P498" s="69" t="str">
        <f>IF(A498="","",IF(A498=Expiry,0,AK498*I498*Mult*((-EXP(-q*Q498)*E498*_xlfn.NORM.S.DIST(Y498,0)*sigma/(2*SQRT(Q498))-r_dom*K*EXP(-r_dom*Q498)*_xlfn.NORM.S.DIST(Z498,1)+q*E498*EXP(-q*Q498)*_xlfn.NORM.S.DIST(Y498,1))/365)))</f>
        <v/>
      </c>
      <c r="Q498" s="83" t="str">
        <f t="shared" ref="Q498:Q561" si="215">IF(A498="","",IF(OR(A498="",Expiry&lt;=A498),0,(Expiry-A498)/365))</f>
        <v/>
      </c>
      <c r="R498" s="38"/>
      <c r="S498" s="68" t="str">
        <f t="shared" ref="S498:S561" si="216">IF(A498="","",F498+L498)</f>
        <v/>
      </c>
      <c r="T498" s="69" t="str">
        <f t="shared" ref="T498:T561" si="217">IF(A498="","",T497+S498)</f>
        <v/>
      </c>
      <c r="U498" s="70" t="str">
        <f t="shared" ref="U498:U561" si="218">IF(A498="","",LN(T498/T497))</f>
        <v/>
      </c>
      <c r="V498" s="72" t="str">
        <f t="shared" ref="V498:V561" si="219">IF(A498="","",V497*EXP(U498))</f>
        <v/>
      </c>
      <c r="W498" s="2" t="str">
        <f t="shared" si="206"/>
        <v/>
      </c>
      <c r="X498" s="2" t="str">
        <f t="shared" si="201"/>
        <v/>
      </c>
      <c r="Y498" s="35" t="str">
        <f t="shared" ref="Y498:Y561" ca="1" si="220">IF(OR(A498="",A498=Expiry),"",((LN(E498/K)+(r_dom-q+sigma^2/2)*Q498))/(sigma*SQRT(Q498)))</f>
        <v/>
      </c>
      <c r="Z498" s="36" t="str">
        <f t="shared" ref="Z498:Z561" ca="1" si="221">IF(OR(A498="",A498=Expiry),"",Y498-sigma*SQRT(Q498))</f>
        <v/>
      </c>
      <c r="AA498" s="70" t="str">
        <f t="shared" ref="AA498:AA561" si="222">IF(A498="","",LN(E498/E497))</f>
        <v/>
      </c>
      <c r="AB498" s="2"/>
      <c r="AC498" s="94" t="str">
        <f t="shared" si="202"/>
        <v/>
      </c>
      <c r="AD498" s="95" t="str">
        <f t="shared" si="203"/>
        <v/>
      </c>
      <c r="AE498" s="96" t="str">
        <f t="shared" si="204"/>
        <v/>
      </c>
      <c r="AF498" s="124" t="str">
        <f t="shared" si="205"/>
        <v/>
      </c>
      <c r="AG498" s="2"/>
      <c r="AH498" s="2"/>
      <c r="AI498" s="2"/>
      <c r="AJ498" s="2"/>
      <c r="AK498" s="2"/>
      <c r="AL498" s="2"/>
    </row>
    <row r="499" spans="1:38" x14ac:dyDescent="0.2">
      <c r="A499" s="45"/>
      <c r="B499" s="43" t="str">
        <f t="shared" si="208"/>
        <v/>
      </c>
      <c r="C499" s="96" t="str">
        <f t="shared" si="207"/>
        <v/>
      </c>
      <c r="D499" s="44" t="str">
        <f t="shared" si="209"/>
        <v/>
      </c>
      <c r="E499" s="52"/>
      <c r="F499" s="63" t="str">
        <f t="shared" si="210"/>
        <v/>
      </c>
      <c r="G499" s="56" t="str">
        <f t="shared" si="211"/>
        <v/>
      </c>
      <c r="H499" s="42"/>
      <c r="I499" s="2" t="str">
        <f t="shared" si="212"/>
        <v/>
      </c>
      <c r="J499" s="54" t="str">
        <f t="shared" si="199"/>
        <v/>
      </c>
      <c r="K499" s="55" t="str">
        <f t="shared" si="213"/>
        <v/>
      </c>
      <c r="L499" s="63" t="str">
        <f t="shared" si="214"/>
        <v/>
      </c>
      <c r="M499" s="96" t="str">
        <f t="shared" si="200"/>
        <v/>
      </c>
      <c r="N499" s="96" t="str">
        <f>IF(A499="","",IF(A499=Expiry,0,EXP(-q*Q499)*_xlfn.NORM.S.DIST(Y499,0)/(sigma*SQRT(Q499))*I499*Mult/100))</f>
        <v/>
      </c>
      <c r="O499" s="96" t="str">
        <f>IF(A499="","",IF(A499=Expiry,0,D499*E499*E499*EXP(-q*Q499)*_xlfn.NORM.S.DIST(Y499,0)*SQRT(Q499)/100))</f>
        <v/>
      </c>
      <c r="P499" s="69" t="str">
        <f>IF(A499="","",IF(A499=Expiry,0,AK499*I499*Mult*((-EXP(-q*Q499)*E499*_xlfn.NORM.S.DIST(Y499,0)*sigma/(2*SQRT(Q499))-r_dom*K*EXP(-r_dom*Q499)*_xlfn.NORM.S.DIST(Z499,1)+q*E499*EXP(-q*Q499)*_xlfn.NORM.S.DIST(Y499,1))/365)))</f>
        <v/>
      </c>
      <c r="Q499" s="83" t="str">
        <f t="shared" si="215"/>
        <v/>
      </c>
      <c r="R499" s="38"/>
      <c r="S499" s="68" t="str">
        <f t="shared" si="216"/>
        <v/>
      </c>
      <c r="T499" s="69" t="str">
        <f t="shared" si="217"/>
        <v/>
      </c>
      <c r="U499" s="70" t="str">
        <f t="shared" si="218"/>
        <v/>
      </c>
      <c r="V499" s="72" t="str">
        <f t="shared" si="219"/>
        <v/>
      </c>
      <c r="W499" s="2" t="str">
        <f t="shared" si="206"/>
        <v/>
      </c>
      <c r="X499" s="2" t="str">
        <f t="shared" si="201"/>
        <v/>
      </c>
      <c r="Y499" s="35" t="str">
        <f t="shared" ca="1" si="220"/>
        <v/>
      </c>
      <c r="Z499" s="36" t="str">
        <f t="shared" ca="1" si="221"/>
        <v/>
      </c>
      <c r="AA499" s="70" t="str">
        <f t="shared" si="222"/>
        <v/>
      </c>
      <c r="AB499" s="2"/>
      <c r="AC499" s="94" t="str">
        <f t="shared" si="202"/>
        <v/>
      </c>
      <c r="AD499" s="95" t="str">
        <f t="shared" si="203"/>
        <v/>
      </c>
      <c r="AE499" s="96" t="str">
        <f t="shared" si="204"/>
        <v/>
      </c>
      <c r="AF499" s="124" t="str">
        <f t="shared" si="205"/>
        <v/>
      </c>
      <c r="AG499" s="2"/>
      <c r="AH499" s="2"/>
      <c r="AI499" s="2"/>
      <c r="AJ499" s="2"/>
      <c r="AK499" s="2"/>
      <c r="AL499" s="2"/>
    </row>
    <row r="500" spans="1:38" x14ac:dyDescent="0.2">
      <c r="A500" s="45"/>
      <c r="B500" s="43" t="str">
        <f t="shared" si="208"/>
        <v/>
      </c>
      <c r="C500" s="96" t="str">
        <f t="shared" si="207"/>
        <v/>
      </c>
      <c r="D500" s="44" t="str">
        <f t="shared" si="209"/>
        <v/>
      </c>
      <c r="E500" s="52"/>
      <c r="F500" s="63" t="str">
        <f t="shared" si="210"/>
        <v/>
      </c>
      <c r="G500" s="56" t="str">
        <f t="shared" si="211"/>
        <v/>
      </c>
      <c r="H500" s="42"/>
      <c r="I500" s="2" t="str">
        <f t="shared" si="212"/>
        <v/>
      </c>
      <c r="J500" s="54" t="str">
        <f t="shared" si="199"/>
        <v/>
      </c>
      <c r="K500" s="55" t="str">
        <f t="shared" si="213"/>
        <v/>
      </c>
      <c r="L500" s="63" t="str">
        <f t="shared" si="214"/>
        <v/>
      </c>
      <c r="M500" s="96" t="str">
        <f t="shared" si="200"/>
        <v/>
      </c>
      <c r="N500" s="96" t="str">
        <f>IF(A500="","",IF(A500=Expiry,0,EXP(-q*Q500)*_xlfn.NORM.S.DIST(Y500,0)/(sigma*SQRT(Q500))*I500*Mult/100))</f>
        <v/>
      </c>
      <c r="O500" s="96" t="str">
        <f>IF(A500="","",IF(A500=Expiry,0,D500*E500*E500*EXP(-q*Q500)*_xlfn.NORM.S.DIST(Y500,0)*SQRT(Q500)/100))</f>
        <v/>
      </c>
      <c r="P500" s="69" t="str">
        <f>IF(A500="","",IF(A500=Expiry,0,AK500*I500*Mult*((-EXP(-q*Q500)*E500*_xlfn.NORM.S.DIST(Y500,0)*sigma/(2*SQRT(Q500))-r_dom*K*EXP(-r_dom*Q500)*_xlfn.NORM.S.DIST(Z500,1)+q*E500*EXP(-q*Q500)*_xlfn.NORM.S.DIST(Y500,1))/365)))</f>
        <v/>
      </c>
      <c r="Q500" s="83" t="str">
        <f t="shared" si="215"/>
        <v/>
      </c>
      <c r="R500" s="38"/>
      <c r="S500" s="68" t="str">
        <f t="shared" si="216"/>
        <v/>
      </c>
      <c r="T500" s="69" t="str">
        <f t="shared" si="217"/>
        <v/>
      </c>
      <c r="U500" s="70" t="str">
        <f t="shared" si="218"/>
        <v/>
      </c>
      <c r="V500" s="72" t="str">
        <f t="shared" si="219"/>
        <v/>
      </c>
      <c r="W500" s="2" t="str">
        <f t="shared" si="206"/>
        <v/>
      </c>
      <c r="X500" s="2" t="str">
        <f t="shared" si="201"/>
        <v/>
      </c>
      <c r="Y500" s="35" t="str">
        <f t="shared" ca="1" si="220"/>
        <v/>
      </c>
      <c r="Z500" s="36" t="str">
        <f t="shared" ca="1" si="221"/>
        <v/>
      </c>
      <c r="AA500" s="70" t="str">
        <f t="shared" si="222"/>
        <v/>
      </c>
      <c r="AB500" s="2"/>
      <c r="AC500" s="94" t="str">
        <f t="shared" si="202"/>
        <v/>
      </c>
      <c r="AD500" s="95" t="str">
        <f t="shared" si="203"/>
        <v/>
      </c>
      <c r="AE500" s="96" t="str">
        <f t="shared" si="204"/>
        <v/>
      </c>
      <c r="AF500" s="124" t="str">
        <f t="shared" si="205"/>
        <v/>
      </c>
      <c r="AG500" s="2"/>
      <c r="AH500" s="2"/>
      <c r="AI500" s="2"/>
      <c r="AJ500" s="2"/>
      <c r="AK500" s="2"/>
      <c r="AL500" s="2"/>
    </row>
    <row r="501" spans="1:38" x14ac:dyDescent="0.2">
      <c r="A501" s="45"/>
      <c r="B501" s="43" t="str">
        <f t="shared" si="208"/>
        <v/>
      </c>
      <c r="C501" s="96" t="str">
        <f t="shared" si="207"/>
        <v/>
      </c>
      <c r="D501" s="44" t="str">
        <f t="shared" si="209"/>
        <v/>
      </c>
      <c r="E501" s="52"/>
      <c r="F501" s="63" t="str">
        <f t="shared" si="210"/>
        <v/>
      </c>
      <c r="G501" s="56" t="str">
        <f t="shared" si="211"/>
        <v/>
      </c>
      <c r="H501" s="42"/>
      <c r="I501" s="2" t="str">
        <f t="shared" si="212"/>
        <v/>
      </c>
      <c r="J501" s="54" t="str">
        <f t="shared" si="199"/>
        <v/>
      </c>
      <c r="K501" s="55" t="str">
        <f t="shared" si="213"/>
        <v/>
      </c>
      <c r="L501" s="63" t="str">
        <f t="shared" si="214"/>
        <v/>
      </c>
      <c r="M501" s="96" t="str">
        <f t="shared" si="200"/>
        <v/>
      </c>
      <c r="N501" s="96" t="str">
        <f>IF(A501="","",IF(A501=Expiry,0,EXP(-q*Q501)*_xlfn.NORM.S.DIST(Y501,0)/(sigma*SQRT(Q501))*I501*Mult/100))</f>
        <v/>
      </c>
      <c r="O501" s="96" t="str">
        <f>IF(A501="","",IF(A501=Expiry,0,D501*E501*E501*EXP(-q*Q501)*_xlfn.NORM.S.DIST(Y501,0)*SQRT(Q501)/100))</f>
        <v/>
      </c>
      <c r="P501" s="69" t="str">
        <f>IF(A501="","",IF(A501=Expiry,0,AK501*I501*Mult*((-EXP(-q*Q501)*E501*_xlfn.NORM.S.DIST(Y501,0)*sigma/(2*SQRT(Q501))-r_dom*K*EXP(-r_dom*Q501)*_xlfn.NORM.S.DIST(Z501,1)+q*E501*EXP(-q*Q501)*_xlfn.NORM.S.DIST(Y501,1))/365)))</f>
        <v/>
      </c>
      <c r="Q501" s="83" t="str">
        <f t="shared" si="215"/>
        <v/>
      </c>
      <c r="R501" s="38"/>
      <c r="S501" s="68" t="str">
        <f t="shared" si="216"/>
        <v/>
      </c>
      <c r="T501" s="69" t="str">
        <f t="shared" si="217"/>
        <v/>
      </c>
      <c r="U501" s="70" t="str">
        <f t="shared" si="218"/>
        <v/>
      </c>
      <c r="V501" s="72" t="str">
        <f t="shared" si="219"/>
        <v/>
      </c>
      <c r="W501" s="2" t="str">
        <f t="shared" si="206"/>
        <v/>
      </c>
      <c r="X501" s="2" t="str">
        <f t="shared" si="201"/>
        <v/>
      </c>
      <c r="Y501" s="35" t="str">
        <f t="shared" ca="1" si="220"/>
        <v/>
      </c>
      <c r="Z501" s="36" t="str">
        <f t="shared" ca="1" si="221"/>
        <v/>
      </c>
      <c r="AA501" s="70" t="str">
        <f t="shared" si="222"/>
        <v/>
      </c>
      <c r="AB501" s="2"/>
      <c r="AC501" s="94" t="str">
        <f t="shared" si="202"/>
        <v/>
      </c>
      <c r="AD501" s="95" t="str">
        <f t="shared" si="203"/>
        <v/>
      </c>
      <c r="AE501" s="96" t="str">
        <f t="shared" si="204"/>
        <v/>
      </c>
      <c r="AF501" s="124" t="str">
        <f t="shared" si="205"/>
        <v/>
      </c>
      <c r="AG501" s="2"/>
      <c r="AH501" s="2"/>
      <c r="AI501" s="2"/>
      <c r="AJ501" s="2"/>
      <c r="AK501" s="2"/>
      <c r="AL501" s="2"/>
    </row>
    <row r="502" spans="1:38" x14ac:dyDescent="0.2">
      <c r="A502" s="45"/>
      <c r="B502" s="43" t="str">
        <f t="shared" si="208"/>
        <v/>
      </c>
      <c r="C502" s="96" t="str">
        <f t="shared" si="207"/>
        <v/>
      </c>
      <c r="D502" s="44" t="str">
        <f t="shared" si="209"/>
        <v/>
      </c>
      <c r="E502" s="52"/>
      <c r="F502" s="63" t="str">
        <f t="shared" si="210"/>
        <v/>
      </c>
      <c r="G502" s="56" t="str">
        <f t="shared" si="211"/>
        <v/>
      </c>
      <c r="H502" s="42"/>
      <c r="I502" s="2" t="str">
        <f t="shared" si="212"/>
        <v/>
      </c>
      <c r="J502" s="54" t="str">
        <f t="shared" si="199"/>
        <v/>
      </c>
      <c r="K502" s="55" t="str">
        <f t="shared" si="213"/>
        <v/>
      </c>
      <c r="L502" s="63" t="str">
        <f t="shared" si="214"/>
        <v/>
      </c>
      <c r="M502" s="96" t="str">
        <f t="shared" si="200"/>
        <v/>
      </c>
      <c r="N502" s="96" t="str">
        <f>IF(A502="","",IF(A502=Expiry,0,EXP(-q*Q502)*_xlfn.NORM.S.DIST(Y502,0)/(sigma*SQRT(Q502))*I502*Mult/100))</f>
        <v/>
      </c>
      <c r="O502" s="96" t="str">
        <f>IF(A502="","",IF(A502=Expiry,0,D502*E502*E502*EXP(-q*Q502)*_xlfn.NORM.S.DIST(Y502,0)*SQRT(Q502)/100))</f>
        <v/>
      </c>
      <c r="P502" s="69" t="str">
        <f>IF(A502="","",IF(A502=Expiry,0,AK502*I502*Mult*((-EXP(-q*Q502)*E502*_xlfn.NORM.S.DIST(Y502,0)*sigma/(2*SQRT(Q502))-r_dom*K*EXP(-r_dom*Q502)*_xlfn.NORM.S.DIST(Z502,1)+q*E502*EXP(-q*Q502)*_xlfn.NORM.S.DIST(Y502,1))/365)))</f>
        <v/>
      </c>
      <c r="Q502" s="83" t="str">
        <f t="shared" si="215"/>
        <v/>
      </c>
      <c r="R502" s="38"/>
      <c r="S502" s="68" t="str">
        <f t="shared" si="216"/>
        <v/>
      </c>
      <c r="T502" s="69" t="str">
        <f t="shared" si="217"/>
        <v/>
      </c>
      <c r="U502" s="70" t="str">
        <f t="shared" si="218"/>
        <v/>
      </c>
      <c r="V502" s="72" t="str">
        <f t="shared" si="219"/>
        <v/>
      </c>
      <c r="W502" s="2" t="str">
        <f t="shared" si="206"/>
        <v/>
      </c>
      <c r="X502" s="2" t="str">
        <f t="shared" si="201"/>
        <v/>
      </c>
      <c r="Y502" s="35" t="str">
        <f t="shared" ca="1" si="220"/>
        <v/>
      </c>
      <c r="Z502" s="36" t="str">
        <f t="shared" ca="1" si="221"/>
        <v/>
      </c>
      <c r="AA502" s="70" t="str">
        <f t="shared" si="222"/>
        <v/>
      </c>
      <c r="AB502" s="2"/>
      <c r="AC502" s="94" t="str">
        <f t="shared" si="202"/>
        <v/>
      </c>
      <c r="AD502" s="95" t="str">
        <f t="shared" si="203"/>
        <v/>
      </c>
      <c r="AE502" s="96" t="str">
        <f t="shared" si="204"/>
        <v/>
      </c>
      <c r="AF502" s="124" t="str">
        <f t="shared" si="205"/>
        <v/>
      </c>
      <c r="AG502" s="2"/>
      <c r="AH502" s="2"/>
      <c r="AI502" s="2"/>
      <c r="AJ502" s="2"/>
      <c r="AK502" s="2"/>
      <c r="AL502" s="2"/>
    </row>
    <row r="503" spans="1:38" x14ac:dyDescent="0.2">
      <c r="A503" s="45"/>
      <c r="B503" s="43" t="str">
        <f t="shared" si="208"/>
        <v/>
      </c>
      <c r="C503" s="96" t="str">
        <f t="shared" si="207"/>
        <v/>
      </c>
      <c r="D503" s="44" t="str">
        <f t="shared" si="209"/>
        <v/>
      </c>
      <c r="E503" s="52"/>
      <c r="F503" s="63" t="str">
        <f t="shared" si="210"/>
        <v/>
      </c>
      <c r="G503" s="56" t="str">
        <f t="shared" si="211"/>
        <v/>
      </c>
      <c r="H503" s="42"/>
      <c r="I503" s="2" t="str">
        <f t="shared" si="212"/>
        <v/>
      </c>
      <c r="J503" s="54" t="str">
        <f t="shared" si="199"/>
        <v/>
      </c>
      <c r="K503" s="55" t="str">
        <f t="shared" si="213"/>
        <v/>
      </c>
      <c r="L503" s="63" t="str">
        <f t="shared" si="214"/>
        <v/>
      </c>
      <c r="M503" s="96" t="str">
        <f t="shared" si="200"/>
        <v/>
      </c>
      <c r="N503" s="96" t="str">
        <f>IF(A503="","",IF(A503=Expiry,0,EXP(-q*Q503)*_xlfn.NORM.S.DIST(Y503,0)/(sigma*SQRT(Q503))*I503*Mult/100))</f>
        <v/>
      </c>
      <c r="O503" s="96" t="str">
        <f>IF(A503="","",IF(A503=Expiry,0,D503*E503*E503*EXP(-q*Q503)*_xlfn.NORM.S.DIST(Y503,0)*SQRT(Q503)/100))</f>
        <v/>
      </c>
      <c r="P503" s="69" t="str">
        <f>IF(A503="","",IF(A503=Expiry,0,AK503*I503*Mult*((-EXP(-q*Q503)*E503*_xlfn.NORM.S.DIST(Y503,0)*sigma/(2*SQRT(Q503))-r_dom*K*EXP(-r_dom*Q503)*_xlfn.NORM.S.DIST(Z503,1)+q*E503*EXP(-q*Q503)*_xlfn.NORM.S.DIST(Y503,1))/365)))</f>
        <v/>
      </c>
      <c r="Q503" s="83" t="str">
        <f t="shared" si="215"/>
        <v/>
      </c>
      <c r="R503" s="38"/>
      <c r="S503" s="68" t="str">
        <f t="shared" si="216"/>
        <v/>
      </c>
      <c r="T503" s="69" t="str">
        <f t="shared" si="217"/>
        <v/>
      </c>
      <c r="U503" s="70" t="str">
        <f t="shared" si="218"/>
        <v/>
      </c>
      <c r="V503" s="72" t="str">
        <f t="shared" si="219"/>
        <v/>
      </c>
      <c r="W503" s="2" t="str">
        <f t="shared" si="206"/>
        <v/>
      </c>
      <c r="X503" s="2" t="str">
        <f t="shared" si="201"/>
        <v/>
      </c>
      <c r="Y503" s="35" t="str">
        <f t="shared" ca="1" si="220"/>
        <v/>
      </c>
      <c r="Z503" s="36" t="str">
        <f t="shared" ca="1" si="221"/>
        <v/>
      </c>
      <c r="AA503" s="70" t="str">
        <f t="shared" si="222"/>
        <v/>
      </c>
      <c r="AB503" s="2"/>
      <c r="AC503" s="94" t="str">
        <f t="shared" si="202"/>
        <v/>
      </c>
      <c r="AD503" s="95" t="str">
        <f t="shared" si="203"/>
        <v/>
      </c>
      <c r="AE503" s="96" t="str">
        <f t="shared" si="204"/>
        <v/>
      </c>
      <c r="AF503" s="124" t="str">
        <f t="shared" si="205"/>
        <v/>
      </c>
      <c r="AG503" s="2"/>
      <c r="AH503" s="2"/>
      <c r="AI503" s="2"/>
      <c r="AJ503" s="2"/>
      <c r="AK503" s="2"/>
      <c r="AL503" s="2"/>
    </row>
    <row r="504" spans="1:38" x14ac:dyDescent="0.2">
      <c r="A504" s="45"/>
      <c r="B504" s="43" t="str">
        <f t="shared" si="208"/>
        <v/>
      </c>
      <c r="C504" s="96" t="str">
        <f t="shared" si="207"/>
        <v/>
      </c>
      <c r="D504" s="44" t="str">
        <f t="shared" si="209"/>
        <v/>
      </c>
      <c r="E504" s="52"/>
      <c r="F504" s="63" t="str">
        <f t="shared" si="210"/>
        <v/>
      </c>
      <c r="G504" s="56" t="str">
        <f t="shared" si="211"/>
        <v/>
      </c>
      <c r="H504" s="42"/>
      <c r="I504" s="2" t="str">
        <f t="shared" si="212"/>
        <v/>
      </c>
      <c r="J504" s="54" t="str">
        <f t="shared" si="199"/>
        <v/>
      </c>
      <c r="K504" s="55" t="str">
        <f t="shared" si="213"/>
        <v/>
      </c>
      <c r="L504" s="63" t="str">
        <f t="shared" si="214"/>
        <v/>
      </c>
      <c r="M504" s="96" t="str">
        <f t="shared" si="200"/>
        <v/>
      </c>
      <c r="N504" s="96" t="str">
        <f>IF(A504="","",IF(A504=Expiry,0,EXP(-q*Q504)*_xlfn.NORM.S.DIST(Y504,0)/(sigma*SQRT(Q504))*I504*Mult/100))</f>
        <v/>
      </c>
      <c r="O504" s="96" t="str">
        <f>IF(A504="","",IF(A504=Expiry,0,D504*E504*E504*EXP(-q*Q504)*_xlfn.NORM.S.DIST(Y504,0)*SQRT(Q504)/100))</f>
        <v/>
      </c>
      <c r="P504" s="69" t="str">
        <f>IF(A504="","",IF(A504=Expiry,0,AK504*I504*Mult*((-EXP(-q*Q504)*E504*_xlfn.NORM.S.DIST(Y504,0)*sigma/(2*SQRT(Q504))-r_dom*K*EXP(-r_dom*Q504)*_xlfn.NORM.S.DIST(Z504,1)+q*E504*EXP(-q*Q504)*_xlfn.NORM.S.DIST(Y504,1))/365)))</f>
        <v/>
      </c>
      <c r="Q504" s="83" t="str">
        <f t="shared" si="215"/>
        <v/>
      </c>
      <c r="R504" s="38"/>
      <c r="S504" s="68" t="str">
        <f t="shared" si="216"/>
        <v/>
      </c>
      <c r="T504" s="69" t="str">
        <f t="shared" si="217"/>
        <v/>
      </c>
      <c r="U504" s="70" t="str">
        <f t="shared" si="218"/>
        <v/>
      </c>
      <c r="V504" s="72" t="str">
        <f t="shared" si="219"/>
        <v/>
      </c>
      <c r="W504" s="2" t="str">
        <f t="shared" si="206"/>
        <v/>
      </c>
      <c r="X504" s="2" t="str">
        <f t="shared" si="201"/>
        <v/>
      </c>
      <c r="Y504" s="35" t="str">
        <f t="shared" ca="1" si="220"/>
        <v/>
      </c>
      <c r="Z504" s="36" t="str">
        <f t="shared" ca="1" si="221"/>
        <v/>
      </c>
      <c r="AA504" s="70" t="str">
        <f t="shared" si="222"/>
        <v/>
      </c>
      <c r="AB504" s="2"/>
      <c r="AC504" s="94" t="str">
        <f t="shared" si="202"/>
        <v/>
      </c>
      <c r="AD504" s="95" t="str">
        <f t="shared" si="203"/>
        <v/>
      </c>
      <c r="AE504" s="96" t="str">
        <f t="shared" si="204"/>
        <v/>
      </c>
      <c r="AF504" s="124" t="str">
        <f t="shared" si="205"/>
        <v/>
      </c>
      <c r="AG504" s="2"/>
      <c r="AH504" s="2"/>
      <c r="AI504" s="2"/>
      <c r="AJ504" s="2"/>
      <c r="AK504" s="2"/>
      <c r="AL504" s="2"/>
    </row>
    <row r="505" spans="1:38" x14ac:dyDescent="0.2">
      <c r="A505" s="45"/>
      <c r="B505" s="43" t="str">
        <f t="shared" si="208"/>
        <v/>
      </c>
      <c r="C505" s="96" t="str">
        <f t="shared" si="207"/>
        <v/>
      </c>
      <c r="D505" s="44" t="str">
        <f t="shared" si="209"/>
        <v/>
      </c>
      <c r="E505" s="52"/>
      <c r="F505" s="63" t="str">
        <f t="shared" si="210"/>
        <v/>
      </c>
      <c r="G505" s="56" t="str">
        <f t="shared" si="211"/>
        <v/>
      </c>
      <c r="H505" s="42"/>
      <c r="I505" s="2" t="str">
        <f t="shared" si="212"/>
        <v/>
      </c>
      <c r="J505" s="54" t="str">
        <f t="shared" si="199"/>
        <v/>
      </c>
      <c r="K505" s="55" t="str">
        <f t="shared" si="213"/>
        <v/>
      </c>
      <c r="L505" s="63" t="str">
        <f t="shared" si="214"/>
        <v/>
      </c>
      <c r="M505" s="96" t="str">
        <f t="shared" si="200"/>
        <v/>
      </c>
      <c r="N505" s="96" t="str">
        <f>IF(A505="","",IF(A505=Expiry,0,EXP(-q*Q505)*_xlfn.NORM.S.DIST(Y505,0)/(sigma*SQRT(Q505))*I505*Mult/100))</f>
        <v/>
      </c>
      <c r="O505" s="96" t="str">
        <f>IF(A505="","",IF(A505=Expiry,0,D505*E505*E505*EXP(-q*Q505)*_xlfn.NORM.S.DIST(Y505,0)*SQRT(Q505)/100))</f>
        <v/>
      </c>
      <c r="P505" s="69" t="str">
        <f>IF(A505="","",IF(A505=Expiry,0,AK505*I505*Mult*((-EXP(-q*Q505)*E505*_xlfn.NORM.S.DIST(Y505,0)*sigma/(2*SQRT(Q505))-r_dom*K*EXP(-r_dom*Q505)*_xlfn.NORM.S.DIST(Z505,1)+q*E505*EXP(-q*Q505)*_xlfn.NORM.S.DIST(Y505,1))/365)))</f>
        <v/>
      </c>
      <c r="Q505" s="83" t="str">
        <f t="shared" si="215"/>
        <v/>
      </c>
      <c r="R505" s="38"/>
      <c r="S505" s="68" t="str">
        <f t="shared" si="216"/>
        <v/>
      </c>
      <c r="T505" s="69" t="str">
        <f t="shared" si="217"/>
        <v/>
      </c>
      <c r="U505" s="70" t="str">
        <f t="shared" si="218"/>
        <v/>
      </c>
      <c r="V505" s="72" t="str">
        <f t="shared" si="219"/>
        <v/>
      </c>
      <c r="W505" s="2" t="str">
        <f t="shared" si="206"/>
        <v/>
      </c>
      <c r="X505" s="2" t="str">
        <f t="shared" si="201"/>
        <v/>
      </c>
      <c r="Y505" s="35" t="str">
        <f t="shared" ca="1" si="220"/>
        <v/>
      </c>
      <c r="Z505" s="36" t="str">
        <f t="shared" ca="1" si="221"/>
        <v/>
      </c>
      <c r="AA505" s="70" t="str">
        <f t="shared" si="222"/>
        <v/>
      </c>
      <c r="AB505" s="2"/>
      <c r="AC505" s="94" t="str">
        <f t="shared" si="202"/>
        <v/>
      </c>
      <c r="AD505" s="95" t="str">
        <f t="shared" si="203"/>
        <v/>
      </c>
      <c r="AE505" s="96" t="str">
        <f t="shared" si="204"/>
        <v/>
      </c>
      <c r="AF505" s="124" t="str">
        <f t="shared" si="205"/>
        <v/>
      </c>
      <c r="AG505" s="2"/>
      <c r="AH505" s="2"/>
      <c r="AI505" s="2"/>
      <c r="AJ505" s="2"/>
      <c r="AK505" s="2"/>
      <c r="AL505" s="2"/>
    </row>
    <row r="506" spans="1:38" x14ac:dyDescent="0.2">
      <c r="A506" s="45"/>
      <c r="B506" s="43" t="str">
        <f t="shared" si="208"/>
        <v/>
      </c>
      <c r="C506" s="96" t="str">
        <f t="shared" si="207"/>
        <v/>
      </c>
      <c r="D506" s="44" t="str">
        <f t="shared" si="209"/>
        <v/>
      </c>
      <c r="E506" s="52"/>
      <c r="F506" s="63" t="str">
        <f t="shared" si="210"/>
        <v/>
      </c>
      <c r="G506" s="56" t="str">
        <f t="shared" si="211"/>
        <v/>
      </c>
      <c r="H506" s="42"/>
      <c r="I506" s="2" t="str">
        <f t="shared" si="212"/>
        <v/>
      </c>
      <c r="J506" s="54" t="str">
        <f t="shared" si="199"/>
        <v/>
      </c>
      <c r="K506" s="55" t="str">
        <f t="shared" si="213"/>
        <v/>
      </c>
      <c r="L506" s="63" t="str">
        <f t="shared" si="214"/>
        <v/>
      </c>
      <c r="M506" s="96" t="str">
        <f t="shared" si="200"/>
        <v/>
      </c>
      <c r="N506" s="96" t="str">
        <f>IF(A506="","",IF(A506=Expiry,0,EXP(-q*Q506)*_xlfn.NORM.S.DIST(Y506,0)/(sigma*SQRT(Q506))*I506*Mult/100))</f>
        <v/>
      </c>
      <c r="O506" s="96" t="str">
        <f>IF(A506="","",IF(A506=Expiry,0,D506*E506*E506*EXP(-q*Q506)*_xlfn.NORM.S.DIST(Y506,0)*SQRT(Q506)/100))</f>
        <v/>
      </c>
      <c r="P506" s="69" t="str">
        <f>IF(A506="","",IF(A506=Expiry,0,AK506*I506*Mult*((-EXP(-q*Q506)*E506*_xlfn.NORM.S.DIST(Y506,0)*sigma/(2*SQRT(Q506))-r_dom*K*EXP(-r_dom*Q506)*_xlfn.NORM.S.DIST(Z506,1)+q*E506*EXP(-q*Q506)*_xlfn.NORM.S.DIST(Y506,1))/365)))</f>
        <v/>
      </c>
      <c r="Q506" s="83" t="str">
        <f t="shared" si="215"/>
        <v/>
      </c>
      <c r="R506" s="38"/>
      <c r="S506" s="68" t="str">
        <f t="shared" si="216"/>
        <v/>
      </c>
      <c r="T506" s="69" t="str">
        <f t="shared" si="217"/>
        <v/>
      </c>
      <c r="U506" s="70" t="str">
        <f t="shared" si="218"/>
        <v/>
      </c>
      <c r="V506" s="72" t="str">
        <f t="shared" si="219"/>
        <v/>
      </c>
      <c r="W506" s="2" t="str">
        <f t="shared" si="206"/>
        <v/>
      </c>
      <c r="X506" s="2" t="str">
        <f t="shared" si="201"/>
        <v/>
      </c>
      <c r="Y506" s="35" t="str">
        <f t="shared" ca="1" si="220"/>
        <v/>
      </c>
      <c r="Z506" s="36" t="str">
        <f t="shared" ca="1" si="221"/>
        <v/>
      </c>
      <c r="AA506" s="70" t="str">
        <f t="shared" si="222"/>
        <v/>
      </c>
      <c r="AB506" s="2"/>
      <c r="AC506" s="94" t="str">
        <f t="shared" si="202"/>
        <v/>
      </c>
      <c r="AD506" s="95" t="str">
        <f t="shared" si="203"/>
        <v/>
      </c>
      <c r="AE506" s="96" t="str">
        <f t="shared" si="204"/>
        <v/>
      </c>
      <c r="AF506" s="124" t="str">
        <f t="shared" si="205"/>
        <v/>
      </c>
      <c r="AG506" s="2"/>
      <c r="AH506" s="2"/>
      <c r="AI506" s="2"/>
      <c r="AJ506" s="2"/>
      <c r="AK506" s="2"/>
      <c r="AL506" s="2"/>
    </row>
    <row r="507" spans="1:38" x14ac:dyDescent="0.2">
      <c r="A507" s="45"/>
      <c r="B507" s="43" t="str">
        <f t="shared" si="208"/>
        <v/>
      </c>
      <c r="C507" s="96" t="str">
        <f t="shared" si="207"/>
        <v/>
      </c>
      <c r="D507" s="44" t="str">
        <f t="shared" si="209"/>
        <v/>
      </c>
      <c r="E507" s="52"/>
      <c r="F507" s="63" t="str">
        <f t="shared" si="210"/>
        <v/>
      </c>
      <c r="G507" s="56" t="str">
        <f t="shared" si="211"/>
        <v/>
      </c>
      <c r="H507" s="42"/>
      <c r="I507" s="2" t="str">
        <f t="shared" si="212"/>
        <v/>
      </c>
      <c r="J507" s="54" t="str">
        <f t="shared" si="199"/>
        <v/>
      </c>
      <c r="K507" s="55" t="str">
        <f t="shared" si="213"/>
        <v/>
      </c>
      <c r="L507" s="63" t="str">
        <f t="shared" si="214"/>
        <v/>
      </c>
      <c r="M507" s="96" t="str">
        <f t="shared" si="200"/>
        <v/>
      </c>
      <c r="N507" s="96" t="str">
        <f>IF(A507="","",IF(A507=Expiry,0,EXP(-q*Q507)*_xlfn.NORM.S.DIST(Y507,0)/(sigma*SQRT(Q507))*I507*Mult/100))</f>
        <v/>
      </c>
      <c r="O507" s="96" t="str">
        <f>IF(A507="","",IF(A507=Expiry,0,D507*E507*E507*EXP(-q*Q507)*_xlfn.NORM.S.DIST(Y507,0)*SQRT(Q507)/100))</f>
        <v/>
      </c>
      <c r="P507" s="69" t="str">
        <f>IF(A507="","",IF(A507=Expiry,0,AK507*I507*Mult*((-EXP(-q*Q507)*E507*_xlfn.NORM.S.DIST(Y507,0)*sigma/(2*SQRT(Q507))-r_dom*K*EXP(-r_dom*Q507)*_xlfn.NORM.S.DIST(Z507,1)+q*E507*EXP(-q*Q507)*_xlfn.NORM.S.DIST(Y507,1))/365)))</f>
        <v/>
      </c>
      <c r="Q507" s="83" t="str">
        <f t="shared" si="215"/>
        <v/>
      </c>
      <c r="R507" s="38"/>
      <c r="S507" s="68" t="str">
        <f t="shared" si="216"/>
        <v/>
      </c>
      <c r="T507" s="69" t="str">
        <f t="shared" si="217"/>
        <v/>
      </c>
      <c r="U507" s="70" t="str">
        <f t="shared" si="218"/>
        <v/>
      </c>
      <c r="V507" s="72" t="str">
        <f t="shared" si="219"/>
        <v/>
      </c>
      <c r="W507" s="2" t="str">
        <f t="shared" si="206"/>
        <v/>
      </c>
      <c r="X507" s="2" t="str">
        <f t="shared" si="201"/>
        <v/>
      </c>
      <c r="Y507" s="35" t="str">
        <f t="shared" ca="1" si="220"/>
        <v/>
      </c>
      <c r="Z507" s="36" t="str">
        <f t="shared" ca="1" si="221"/>
        <v/>
      </c>
      <c r="AA507" s="70" t="str">
        <f t="shared" si="222"/>
        <v/>
      </c>
      <c r="AB507" s="2"/>
      <c r="AC507" s="94" t="str">
        <f t="shared" si="202"/>
        <v/>
      </c>
      <c r="AD507" s="95" t="str">
        <f t="shared" si="203"/>
        <v/>
      </c>
      <c r="AE507" s="96" t="str">
        <f t="shared" si="204"/>
        <v/>
      </c>
      <c r="AF507" s="124" t="str">
        <f t="shared" si="205"/>
        <v/>
      </c>
      <c r="AG507" s="2"/>
      <c r="AH507" s="2"/>
      <c r="AI507" s="2"/>
      <c r="AJ507" s="2"/>
      <c r="AK507" s="2"/>
      <c r="AL507" s="2"/>
    </row>
    <row r="508" spans="1:38" x14ac:dyDescent="0.2">
      <c r="A508" s="45"/>
      <c r="B508" s="43" t="str">
        <f t="shared" si="208"/>
        <v/>
      </c>
      <c r="C508" s="96" t="str">
        <f t="shared" si="207"/>
        <v/>
      </c>
      <c r="D508" s="44" t="str">
        <f t="shared" si="209"/>
        <v/>
      </c>
      <c r="E508" s="52"/>
      <c r="F508" s="63" t="str">
        <f t="shared" si="210"/>
        <v/>
      </c>
      <c r="G508" s="56" t="str">
        <f t="shared" si="211"/>
        <v/>
      </c>
      <c r="H508" s="42"/>
      <c r="I508" s="2" t="str">
        <f t="shared" si="212"/>
        <v/>
      </c>
      <c r="J508" s="54" t="str">
        <f t="shared" si="199"/>
        <v/>
      </c>
      <c r="K508" s="55" t="str">
        <f t="shared" si="213"/>
        <v/>
      </c>
      <c r="L508" s="63" t="str">
        <f t="shared" si="214"/>
        <v/>
      </c>
      <c r="M508" s="96" t="str">
        <f t="shared" si="200"/>
        <v/>
      </c>
      <c r="N508" s="96" t="str">
        <f>IF(A508="","",IF(A508=Expiry,0,EXP(-q*Q508)*_xlfn.NORM.S.DIST(Y508,0)/(sigma*SQRT(Q508))*I508*Mult/100))</f>
        <v/>
      </c>
      <c r="O508" s="96" t="str">
        <f>IF(A508="","",IF(A508=Expiry,0,D508*E508*E508*EXP(-q*Q508)*_xlfn.NORM.S.DIST(Y508,0)*SQRT(Q508)/100))</f>
        <v/>
      </c>
      <c r="P508" s="69" t="str">
        <f>IF(A508="","",IF(A508=Expiry,0,AK508*I508*Mult*((-EXP(-q*Q508)*E508*_xlfn.NORM.S.DIST(Y508,0)*sigma/(2*SQRT(Q508))-r_dom*K*EXP(-r_dom*Q508)*_xlfn.NORM.S.DIST(Z508,1)+q*E508*EXP(-q*Q508)*_xlfn.NORM.S.DIST(Y508,1))/365)))</f>
        <v/>
      </c>
      <c r="Q508" s="83" t="str">
        <f t="shared" si="215"/>
        <v/>
      </c>
      <c r="R508" s="38"/>
      <c r="S508" s="68" t="str">
        <f t="shared" si="216"/>
        <v/>
      </c>
      <c r="T508" s="69" t="str">
        <f t="shared" si="217"/>
        <v/>
      </c>
      <c r="U508" s="70" t="str">
        <f t="shared" si="218"/>
        <v/>
      </c>
      <c r="V508" s="72" t="str">
        <f t="shared" si="219"/>
        <v/>
      </c>
      <c r="W508" s="2" t="str">
        <f t="shared" si="206"/>
        <v/>
      </c>
      <c r="X508" s="2" t="str">
        <f t="shared" si="201"/>
        <v/>
      </c>
      <c r="Y508" s="35" t="str">
        <f t="shared" ca="1" si="220"/>
        <v/>
      </c>
      <c r="Z508" s="36" t="str">
        <f t="shared" ca="1" si="221"/>
        <v/>
      </c>
      <c r="AA508" s="70" t="str">
        <f t="shared" si="222"/>
        <v/>
      </c>
      <c r="AB508" s="2"/>
      <c r="AC508" s="94" t="str">
        <f t="shared" si="202"/>
        <v/>
      </c>
      <c r="AD508" s="95" t="str">
        <f t="shared" si="203"/>
        <v/>
      </c>
      <c r="AE508" s="96" t="str">
        <f t="shared" si="204"/>
        <v/>
      </c>
      <c r="AF508" s="124" t="str">
        <f t="shared" si="205"/>
        <v/>
      </c>
      <c r="AG508" s="2"/>
      <c r="AH508" s="2"/>
      <c r="AI508" s="2"/>
      <c r="AJ508" s="2"/>
      <c r="AK508" s="2"/>
      <c r="AL508" s="2"/>
    </row>
    <row r="509" spans="1:38" x14ac:dyDescent="0.2">
      <c r="A509" s="45"/>
      <c r="B509" s="43" t="str">
        <f t="shared" si="208"/>
        <v/>
      </c>
      <c r="C509" s="96" t="str">
        <f t="shared" si="207"/>
        <v/>
      </c>
      <c r="D509" s="44" t="str">
        <f t="shared" si="209"/>
        <v/>
      </c>
      <c r="E509" s="52"/>
      <c r="F509" s="63" t="str">
        <f t="shared" si="210"/>
        <v/>
      </c>
      <c r="G509" s="56" t="str">
        <f t="shared" si="211"/>
        <v/>
      </c>
      <c r="H509" s="42"/>
      <c r="I509" s="2" t="str">
        <f t="shared" si="212"/>
        <v/>
      </c>
      <c r="J509" s="54" t="str">
        <f t="shared" si="199"/>
        <v/>
      </c>
      <c r="K509" s="55" t="str">
        <f t="shared" si="213"/>
        <v/>
      </c>
      <c r="L509" s="63" t="str">
        <f t="shared" si="214"/>
        <v/>
      </c>
      <c r="M509" s="96" t="str">
        <f t="shared" si="200"/>
        <v/>
      </c>
      <c r="N509" s="96" t="str">
        <f>IF(A509="","",IF(A509=Expiry,0,EXP(-q*Q509)*_xlfn.NORM.S.DIST(Y509,0)/(sigma*SQRT(Q509))*I509*Mult/100))</f>
        <v/>
      </c>
      <c r="O509" s="96" t="str">
        <f>IF(A509="","",IF(A509=Expiry,0,D509*E509*E509*EXP(-q*Q509)*_xlfn.NORM.S.DIST(Y509,0)*SQRT(Q509)/100))</f>
        <v/>
      </c>
      <c r="P509" s="69" t="str">
        <f>IF(A509="","",IF(A509=Expiry,0,AK509*I509*Mult*((-EXP(-q*Q509)*E509*_xlfn.NORM.S.DIST(Y509,0)*sigma/(2*SQRT(Q509))-r_dom*K*EXP(-r_dom*Q509)*_xlfn.NORM.S.DIST(Z509,1)+q*E509*EXP(-q*Q509)*_xlfn.NORM.S.DIST(Y509,1))/365)))</f>
        <v/>
      </c>
      <c r="Q509" s="83" t="str">
        <f t="shared" si="215"/>
        <v/>
      </c>
      <c r="R509" s="38"/>
      <c r="S509" s="68" t="str">
        <f t="shared" si="216"/>
        <v/>
      </c>
      <c r="T509" s="69" t="str">
        <f t="shared" si="217"/>
        <v/>
      </c>
      <c r="U509" s="70" t="str">
        <f t="shared" si="218"/>
        <v/>
      </c>
      <c r="V509" s="72" t="str">
        <f t="shared" si="219"/>
        <v/>
      </c>
      <c r="W509" s="2" t="str">
        <f t="shared" si="206"/>
        <v/>
      </c>
      <c r="X509" s="2" t="str">
        <f t="shared" si="201"/>
        <v/>
      </c>
      <c r="Y509" s="35" t="str">
        <f t="shared" ca="1" si="220"/>
        <v/>
      </c>
      <c r="Z509" s="36" t="str">
        <f t="shared" ca="1" si="221"/>
        <v/>
      </c>
      <c r="AA509" s="70" t="str">
        <f t="shared" si="222"/>
        <v/>
      </c>
      <c r="AB509" s="2"/>
      <c r="AC509" s="94" t="str">
        <f t="shared" si="202"/>
        <v/>
      </c>
      <c r="AD509" s="95" t="str">
        <f t="shared" si="203"/>
        <v/>
      </c>
      <c r="AE509" s="96" t="str">
        <f t="shared" si="204"/>
        <v/>
      </c>
      <c r="AF509" s="124" t="str">
        <f t="shared" si="205"/>
        <v/>
      </c>
      <c r="AG509" s="2"/>
      <c r="AH509" s="2"/>
      <c r="AI509" s="2"/>
      <c r="AJ509" s="2"/>
      <c r="AK509" s="2"/>
      <c r="AL509" s="2"/>
    </row>
    <row r="510" spans="1:38" x14ac:dyDescent="0.2">
      <c r="A510" s="45"/>
      <c r="B510" s="43" t="str">
        <f t="shared" si="208"/>
        <v/>
      </c>
      <c r="C510" s="96" t="str">
        <f t="shared" si="207"/>
        <v/>
      </c>
      <c r="D510" s="44" t="str">
        <f t="shared" si="209"/>
        <v/>
      </c>
      <c r="E510" s="52"/>
      <c r="F510" s="63" t="str">
        <f t="shared" si="210"/>
        <v/>
      </c>
      <c r="G510" s="56" t="str">
        <f t="shared" si="211"/>
        <v/>
      </c>
      <c r="H510" s="42"/>
      <c r="I510" s="2" t="str">
        <f t="shared" si="212"/>
        <v/>
      </c>
      <c r="J510" s="54" t="str">
        <f t="shared" si="199"/>
        <v/>
      </c>
      <c r="K510" s="55" t="str">
        <f t="shared" si="213"/>
        <v/>
      </c>
      <c r="L510" s="63" t="str">
        <f t="shared" si="214"/>
        <v/>
      </c>
      <c r="M510" s="96" t="str">
        <f t="shared" si="200"/>
        <v/>
      </c>
      <c r="N510" s="96" t="str">
        <f>IF(A510="","",IF(A510=Expiry,0,EXP(-q*Q510)*_xlfn.NORM.S.DIST(Y510,0)/(sigma*SQRT(Q510))*I510*Mult/100))</f>
        <v/>
      </c>
      <c r="O510" s="96" t="str">
        <f>IF(A510="","",IF(A510=Expiry,0,D510*E510*E510*EXP(-q*Q510)*_xlfn.NORM.S.DIST(Y510,0)*SQRT(Q510)/100))</f>
        <v/>
      </c>
      <c r="P510" s="69" t="str">
        <f>IF(A510="","",IF(A510=Expiry,0,AK510*I510*Mult*((-EXP(-q*Q510)*E510*_xlfn.NORM.S.DIST(Y510,0)*sigma/(2*SQRT(Q510))-r_dom*K*EXP(-r_dom*Q510)*_xlfn.NORM.S.DIST(Z510,1)+q*E510*EXP(-q*Q510)*_xlfn.NORM.S.DIST(Y510,1))/365)))</f>
        <v/>
      </c>
      <c r="Q510" s="83" t="str">
        <f t="shared" si="215"/>
        <v/>
      </c>
      <c r="R510" s="38"/>
      <c r="S510" s="68" t="str">
        <f t="shared" si="216"/>
        <v/>
      </c>
      <c r="T510" s="69" t="str">
        <f t="shared" si="217"/>
        <v/>
      </c>
      <c r="U510" s="70" t="str">
        <f t="shared" si="218"/>
        <v/>
      </c>
      <c r="V510" s="72" t="str">
        <f t="shared" si="219"/>
        <v/>
      </c>
      <c r="W510" s="2" t="str">
        <f t="shared" si="206"/>
        <v/>
      </c>
      <c r="X510" s="2" t="str">
        <f t="shared" si="201"/>
        <v/>
      </c>
      <c r="Y510" s="35" t="str">
        <f t="shared" ca="1" si="220"/>
        <v/>
      </c>
      <c r="Z510" s="36" t="str">
        <f t="shared" ca="1" si="221"/>
        <v/>
      </c>
      <c r="AA510" s="70" t="str">
        <f t="shared" si="222"/>
        <v/>
      </c>
      <c r="AB510" s="2"/>
      <c r="AC510" s="94" t="str">
        <f t="shared" si="202"/>
        <v/>
      </c>
      <c r="AD510" s="95" t="str">
        <f t="shared" si="203"/>
        <v/>
      </c>
      <c r="AE510" s="96" t="str">
        <f t="shared" si="204"/>
        <v/>
      </c>
      <c r="AF510" s="124" t="str">
        <f t="shared" si="205"/>
        <v/>
      </c>
      <c r="AG510" s="2"/>
      <c r="AH510" s="2"/>
      <c r="AI510" s="2"/>
      <c r="AJ510" s="2"/>
      <c r="AK510" s="2"/>
      <c r="AL510" s="2"/>
    </row>
    <row r="511" spans="1:38" x14ac:dyDescent="0.2">
      <c r="A511" s="45"/>
      <c r="B511" s="43" t="str">
        <f t="shared" si="208"/>
        <v/>
      </c>
      <c r="C511" s="96" t="str">
        <f t="shared" si="207"/>
        <v/>
      </c>
      <c r="D511" s="44" t="str">
        <f t="shared" si="209"/>
        <v/>
      </c>
      <c r="E511" s="52"/>
      <c r="F511" s="63" t="str">
        <f t="shared" si="210"/>
        <v/>
      </c>
      <c r="G511" s="56" t="str">
        <f t="shared" si="211"/>
        <v/>
      </c>
      <c r="H511" s="42"/>
      <c r="I511" s="2" t="str">
        <f t="shared" si="212"/>
        <v/>
      </c>
      <c r="J511" s="54" t="str">
        <f t="shared" si="199"/>
        <v/>
      </c>
      <c r="K511" s="55" t="str">
        <f t="shared" si="213"/>
        <v/>
      </c>
      <c r="L511" s="63" t="str">
        <f t="shared" si="214"/>
        <v/>
      </c>
      <c r="M511" s="96" t="str">
        <f t="shared" si="200"/>
        <v/>
      </c>
      <c r="N511" s="96" t="str">
        <f>IF(A511="","",IF(A511=Expiry,0,EXP(-q*Q511)*_xlfn.NORM.S.DIST(Y511,0)/(sigma*SQRT(Q511))*I511*Mult/100))</f>
        <v/>
      </c>
      <c r="O511" s="96" t="str">
        <f>IF(A511="","",IF(A511=Expiry,0,D511*E511*E511*EXP(-q*Q511)*_xlfn.NORM.S.DIST(Y511,0)*SQRT(Q511)/100))</f>
        <v/>
      </c>
      <c r="P511" s="69" t="str">
        <f>IF(A511="","",IF(A511=Expiry,0,AK511*I511*Mult*((-EXP(-q*Q511)*E511*_xlfn.NORM.S.DIST(Y511,0)*sigma/(2*SQRT(Q511))-r_dom*K*EXP(-r_dom*Q511)*_xlfn.NORM.S.DIST(Z511,1)+q*E511*EXP(-q*Q511)*_xlfn.NORM.S.DIST(Y511,1))/365)))</f>
        <v/>
      </c>
      <c r="Q511" s="83" t="str">
        <f t="shared" si="215"/>
        <v/>
      </c>
      <c r="R511" s="38"/>
      <c r="S511" s="68" t="str">
        <f t="shared" si="216"/>
        <v/>
      </c>
      <c r="T511" s="69" t="str">
        <f t="shared" si="217"/>
        <v/>
      </c>
      <c r="U511" s="70" t="str">
        <f t="shared" si="218"/>
        <v/>
      </c>
      <c r="V511" s="72" t="str">
        <f t="shared" si="219"/>
        <v/>
      </c>
      <c r="W511" s="2" t="str">
        <f t="shared" si="206"/>
        <v/>
      </c>
      <c r="X511" s="2" t="str">
        <f t="shared" si="201"/>
        <v/>
      </c>
      <c r="Y511" s="35" t="str">
        <f t="shared" ca="1" si="220"/>
        <v/>
      </c>
      <c r="Z511" s="36" t="str">
        <f t="shared" ca="1" si="221"/>
        <v/>
      </c>
      <c r="AA511" s="70" t="str">
        <f t="shared" si="222"/>
        <v/>
      </c>
      <c r="AB511" s="2"/>
      <c r="AC511" s="94" t="str">
        <f t="shared" si="202"/>
        <v/>
      </c>
      <c r="AD511" s="95" t="str">
        <f t="shared" si="203"/>
        <v/>
      </c>
      <c r="AE511" s="96" t="str">
        <f t="shared" si="204"/>
        <v/>
      </c>
      <c r="AF511" s="124" t="str">
        <f t="shared" si="205"/>
        <v/>
      </c>
      <c r="AG511" s="2"/>
      <c r="AH511" s="2"/>
      <c r="AI511" s="2"/>
      <c r="AJ511" s="2"/>
      <c r="AK511" s="2"/>
      <c r="AL511" s="2"/>
    </row>
    <row r="512" spans="1:38" x14ac:dyDescent="0.2">
      <c r="A512" s="45"/>
      <c r="B512" s="43" t="str">
        <f t="shared" si="208"/>
        <v/>
      </c>
      <c r="C512" s="96" t="str">
        <f t="shared" si="207"/>
        <v/>
      </c>
      <c r="D512" s="44" t="str">
        <f t="shared" si="209"/>
        <v/>
      </c>
      <c r="E512" s="52"/>
      <c r="F512" s="63" t="str">
        <f t="shared" si="210"/>
        <v/>
      </c>
      <c r="G512" s="56" t="str">
        <f t="shared" si="211"/>
        <v/>
      </c>
      <c r="H512" s="42"/>
      <c r="I512" s="2" t="str">
        <f t="shared" si="212"/>
        <v/>
      </c>
      <c r="J512" s="54" t="str">
        <f t="shared" si="199"/>
        <v/>
      </c>
      <c r="K512" s="55" t="str">
        <f t="shared" si="213"/>
        <v/>
      </c>
      <c r="L512" s="63" t="str">
        <f t="shared" si="214"/>
        <v/>
      </c>
      <c r="M512" s="96" t="str">
        <f t="shared" si="200"/>
        <v/>
      </c>
      <c r="N512" s="96" t="str">
        <f>IF(A512="","",IF(A512=Expiry,0,EXP(-q*Q512)*_xlfn.NORM.S.DIST(Y512,0)/(sigma*SQRT(Q512))*I512*Mult/100))</f>
        <v/>
      </c>
      <c r="O512" s="96" t="str">
        <f>IF(A512="","",IF(A512=Expiry,0,D512*E512*E512*EXP(-q*Q512)*_xlfn.NORM.S.DIST(Y512,0)*SQRT(Q512)/100))</f>
        <v/>
      </c>
      <c r="P512" s="69" t="str">
        <f>IF(A512="","",IF(A512=Expiry,0,AK512*I512*Mult*((-EXP(-q*Q512)*E512*_xlfn.NORM.S.DIST(Y512,0)*sigma/(2*SQRT(Q512))-r_dom*K*EXP(-r_dom*Q512)*_xlfn.NORM.S.DIST(Z512,1)+q*E512*EXP(-q*Q512)*_xlfn.NORM.S.DIST(Y512,1))/365)))</f>
        <v/>
      </c>
      <c r="Q512" s="83" t="str">
        <f t="shared" si="215"/>
        <v/>
      </c>
      <c r="R512" s="38"/>
      <c r="S512" s="68" t="str">
        <f t="shared" si="216"/>
        <v/>
      </c>
      <c r="T512" s="69" t="str">
        <f t="shared" si="217"/>
        <v/>
      </c>
      <c r="U512" s="70" t="str">
        <f t="shared" si="218"/>
        <v/>
      </c>
      <c r="V512" s="72" t="str">
        <f t="shared" si="219"/>
        <v/>
      </c>
      <c r="W512" s="2" t="str">
        <f t="shared" si="206"/>
        <v/>
      </c>
      <c r="X512" s="2" t="str">
        <f t="shared" si="201"/>
        <v/>
      </c>
      <c r="Y512" s="35" t="str">
        <f t="shared" ca="1" si="220"/>
        <v/>
      </c>
      <c r="Z512" s="36" t="str">
        <f t="shared" ca="1" si="221"/>
        <v/>
      </c>
      <c r="AA512" s="70" t="str">
        <f t="shared" si="222"/>
        <v/>
      </c>
      <c r="AB512" s="2"/>
      <c r="AC512" s="94" t="str">
        <f t="shared" si="202"/>
        <v/>
      </c>
      <c r="AD512" s="95" t="str">
        <f t="shared" si="203"/>
        <v/>
      </c>
      <c r="AE512" s="96" t="str">
        <f t="shared" si="204"/>
        <v/>
      </c>
      <c r="AF512" s="124" t="str">
        <f t="shared" si="205"/>
        <v/>
      </c>
      <c r="AG512" s="2"/>
      <c r="AH512" s="2"/>
      <c r="AI512" s="2"/>
      <c r="AJ512" s="2"/>
      <c r="AK512" s="2"/>
      <c r="AL512" s="2"/>
    </row>
    <row r="513" spans="1:38" x14ac:dyDescent="0.2">
      <c r="A513" s="45"/>
      <c r="B513" s="43" t="str">
        <f t="shared" si="208"/>
        <v/>
      </c>
      <c r="C513" s="96" t="str">
        <f t="shared" si="207"/>
        <v/>
      </c>
      <c r="D513" s="44" t="str">
        <f t="shared" si="209"/>
        <v/>
      </c>
      <c r="E513" s="52"/>
      <c r="F513" s="63" t="str">
        <f t="shared" si="210"/>
        <v/>
      </c>
      <c r="G513" s="56" t="str">
        <f t="shared" si="211"/>
        <v/>
      </c>
      <c r="H513" s="42"/>
      <c r="I513" s="2" t="str">
        <f t="shared" si="212"/>
        <v/>
      </c>
      <c r="J513" s="54" t="str">
        <f t="shared" si="199"/>
        <v/>
      </c>
      <c r="K513" s="55" t="str">
        <f t="shared" si="213"/>
        <v/>
      </c>
      <c r="L513" s="63" t="str">
        <f t="shared" si="214"/>
        <v/>
      </c>
      <c r="M513" s="96" t="str">
        <f t="shared" si="200"/>
        <v/>
      </c>
      <c r="N513" s="96" t="str">
        <f>IF(A513="","",IF(A513=Expiry,0,EXP(-q*Q513)*_xlfn.NORM.S.DIST(Y513,0)/(sigma*SQRT(Q513))*I513*Mult/100))</f>
        <v/>
      </c>
      <c r="O513" s="96" t="str">
        <f>IF(A513="","",IF(A513=Expiry,0,D513*E513*E513*EXP(-q*Q513)*_xlfn.NORM.S.DIST(Y513,0)*SQRT(Q513)/100))</f>
        <v/>
      </c>
      <c r="P513" s="69" t="str">
        <f>IF(A513="","",IF(A513=Expiry,0,AK513*I513*Mult*((-EXP(-q*Q513)*E513*_xlfn.NORM.S.DIST(Y513,0)*sigma/(2*SQRT(Q513))-r_dom*K*EXP(-r_dom*Q513)*_xlfn.NORM.S.DIST(Z513,1)+q*E513*EXP(-q*Q513)*_xlfn.NORM.S.DIST(Y513,1))/365)))</f>
        <v/>
      </c>
      <c r="Q513" s="83" t="str">
        <f t="shared" si="215"/>
        <v/>
      </c>
      <c r="R513" s="38"/>
      <c r="S513" s="68" t="str">
        <f t="shared" si="216"/>
        <v/>
      </c>
      <c r="T513" s="69" t="str">
        <f t="shared" si="217"/>
        <v/>
      </c>
      <c r="U513" s="70" t="str">
        <f t="shared" si="218"/>
        <v/>
      </c>
      <c r="V513" s="72" t="str">
        <f t="shared" si="219"/>
        <v/>
      </c>
      <c r="W513" s="2" t="str">
        <f t="shared" si="206"/>
        <v/>
      </c>
      <c r="X513" s="2" t="str">
        <f t="shared" si="201"/>
        <v/>
      </c>
      <c r="Y513" s="35" t="str">
        <f t="shared" ca="1" si="220"/>
        <v/>
      </c>
      <c r="Z513" s="36" t="str">
        <f t="shared" ca="1" si="221"/>
        <v/>
      </c>
      <c r="AA513" s="70" t="str">
        <f t="shared" si="222"/>
        <v/>
      </c>
      <c r="AB513" s="2"/>
      <c r="AC513" s="94" t="str">
        <f t="shared" si="202"/>
        <v/>
      </c>
      <c r="AD513" s="95" t="str">
        <f t="shared" si="203"/>
        <v/>
      </c>
      <c r="AE513" s="96" t="str">
        <f t="shared" si="204"/>
        <v/>
      </c>
      <c r="AF513" s="124" t="str">
        <f t="shared" si="205"/>
        <v/>
      </c>
      <c r="AG513" s="2"/>
      <c r="AH513" s="2"/>
      <c r="AI513" s="2"/>
      <c r="AJ513" s="2"/>
      <c r="AK513" s="2"/>
      <c r="AL513" s="2"/>
    </row>
    <row r="514" spans="1:38" x14ac:dyDescent="0.2">
      <c r="A514" s="45"/>
      <c r="B514" s="43" t="str">
        <f t="shared" si="208"/>
        <v/>
      </c>
      <c r="C514" s="96" t="str">
        <f t="shared" si="207"/>
        <v/>
      </c>
      <c r="D514" s="44" t="str">
        <f t="shared" si="209"/>
        <v/>
      </c>
      <c r="E514" s="52"/>
      <c r="F514" s="63" t="str">
        <f t="shared" si="210"/>
        <v/>
      </c>
      <c r="G514" s="56" t="str">
        <f t="shared" si="211"/>
        <v/>
      </c>
      <c r="H514" s="42"/>
      <c r="I514" s="2" t="str">
        <f t="shared" si="212"/>
        <v/>
      </c>
      <c r="J514" s="54" t="str">
        <f t="shared" si="199"/>
        <v/>
      </c>
      <c r="K514" s="55" t="str">
        <f t="shared" si="213"/>
        <v/>
      </c>
      <c r="L514" s="63" t="str">
        <f t="shared" si="214"/>
        <v/>
      </c>
      <c r="M514" s="96" t="str">
        <f t="shared" si="200"/>
        <v/>
      </c>
      <c r="N514" s="96" t="str">
        <f>IF(A514="","",IF(A514=Expiry,0,EXP(-q*Q514)*_xlfn.NORM.S.DIST(Y514,0)/(sigma*SQRT(Q514))*I514*Mult/100))</f>
        <v/>
      </c>
      <c r="O514" s="96" t="str">
        <f>IF(A514="","",IF(A514=Expiry,0,D514*E514*E514*EXP(-q*Q514)*_xlfn.NORM.S.DIST(Y514,0)*SQRT(Q514)/100))</f>
        <v/>
      </c>
      <c r="P514" s="69" t="str">
        <f>IF(A514="","",IF(A514=Expiry,0,AK514*I514*Mult*((-EXP(-q*Q514)*E514*_xlfn.NORM.S.DIST(Y514,0)*sigma/(2*SQRT(Q514))-r_dom*K*EXP(-r_dom*Q514)*_xlfn.NORM.S.DIST(Z514,1)+q*E514*EXP(-q*Q514)*_xlfn.NORM.S.DIST(Y514,1))/365)))</f>
        <v/>
      </c>
      <c r="Q514" s="83" t="str">
        <f t="shared" si="215"/>
        <v/>
      </c>
      <c r="R514" s="38"/>
      <c r="S514" s="68" t="str">
        <f t="shared" si="216"/>
        <v/>
      </c>
      <c r="T514" s="69" t="str">
        <f t="shared" si="217"/>
        <v/>
      </c>
      <c r="U514" s="70" t="str">
        <f t="shared" si="218"/>
        <v/>
      </c>
      <c r="V514" s="72" t="str">
        <f t="shared" si="219"/>
        <v/>
      </c>
      <c r="W514" s="2" t="str">
        <f t="shared" si="206"/>
        <v/>
      </c>
      <c r="X514" s="2" t="str">
        <f t="shared" si="201"/>
        <v/>
      </c>
      <c r="Y514" s="35" t="str">
        <f t="shared" ca="1" si="220"/>
        <v/>
      </c>
      <c r="Z514" s="36" t="str">
        <f t="shared" ca="1" si="221"/>
        <v/>
      </c>
      <c r="AA514" s="70" t="str">
        <f t="shared" si="222"/>
        <v/>
      </c>
      <c r="AB514" s="2"/>
      <c r="AC514" s="94" t="str">
        <f t="shared" si="202"/>
        <v/>
      </c>
      <c r="AD514" s="95" t="str">
        <f t="shared" si="203"/>
        <v/>
      </c>
      <c r="AE514" s="96" t="str">
        <f t="shared" si="204"/>
        <v/>
      </c>
      <c r="AF514" s="124" t="str">
        <f t="shared" si="205"/>
        <v/>
      </c>
      <c r="AG514" s="2"/>
      <c r="AH514" s="2"/>
      <c r="AI514" s="2"/>
      <c r="AJ514" s="2"/>
      <c r="AK514" s="2"/>
      <c r="AL514" s="2"/>
    </row>
    <row r="515" spans="1:38" x14ac:dyDescent="0.2">
      <c r="A515" s="45"/>
      <c r="B515" s="43" t="str">
        <f t="shared" si="208"/>
        <v/>
      </c>
      <c r="C515" s="96" t="str">
        <f t="shared" si="207"/>
        <v/>
      </c>
      <c r="D515" s="44" t="str">
        <f t="shared" si="209"/>
        <v/>
      </c>
      <c r="E515" s="52"/>
      <c r="F515" s="63" t="str">
        <f t="shared" si="210"/>
        <v/>
      </c>
      <c r="G515" s="56" t="str">
        <f t="shared" si="211"/>
        <v/>
      </c>
      <c r="H515" s="42"/>
      <c r="I515" s="2" t="str">
        <f t="shared" si="212"/>
        <v/>
      </c>
      <c r="J515" s="54" t="str">
        <f t="shared" si="199"/>
        <v/>
      </c>
      <c r="K515" s="55" t="str">
        <f t="shared" si="213"/>
        <v/>
      </c>
      <c r="L515" s="63" t="str">
        <f t="shared" si="214"/>
        <v/>
      </c>
      <c r="M515" s="96" t="str">
        <f t="shared" si="200"/>
        <v/>
      </c>
      <c r="N515" s="96" t="str">
        <f>IF(A515="","",IF(A515=Expiry,0,EXP(-q*Q515)*_xlfn.NORM.S.DIST(Y515,0)/(sigma*SQRT(Q515))*I515*Mult/100))</f>
        <v/>
      </c>
      <c r="O515" s="96" t="str">
        <f>IF(A515="","",IF(A515=Expiry,0,D515*E515*E515*EXP(-q*Q515)*_xlfn.NORM.S.DIST(Y515,0)*SQRT(Q515)/100))</f>
        <v/>
      </c>
      <c r="P515" s="69" t="str">
        <f>IF(A515="","",IF(A515=Expiry,0,AK515*I515*Mult*((-EXP(-q*Q515)*E515*_xlfn.NORM.S.DIST(Y515,0)*sigma/(2*SQRT(Q515))-r_dom*K*EXP(-r_dom*Q515)*_xlfn.NORM.S.DIST(Z515,1)+q*E515*EXP(-q*Q515)*_xlfn.NORM.S.DIST(Y515,1))/365)))</f>
        <v/>
      </c>
      <c r="Q515" s="83" t="str">
        <f t="shared" si="215"/>
        <v/>
      </c>
      <c r="R515" s="38"/>
      <c r="S515" s="68" t="str">
        <f t="shared" si="216"/>
        <v/>
      </c>
      <c r="T515" s="69" t="str">
        <f t="shared" si="217"/>
        <v/>
      </c>
      <c r="U515" s="70" t="str">
        <f t="shared" si="218"/>
        <v/>
      </c>
      <c r="V515" s="72" t="str">
        <f t="shared" si="219"/>
        <v/>
      </c>
      <c r="W515" s="2" t="str">
        <f t="shared" si="206"/>
        <v/>
      </c>
      <c r="X515" s="2" t="str">
        <f t="shared" si="201"/>
        <v/>
      </c>
      <c r="Y515" s="35" t="str">
        <f t="shared" ca="1" si="220"/>
        <v/>
      </c>
      <c r="Z515" s="36" t="str">
        <f t="shared" ca="1" si="221"/>
        <v/>
      </c>
      <c r="AA515" s="70" t="str">
        <f t="shared" si="222"/>
        <v/>
      </c>
      <c r="AB515" s="2"/>
      <c r="AC515" s="94" t="str">
        <f t="shared" si="202"/>
        <v/>
      </c>
      <c r="AD515" s="95" t="str">
        <f t="shared" si="203"/>
        <v/>
      </c>
      <c r="AE515" s="96" t="str">
        <f t="shared" si="204"/>
        <v/>
      </c>
      <c r="AF515" s="124" t="str">
        <f t="shared" si="205"/>
        <v/>
      </c>
      <c r="AG515" s="2"/>
      <c r="AH515" s="2"/>
      <c r="AI515" s="2"/>
      <c r="AJ515" s="2"/>
      <c r="AK515" s="2"/>
      <c r="AL515" s="2"/>
    </row>
    <row r="516" spans="1:38" x14ac:dyDescent="0.2">
      <c r="A516" s="45"/>
      <c r="B516" s="43" t="str">
        <f t="shared" si="208"/>
        <v/>
      </c>
      <c r="C516" s="96" t="str">
        <f t="shared" si="207"/>
        <v/>
      </c>
      <c r="D516" s="44" t="str">
        <f t="shared" si="209"/>
        <v/>
      </c>
      <c r="E516" s="52"/>
      <c r="F516" s="63" t="str">
        <f t="shared" si="210"/>
        <v/>
      </c>
      <c r="G516" s="56" t="str">
        <f t="shared" si="211"/>
        <v/>
      </c>
      <c r="H516" s="42"/>
      <c r="I516" s="2" t="str">
        <f t="shared" si="212"/>
        <v/>
      </c>
      <c r="J516" s="54" t="str">
        <f t="shared" si="199"/>
        <v/>
      </c>
      <c r="K516" s="55" t="str">
        <f t="shared" si="213"/>
        <v/>
      </c>
      <c r="L516" s="63" t="str">
        <f t="shared" si="214"/>
        <v/>
      </c>
      <c r="M516" s="96" t="str">
        <f t="shared" si="200"/>
        <v/>
      </c>
      <c r="N516" s="96" t="str">
        <f>IF(A516="","",IF(A516=Expiry,0,EXP(-q*Q516)*_xlfn.NORM.S.DIST(Y516,0)/(sigma*SQRT(Q516))*I516*Mult/100))</f>
        <v/>
      </c>
      <c r="O516" s="96" t="str">
        <f>IF(A516="","",IF(A516=Expiry,0,D516*E516*E516*EXP(-q*Q516)*_xlfn.NORM.S.DIST(Y516,0)*SQRT(Q516)/100))</f>
        <v/>
      </c>
      <c r="P516" s="69" t="str">
        <f>IF(A516="","",IF(A516=Expiry,0,AK516*I516*Mult*((-EXP(-q*Q516)*E516*_xlfn.NORM.S.DIST(Y516,0)*sigma/(2*SQRT(Q516))-r_dom*K*EXP(-r_dom*Q516)*_xlfn.NORM.S.DIST(Z516,1)+q*E516*EXP(-q*Q516)*_xlfn.NORM.S.DIST(Y516,1))/365)))</f>
        <v/>
      </c>
      <c r="Q516" s="83" t="str">
        <f t="shared" si="215"/>
        <v/>
      </c>
      <c r="R516" s="38"/>
      <c r="S516" s="68" t="str">
        <f t="shared" si="216"/>
        <v/>
      </c>
      <c r="T516" s="69" t="str">
        <f t="shared" si="217"/>
        <v/>
      </c>
      <c r="U516" s="70" t="str">
        <f t="shared" si="218"/>
        <v/>
      </c>
      <c r="V516" s="72" t="str">
        <f t="shared" si="219"/>
        <v/>
      </c>
      <c r="W516" s="2" t="str">
        <f t="shared" si="206"/>
        <v/>
      </c>
      <c r="X516" s="2" t="str">
        <f t="shared" si="201"/>
        <v/>
      </c>
      <c r="Y516" s="35" t="str">
        <f t="shared" ca="1" si="220"/>
        <v/>
      </c>
      <c r="Z516" s="36" t="str">
        <f t="shared" ca="1" si="221"/>
        <v/>
      </c>
      <c r="AA516" s="70" t="str">
        <f t="shared" si="222"/>
        <v/>
      </c>
      <c r="AB516" s="2"/>
      <c r="AC516" s="94" t="str">
        <f t="shared" si="202"/>
        <v/>
      </c>
      <c r="AD516" s="95" t="str">
        <f t="shared" si="203"/>
        <v/>
      </c>
      <c r="AE516" s="96" t="str">
        <f t="shared" si="204"/>
        <v/>
      </c>
      <c r="AF516" s="124" t="str">
        <f t="shared" si="205"/>
        <v/>
      </c>
      <c r="AG516" s="2"/>
      <c r="AH516" s="2"/>
      <c r="AI516" s="2"/>
      <c r="AJ516" s="2"/>
      <c r="AK516" s="2"/>
      <c r="AL516" s="2"/>
    </row>
    <row r="517" spans="1:38" x14ac:dyDescent="0.2">
      <c r="A517" s="45"/>
      <c r="B517" s="43" t="str">
        <f t="shared" si="208"/>
        <v/>
      </c>
      <c r="C517" s="96" t="str">
        <f t="shared" si="207"/>
        <v/>
      </c>
      <c r="D517" s="44" t="str">
        <f t="shared" si="209"/>
        <v/>
      </c>
      <c r="E517" s="52"/>
      <c r="F517" s="63" t="str">
        <f t="shared" si="210"/>
        <v/>
      </c>
      <c r="G517" s="56" t="str">
        <f t="shared" si="211"/>
        <v/>
      </c>
      <c r="H517" s="42"/>
      <c r="I517" s="2" t="str">
        <f t="shared" si="212"/>
        <v/>
      </c>
      <c r="J517" s="54" t="str">
        <f t="shared" si="199"/>
        <v/>
      </c>
      <c r="K517" s="55" t="str">
        <f t="shared" si="213"/>
        <v/>
      </c>
      <c r="L517" s="63" t="str">
        <f t="shared" si="214"/>
        <v/>
      </c>
      <c r="M517" s="96" t="str">
        <f t="shared" si="200"/>
        <v/>
      </c>
      <c r="N517" s="96" t="str">
        <f>IF(A517="","",IF(A517=Expiry,0,EXP(-q*Q517)*_xlfn.NORM.S.DIST(Y517,0)/(sigma*SQRT(Q517))*I517*Mult/100))</f>
        <v/>
      </c>
      <c r="O517" s="96" t="str">
        <f>IF(A517="","",IF(A517=Expiry,0,D517*E517*E517*EXP(-q*Q517)*_xlfn.NORM.S.DIST(Y517,0)*SQRT(Q517)/100))</f>
        <v/>
      </c>
      <c r="P517" s="69" t="str">
        <f>IF(A517="","",IF(A517=Expiry,0,AK517*I517*Mult*((-EXP(-q*Q517)*E517*_xlfn.NORM.S.DIST(Y517,0)*sigma/(2*SQRT(Q517))-r_dom*K*EXP(-r_dom*Q517)*_xlfn.NORM.S.DIST(Z517,1)+q*E517*EXP(-q*Q517)*_xlfn.NORM.S.DIST(Y517,1))/365)))</f>
        <v/>
      </c>
      <c r="Q517" s="83" t="str">
        <f t="shared" si="215"/>
        <v/>
      </c>
      <c r="R517" s="38"/>
      <c r="S517" s="68" t="str">
        <f t="shared" si="216"/>
        <v/>
      </c>
      <c r="T517" s="69" t="str">
        <f t="shared" si="217"/>
        <v/>
      </c>
      <c r="U517" s="70" t="str">
        <f t="shared" si="218"/>
        <v/>
      </c>
      <c r="V517" s="72" t="str">
        <f t="shared" si="219"/>
        <v/>
      </c>
      <c r="W517" s="2" t="str">
        <f t="shared" si="206"/>
        <v/>
      </c>
      <c r="X517" s="2" t="str">
        <f t="shared" si="201"/>
        <v/>
      </c>
      <c r="Y517" s="35" t="str">
        <f t="shared" ca="1" si="220"/>
        <v/>
      </c>
      <c r="Z517" s="36" t="str">
        <f t="shared" ca="1" si="221"/>
        <v/>
      </c>
      <c r="AA517" s="70" t="str">
        <f t="shared" si="222"/>
        <v/>
      </c>
      <c r="AB517" s="2"/>
      <c r="AC517" s="94" t="str">
        <f t="shared" si="202"/>
        <v/>
      </c>
      <c r="AD517" s="95" t="str">
        <f t="shared" si="203"/>
        <v/>
      </c>
      <c r="AE517" s="96" t="str">
        <f t="shared" si="204"/>
        <v/>
      </c>
      <c r="AF517" s="124" t="str">
        <f t="shared" si="205"/>
        <v/>
      </c>
      <c r="AG517" s="2"/>
      <c r="AH517" s="2"/>
      <c r="AI517" s="2"/>
      <c r="AJ517" s="2"/>
      <c r="AK517" s="2"/>
      <c r="AL517" s="2"/>
    </row>
    <row r="518" spans="1:38" x14ac:dyDescent="0.2">
      <c r="A518" s="45"/>
      <c r="B518" s="43" t="str">
        <f t="shared" si="208"/>
        <v/>
      </c>
      <c r="C518" s="96" t="str">
        <f t="shared" si="207"/>
        <v/>
      </c>
      <c r="D518" s="44" t="str">
        <f t="shared" si="209"/>
        <v/>
      </c>
      <c r="E518" s="52"/>
      <c r="F518" s="63" t="str">
        <f t="shared" si="210"/>
        <v/>
      </c>
      <c r="G518" s="56" t="str">
        <f t="shared" si="211"/>
        <v/>
      </c>
      <c r="H518" s="42"/>
      <c r="I518" s="2" t="str">
        <f t="shared" si="212"/>
        <v/>
      </c>
      <c r="J518" s="54" t="str">
        <f t="shared" si="199"/>
        <v/>
      </c>
      <c r="K518" s="55" t="str">
        <f t="shared" si="213"/>
        <v/>
      </c>
      <c r="L518" s="63" t="str">
        <f t="shared" si="214"/>
        <v/>
      </c>
      <c r="M518" s="96" t="str">
        <f t="shared" si="200"/>
        <v/>
      </c>
      <c r="N518" s="96" t="str">
        <f>IF(A518="","",IF(A518=Expiry,0,EXP(-q*Q518)*_xlfn.NORM.S.DIST(Y518,0)/(sigma*SQRT(Q518))*I518*Mult/100))</f>
        <v/>
      </c>
      <c r="O518" s="96" t="str">
        <f>IF(A518="","",IF(A518=Expiry,0,D518*E518*E518*EXP(-q*Q518)*_xlfn.NORM.S.DIST(Y518,0)*SQRT(Q518)/100))</f>
        <v/>
      </c>
      <c r="P518" s="69" t="str">
        <f>IF(A518="","",IF(A518=Expiry,0,AK518*I518*Mult*((-EXP(-q*Q518)*E518*_xlfn.NORM.S.DIST(Y518,0)*sigma/(2*SQRT(Q518))-r_dom*K*EXP(-r_dom*Q518)*_xlfn.NORM.S.DIST(Z518,1)+q*E518*EXP(-q*Q518)*_xlfn.NORM.S.DIST(Y518,1))/365)))</f>
        <v/>
      </c>
      <c r="Q518" s="83" t="str">
        <f t="shared" si="215"/>
        <v/>
      </c>
      <c r="R518" s="38"/>
      <c r="S518" s="68" t="str">
        <f t="shared" si="216"/>
        <v/>
      </c>
      <c r="T518" s="69" t="str">
        <f t="shared" si="217"/>
        <v/>
      </c>
      <c r="U518" s="70" t="str">
        <f t="shared" si="218"/>
        <v/>
      </c>
      <c r="V518" s="72" t="str">
        <f t="shared" si="219"/>
        <v/>
      </c>
      <c r="W518" s="2" t="str">
        <f t="shared" si="206"/>
        <v/>
      </c>
      <c r="X518" s="2" t="str">
        <f t="shared" si="201"/>
        <v/>
      </c>
      <c r="Y518" s="35" t="str">
        <f t="shared" ca="1" si="220"/>
        <v/>
      </c>
      <c r="Z518" s="36" t="str">
        <f t="shared" ca="1" si="221"/>
        <v/>
      </c>
      <c r="AA518" s="70" t="str">
        <f t="shared" si="222"/>
        <v/>
      </c>
      <c r="AB518" s="2"/>
      <c r="AC518" s="94" t="str">
        <f t="shared" si="202"/>
        <v/>
      </c>
      <c r="AD518" s="95" t="str">
        <f t="shared" si="203"/>
        <v/>
      </c>
      <c r="AE518" s="96" t="str">
        <f t="shared" si="204"/>
        <v/>
      </c>
      <c r="AF518" s="124" t="str">
        <f t="shared" si="205"/>
        <v/>
      </c>
      <c r="AG518" s="2"/>
      <c r="AH518" s="2"/>
      <c r="AI518" s="2"/>
      <c r="AJ518" s="2"/>
      <c r="AK518" s="2"/>
      <c r="AL518" s="2"/>
    </row>
    <row r="519" spans="1:38" x14ac:dyDescent="0.2">
      <c r="A519" s="45"/>
      <c r="B519" s="43" t="str">
        <f t="shared" si="208"/>
        <v/>
      </c>
      <c r="C519" s="96" t="str">
        <f t="shared" si="207"/>
        <v/>
      </c>
      <c r="D519" s="44" t="str">
        <f t="shared" si="209"/>
        <v/>
      </c>
      <c r="E519" s="52"/>
      <c r="F519" s="63" t="str">
        <f t="shared" si="210"/>
        <v/>
      </c>
      <c r="G519" s="56" t="str">
        <f t="shared" si="211"/>
        <v/>
      </c>
      <c r="H519" s="42"/>
      <c r="I519" s="2" t="str">
        <f t="shared" si="212"/>
        <v/>
      </c>
      <c r="J519" s="54" t="str">
        <f t="shared" si="199"/>
        <v/>
      </c>
      <c r="K519" s="55" t="str">
        <f t="shared" si="213"/>
        <v/>
      </c>
      <c r="L519" s="63" t="str">
        <f t="shared" si="214"/>
        <v/>
      </c>
      <c r="M519" s="96" t="str">
        <f t="shared" si="200"/>
        <v/>
      </c>
      <c r="N519" s="96" t="str">
        <f>IF(A519="","",IF(A519=Expiry,0,EXP(-q*Q519)*_xlfn.NORM.S.DIST(Y519,0)/(sigma*SQRT(Q519))*I519*Mult/100))</f>
        <v/>
      </c>
      <c r="O519" s="96" t="str">
        <f>IF(A519="","",IF(A519=Expiry,0,D519*E519*E519*EXP(-q*Q519)*_xlfn.NORM.S.DIST(Y519,0)*SQRT(Q519)/100))</f>
        <v/>
      </c>
      <c r="P519" s="69" t="str">
        <f>IF(A519="","",IF(A519=Expiry,0,AK519*I519*Mult*((-EXP(-q*Q519)*E519*_xlfn.NORM.S.DIST(Y519,0)*sigma/(2*SQRT(Q519))-r_dom*K*EXP(-r_dom*Q519)*_xlfn.NORM.S.DIST(Z519,1)+q*E519*EXP(-q*Q519)*_xlfn.NORM.S.DIST(Y519,1))/365)))</f>
        <v/>
      </c>
      <c r="Q519" s="83" t="str">
        <f t="shared" si="215"/>
        <v/>
      </c>
      <c r="R519" s="38"/>
      <c r="S519" s="68" t="str">
        <f t="shared" si="216"/>
        <v/>
      </c>
      <c r="T519" s="69" t="str">
        <f t="shared" si="217"/>
        <v/>
      </c>
      <c r="U519" s="70" t="str">
        <f t="shared" si="218"/>
        <v/>
      </c>
      <c r="V519" s="72" t="str">
        <f t="shared" si="219"/>
        <v/>
      </c>
      <c r="W519" s="2" t="str">
        <f t="shared" si="206"/>
        <v/>
      </c>
      <c r="X519" s="2" t="str">
        <f t="shared" si="201"/>
        <v/>
      </c>
      <c r="Y519" s="35" t="str">
        <f t="shared" ca="1" si="220"/>
        <v/>
      </c>
      <c r="Z519" s="36" t="str">
        <f t="shared" ca="1" si="221"/>
        <v/>
      </c>
      <c r="AA519" s="70" t="str">
        <f t="shared" si="222"/>
        <v/>
      </c>
      <c r="AB519" s="2"/>
      <c r="AC519" s="94" t="str">
        <f t="shared" si="202"/>
        <v/>
      </c>
      <c r="AD519" s="95" t="str">
        <f t="shared" si="203"/>
        <v/>
      </c>
      <c r="AE519" s="96" t="str">
        <f t="shared" si="204"/>
        <v/>
      </c>
      <c r="AF519" s="124" t="str">
        <f t="shared" si="205"/>
        <v/>
      </c>
      <c r="AG519" s="2"/>
      <c r="AH519" s="2"/>
      <c r="AI519" s="2"/>
      <c r="AJ519" s="2"/>
      <c r="AK519" s="2"/>
      <c r="AL519" s="2"/>
    </row>
    <row r="520" spans="1:38" x14ac:dyDescent="0.2">
      <c r="A520" s="45"/>
      <c r="B520" s="43" t="str">
        <f t="shared" si="208"/>
        <v/>
      </c>
      <c r="C520" s="96" t="str">
        <f t="shared" si="207"/>
        <v/>
      </c>
      <c r="D520" s="44" t="str">
        <f t="shared" si="209"/>
        <v/>
      </c>
      <c r="E520" s="52"/>
      <c r="F520" s="63" t="str">
        <f t="shared" si="210"/>
        <v/>
      </c>
      <c r="G520" s="56" t="str">
        <f t="shared" si="211"/>
        <v/>
      </c>
      <c r="H520" s="42"/>
      <c r="I520" s="2" t="str">
        <f t="shared" si="212"/>
        <v/>
      </c>
      <c r="J520" s="54" t="str">
        <f t="shared" si="199"/>
        <v/>
      </c>
      <c r="K520" s="55" t="str">
        <f t="shared" si="213"/>
        <v/>
      </c>
      <c r="L520" s="63" t="str">
        <f t="shared" si="214"/>
        <v/>
      </c>
      <c r="M520" s="96" t="str">
        <f t="shared" si="200"/>
        <v/>
      </c>
      <c r="N520" s="96" t="str">
        <f>IF(A520="","",IF(A520=Expiry,0,EXP(-q*Q520)*_xlfn.NORM.S.DIST(Y520,0)/(sigma*SQRT(Q520))*I520*Mult/100))</f>
        <v/>
      </c>
      <c r="O520" s="96" t="str">
        <f>IF(A520="","",IF(A520=Expiry,0,D520*E520*E520*EXP(-q*Q520)*_xlfn.NORM.S.DIST(Y520,0)*SQRT(Q520)/100))</f>
        <v/>
      </c>
      <c r="P520" s="69" t="str">
        <f>IF(A520="","",IF(A520=Expiry,0,AK520*I520*Mult*((-EXP(-q*Q520)*E520*_xlfn.NORM.S.DIST(Y520,0)*sigma/(2*SQRT(Q520))-r_dom*K*EXP(-r_dom*Q520)*_xlfn.NORM.S.DIST(Z520,1)+q*E520*EXP(-q*Q520)*_xlfn.NORM.S.DIST(Y520,1))/365)))</f>
        <v/>
      </c>
      <c r="Q520" s="83" t="str">
        <f t="shared" si="215"/>
        <v/>
      </c>
      <c r="R520" s="38"/>
      <c r="S520" s="68" t="str">
        <f t="shared" si="216"/>
        <v/>
      </c>
      <c r="T520" s="69" t="str">
        <f t="shared" si="217"/>
        <v/>
      </c>
      <c r="U520" s="70" t="str">
        <f t="shared" si="218"/>
        <v/>
      </c>
      <c r="V520" s="72" t="str">
        <f t="shared" si="219"/>
        <v/>
      </c>
      <c r="W520" s="2" t="str">
        <f t="shared" si="206"/>
        <v/>
      </c>
      <c r="X520" s="2" t="str">
        <f t="shared" si="201"/>
        <v/>
      </c>
      <c r="Y520" s="35" t="str">
        <f t="shared" ca="1" si="220"/>
        <v/>
      </c>
      <c r="Z520" s="36" t="str">
        <f t="shared" ca="1" si="221"/>
        <v/>
      </c>
      <c r="AA520" s="70" t="str">
        <f t="shared" si="222"/>
        <v/>
      </c>
      <c r="AB520" s="2"/>
      <c r="AC520" s="94" t="str">
        <f t="shared" si="202"/>
        <v/>
      </c>
      <c r="AD520" s="95" t="str">
        <f t="shared" si="203"/>
        <v/>
      </c>
      <c r="AE520" s="96" t="str">
        <f t="shared" si="204"/>
        <v/>
      </c>
      <c r="AF520" s="124" t="str">
        <f t="shared" si="205"/>
        <v/>
      </c>
      <c r="AG520" s="2"/>
      <c r="AH520" s="2"/>
      <c r="AI520" s="2"/>
      <c r="AJ520" s="2"/>
      <c r="AK520" s="2"/>
      <c r="AL520" s="2"/>
    </row>
    <row r="521" spans="1:38" x14ac:dyDescent="0.2">
      <c r="A521" s="45"/>
      <c r="B521" s="43" t="str">
        <f t="shared" si="208"/>
        <v/>
      </c>
      <c r="C521" s="96" t="str">
        <f t="shared" si="207"/>
        <v/>
      </c>
      <c r="D521" s="44" t="str">
        <f t="shared" si="209"/>
        <v/>
      </c>
      <c r="E521" s="52"/>
      <c r="F521" s="63" t="str">
        <f t="shared" si="210"/>
        <v/>
      </c>
      <c r="G521" s="56" t="str">
        <f t="shared" si="211"/>
        <v/>
      </c>
      <c r="H521" s="42"/>
      <c r="I521" s="2" t="str">
        <f t="shared" si="212"/>
        <v/>
      </c>
      <c r="J521" s="54" t="str">
        <f t="shared" si="199"/>
        <v/>
      </c>
      <c r="K521" s="55" t="str">
        <f t="shared" si="213"/>
        <v/>
      </c>
      <c r="L521" s="63" t="str">
        <f t="shared" si="214"/>
        <v/>
      </c>
      <c r="M521" s="96" t="str">
        <f t="shared" si="200"/>
        <v/>
      </c>
      <c r="N521" s="96" t="str">
        <f>IF(A521="","",IF(A521=Expiry,0,EXP(-q*Q521)*_xlfn.NORM.S.DIST(Y521,0)/(sigma*SQRT(Q521))*I521*Mult/100))</f>
        <v/>
      </c>
      <c r="O521" s="96" t="str">
        <f>IF(A521="","",IF(A521=Expiry,0,D521*E521*E521*EXP(-q*Q521)*_xlfn.NORM.S.DIST(Y521,0)*SQRT(Q521)/100))</f>
        <v/>
      </c>
      <c r="P521" s="69" t="str">
        <f>IF(A521="","",IF(A521=Expiry,0,AK521*I521*Mult*((-EXP(-q*Q521)*E521*_xlfn.NORM.S.DIST(Y521,0)*sigma/(2*SQRT(Q521))-r_dom*K*EXP(-r_dom*Q521)*_xlfn.NORM.S.DIST(Z521,1)+q*E521*EXP(-q*Q521)*_xlfn.NORM.S.DIST(Y521,1))/365)))</f>
        <v/>
      </c>
      <c r="Q521" s="83" t="str">
        <f t="shared" si="215"/>
        <v/>
      </c>
      <c r="R521" s="38"/>
      <c r="S521" s="68" t="str">
        <f t="shared" si="216"/>
        <v/>
      </c>
      <c r="T521" s="69" t="str">
        <f t="shared" si="217"/>
        <v/>
      </c>
      <c r="U521" s="70" t="str">
        <f t="shared" si="218"/>
        <v/>
      </c>
      <c r="V521" s="72" t="str">
        <f t="shared" si="219"/>
        <v/>
      </c>
      <c r="W521" s="2" t="str">
        <f t="shared" si="206"/>
        <v/>
      </c>
      <c r="X521" s="2" t="str">
        <f t="shared" si="201"/>
        <v/>
      </c>
      <c r="Y521" s="35" t="str">
        <f t="shared" ca="1" si="220"/>
        <v/>
      </c>
      <c r="Z521" s="36" t="str">
        <f t="shared" ca="1" si="221"/>
        <v/>
      </c>
      <c r="AA521" s="70" t="str">
        <f t="shared" si="222"/>
        <v/>
      </c>
      <c r="AB521" s="2"/>
      <c r="AC521" s="94" t="str">
        <f t="shared" si="202"/>
        <v/>
      </c>
      <c r="AD521" s="95" t="str">
        <f t="shared" si="203"/>
        <v/>
      </c>
      <c r="AE521" s="96" t="str">
        <f t="shared" si="204"/>
        <v/>
      </c>
      <c r="AF521" s="124" t="str">
        <f t="shared" si="205"/>
        <v/>
      </c>
      <c r="AG521" s="2"/>
      <c r="AH521" s="2"/>
      <c r="AI521" s="2"/>
      <c r="AJ521" s="2"/>
      <c r="AK521" s="2"/>
      <c r="AL521" s="2"/>
    </row>
    <row r="522" spans="1:38" x14ac:dyDescent="0.2">
      <c r="A522" s="45"/>
      <c r="B522" s="43" t="str">
        <f t="shared" si="208"/>
        <v/>
      </c>
      <c r="C522" s="96" t="str">
        <f t="shared" si="207"/>
        <v/>
      </c>
      <c r="D522" s="44" t="str">
        <f t="shared" si="209"/>
        <v/>
      </c>
      <c r="E522" s="52"/>
      <c r="F522" s="63" t="str">
        <f t="shared" si="210"/>
        <v/>
      </c>
      <c r="G522" s="56" t="str">
        <f t="shared" si="211"/>
        <v/>
      </c>
      <c r="H522" s="42"/>
      <c r="I522" s="2" t="str">
        <f t="shared" si="212"/>
        <v/>
      </c>
      <c r="J522" s="54" t="str">
        <f t="shared" si="199"/>
        <v/>
      </c>
      <c r="K522" s="55" t="str">
        <f t="shared" si="213"/>
        <v/>
      </c>
      <c r="L522" s="63" t="str">
        <f t="shared" si="214"/>
        <v/>
      </c>
      <c r="M522" s="96" t="str">
        <f t="shared" si="200"/>
        <v/>
      </c>
      <c r="N522" s="96" t="str">
        <f>IF(A522="","",IF(A522=Expiry,0,EXP(-q*Q522)*_xlfn.NORM.S.DIST(Y522,0)/(sigma*SQRT(Q522))*I522*Mult/100))</f>
        <v/>
      </c>
      <c r="O522" s="96" t="str">
        <f>IF(A522="","",IF(A522=Expiry,0,D522*E522*E522*EXP(-q*Q522)*_xlfn.NORM.S.DIST(Y522,0)*SQRT(Q522)/100))</f>
        <v/>
      </c>
      <c r="P522" s="69" t="str">
        <f>IF(A522="","",IF(A522=Expiry,0,AK522*I522*Mult*((-EXP(-q*Q522)*E522*_xlfn.NORM.S.DIST(Y522,0)*sigma/(2*SQRT(Q522))-r_dom*K*EXP(-r_dom*Q522)*_xlfn.NORM.S.DIST(Z522,1)+q*E522*EXP(-q*Q522)*_xlfn.NORM.S.DIST(Y522,1))/365)))</f>
        <v/>
      </c>
      <c r="Q522" s="83" t="str">
        <f t="shared" si="215"/>
        <v/>
      </c>
      <c r="R522" s="38"/>
      <c r="S522" s="68" t="str">
        <f t="shared" si="216"/>
        <v/>
      </c>
      <c r="T522" s="69" t="str">
        <f t="shared" si="217"/>
        <v/>
      </c>
      <c r="U522" s="70" t="str">
        <f t="shared" si="218"/>
        <v/>
      </c>
      <c r="V522" s="72" t="str">
        <f t="shared" si="219"/>
        <v/>
      </c>
      <c r="W522" s="2" t="str">
        <f t="shared" si="206"/>
        <v/>
      </c>
      <c r="X522" s="2" t="str">
        <f t="shared" si="201"/>
        <v/>
      </c>
      <c r="Y522" s="35" t="str">
        <f t="shared" ca="1" si="220"/>
        <v/>
      </c>
      <c r="Z522" s="36" t="str">
        <f t="shared" ca="1" si="221"/>
        <v/>
      </c>
      <c r="AA522" s="70" t="str">
        <f t="shared" si="222"/>
        <v/>
      </c>
      <c r="AB522" s="2"/>
      <c r="AC522" s="94" t="str">
        <f t="shared" si="202"/>
        <v/>
      </c>
      <c r="AD522" s="95" t="str">
        <f t="shared" si="203"/>
        <v/>
      </c>
      <c r="AE522" s="96" t="str">
        <f t="shared" si="204"/>
        <v/>
      </c>
      <c r="AF522" s="124" t="str">
        <f t="shared" si="205"/>
        <v/>
      </c>
      <c r="AG522" s="2"/>
      <c r="AH522" s="2"/>
      <c r="AI522" s="2"/>
      <c r="AJ522" s="2"/>
      <c r="AK522" s="2"/>
      <c r="AL522" s="2"/>
    </row>
    <row r="523" spans="1:38" x14ac:dyDescent="0.2">
      <c r="A523" s="45"/>
      <c r="B523" s="43" t="str">
        <f t="shared" si="208"/>
        <v/>
      </c>
      <c r="C523" s="96" t="str">
        <f t="shared" si="207"/>
        <v/>
      </c>
      <c r="D523" s="44" t="str">
        <f t="shared" si="209"/>
        <v/>
      </c>
      <c r="E523" s="52"/>
      <c r="F523" s="63" t="str">
        <f t="shared" si="210"/>
        <v/>
      </c>
      <c r="G523" s="56" t="str">
        <f t="shared" si="211"/>
        <v/>
      </c>
      <c r="H523" s="42"/>
      <c r="I523" s="2" t="str">
        <f t="shared" si="212"/>
        <v/>
      </c>
      <c r="J523" s="54" t="str">
        <f t="shared" si="199"/>
        <v/>
      </c>
      <c r="K523" s="55" t="str">
        <f t="shared" si="213"/>
        <v/>
      </c>
      <c r="L523" s="63" t="str">
        <f t="shared" si="214"/>
        <v/>
      </c>
      <c r="M523" s="96" t="str">
        <f t="shared" si="200"/>
        <v/>
      </c>
      <c r="N523" s="96" t="str">
        <f>IF(A523="","",IF(A523=Expiry,0,EXP(-q*Q523)*_xlfn.NORM.S.DIST(Y523,0)/(sigma*SQRT(Q523))*I523*Mult/100))</f>
        <v/>
      </c>
      <c r="O523" s="96" t="str">
        <f>IF(A523="","",IF(A523=Expiry,0,D523*E523*E523*EXP(-q*Q523)*_xlfn.NORM.S.DIST(Y523,0)*SQRT(Q523)/100))</f>
        <v/>
      </c>
      <c r="P523" s="69" t="str">
        <f>IF(A523="","",IF(A523=Expiry,0,AK523*I523*Mult*((-EXP(-q*Q523)*E523*_xlfn.NORM.S.DIST(Y523,0)*sigma/(2*SQRT(Q523))-r_dom*K*EXP(-r_dom*Q523)*_xlfn.NORM.S.DIST(Z523,1)+q*E523*EXP(-q*Q523)*_xlfn.NORM.S.DIST(Y523,1))/365)))</f>
        <v/>
      </c>
      <c r="Q523" s="83" t="str">
        <f t="shared" si="215"/>
        <v/>
      </c>
      <c r="R523" s="38"/>
      <c r="S523" s="68" t="str">
        <f t="shared" si="216"/>
        <v/>
      </c>
      <c r="T523" s="69" t="str">
        <f t="shared" si="217"/>
        <v/>
      </c>
      <c r="U523" s="70" t="str">
        <f t="shared" si="218"/>
        <v/>
      </c>
      <c r="V523" s="72" t="str">
        <f t="shared" si="219"/>
        <v/>
      </c>
      <c r="W523" s="2" t="str">
        <f t="shared" si="206"/>
        <v/>
      </c>
      <c r="X523" s="2" t="str">
        <f t="shared" si="201"/>
        <v/>
      </c>
      <c r="Y523" s="35" t="str">
        <f t="shared" ca="1" si="220"/>
        <v/>
      </c>
      <c r="Z523" s="36" t="str">
        <f t="shared" ca="1" si="221"/>
        <v/>
      </c>
      <c r="AA523" s="70" t="str">
        <f t="shared" si="222"/>
        <v/>
      </c>
      <c r="AB523" s="2"/>
      <c r="AC523" s="94" t="str">
        <f t="shared" si="202"/>
        <v/>
      </c>
      <c r="AD523" s="95" t="str">
        <f t="shared" si="203"/>
        <v/>
      </c>
      <c r="AE523" s="96" t="str">
        <f t="shared" si="204"/>
        <v/>
      </c>
      <c r="AF523" s="124" t="str">
        <f t="shared" si="205"/>
        <v/>
      </c>
      <c r="AG523" s="2"/>
      <c r="AH523" s="2"/>
      <c r="AI523" s="2"/>
      <c r="AJ523" s="2"/>
      <c r="AK523" s="2"/>
      <c r="AL523" s="2"/>
    </row>
    <row r="524" spans="1:38" x14ac:dyDescent="0.2">
      <c r="A524" s="45"/>
      <c r="B524" s="43" t="str">
        <f t="shared" si="208"/>
        <v/>
      </c>
      <c r="C524" s="96" t="str">
        <f t="shared" si="207"/>
        <v/>
      </c>
      <c r="D524" s="44" t="str">
        <f t="shared" si="209"/>
        <v/>
      </c>
      <c r="E524" s="52"/>
      <c r="F524" s="63" t="str">
        <f t="shared" si="210"/>
        <v/>
      </c>
      <c r="G524" s="56" t="str">
        <f t="shared" si="211"/>
        <v/>
      </c>
      <c r="H524" s="42"/>
      <c r="I524" s="2" t="str">
        <f t="shared" si="212"/>
        <v/>
      </c>
      <c r="J524" s="54" t="str">
        <f t="shared" si="199"/>
        <v/>
      </c>
      <c r="K524" s="55" t="str">
        <f t="shared" si="213"/>
        <v/>
      </c>
      <c r="L524" s="63" t="str">
        <f t="shared" si="214"/>
        <v/>
      </c>
      <c r="M524" s="96" t="str">
        <f t="shared" si="200"/>
        <v/>
      </c>
      <c r="N524" s="96" t="str">
        <f>IF(A524="","",IF(A524=Expiry,0,EXP(-q*Q524)*_xlfn.NORM.S.DIST(Y524,0)/(sigma*SQRT(Q524))*I524*Mult/100))</f>
        <v/>
      </c>
      <c r="O524" s="96" t="str">
        <f>IF(A524="","",IF(A524=Expiry,0,D524*E524*E524*EXP(-q*Q524)*_xlfn.NORM.S.DIST(Y524,0)*SQRT(Q524)/100))</f>
        <v/>
      </c>
      <c r="P524" s="69" t="str">
        <f>IF(A524="","",IF(A524=Expiry,0,AK524*I524*Mult*((-EXP(-q*Q524)*E524*_xlfn.NORM.S.DIST(Y524,0)*sigma/(2*SQRT(Q524))-r_dom*K*EXP(-r_dom*Q524)*_xlfn.NORM.S.DIST(Z524,1)+q*E524*EXP(-q*Q524)*_xlfn.NORM.S.DIST(Y524,1))/365)))</f>
        <v/>
      </c>
      <c r="Q524" s="83" t="str">
        <f t="shared" si="215"/>
        <v/>
      </c>
      <c r="R524" s="38"/>
      <c r="S524" s="68" t="str">
        <f t="shared" si="216"/>
        <v/>
      </c>
      <c r="T524" s="69" t="str">
        <f t="shared" si="217"/>
        <v/>
      </c>
      <c r="U524" s="70" t="str">
        <f t="shared" si="218"/>
        <v/>
      </c>
      <c r="V524" s="72" t="str">
        <f t="shared" si="219"/>
        <v/>
      </c>
      <c r="W524" s="2" t="str">
        <f t="shared" si="206"/>
        <v/>
      </c>
      <c r="X524" s="2" t="str">
        <f t="shared" si="201"/>
        <v/>
      </c>
      <c r="Y524" s="35" t="str">
        <f t="shared" ca="1" si="220"/>
        <v/>
      </c>
      <c r="Z524" s="36" t="str">
        <f t="shared" ca="1" si="221"/>
        <v/>
      </c>
      <c r="AA524" s="70" t="str">
        <f t="shared" si="222"/>
        <v/>
      </c>
      <c r="AB524" s="2"/>
      <c r="AC524" s="94" t="str">
        <f t="shared" si="202"/>
        <v/>
      </c>
      <c r="AD524" s="95" t="str">
        <f t="shared" si="203"/>
        <v/>
      </c>
      <c r="AE524" s="96" t="str">
        <f t="shared" si="204"/>
        <v/>
      </c>
      <c r="AF524" s="124" t="str">
        <f t="shared" si="205"/>
        <v/>
      </c>
      <c r="AG524" s="2"/>
      <c r="AH524" s="2"/>
      <c r="AI524" s="2"/>
      <c r="AJ524" s="2"/>
      <c r="AK524" s="2"/>
      <c r="AL524" s="2"/>
    </row>
    <row r="525" spans="1:38" x14ac:dyDescent="0.2">
      <c r="A525" s="45"/>
      <c r="B525" s="43" t="str">
        <f t="shared" si="208"/>
        <v/>
      </c>
      <c r="C525" s="96" t="str">
        <f t="shared" si="207"/>
        <v/>
      </c>
      <c r="D525" s="44" t="str">
        <f t="shared" si="209"/>
        <v/>
      </c>
      <c r="E525" s="52"/>
      <c r="F525" s="63" t="str">
        <f t="shared" si="210"/>
        <v/>
      </c>
      <c r="G525" s="56" t="str">
        <f t="shared" si="211"/>
        <v/>
      </c>
      <c r="H525" s="42"/>
      <c r="I525" s="2" t="str">
        <f t="shared" si="212"/>
        <v/>
      </c>
      <c r="J525" s="54" t="str">
        <f t="shared" si="199"/>
        <v/>
      </c>
      <c r="K525" s="55" t="str">
        <f t="shared" si="213"/>
        <v/>
      </c>
      <c r="L525" s="63" t="str">
        <f t="shared" si="214"/>
        <v/>
      </c>
      <c r="M525" s="96" t="str">
        <f t="shared" si="200"/>
        <v/>
      </c>
      <c r="N525" s="96" t="str">
        <f>IF(A525="","",IF(A525=Expiry,0,EXP(-q*Q525)*_xlfn.NORM.S.DIST(Y525,0)/(sigma*SQRT(Q525))*I525*Mult/100))</f>
        <v/>
      </c>
      <c r="O525" s="96" t="str">
        <f>IF(A525="","",IF(A525=Expiry,0,D525*E525*E525*EXP(-q*Q525)*_xlfn.NORM.S.DIST(Y525,0)*SQRT(Q525)/100))</f>
        <v/>
      </c>
      <c r="P525" s="69" t="str">
        <f>IF(A525="","",IF(A525=Expiry,0,AK525*I525*Mult*((-EXP(-q*Q525)*E525*_xlfn.NORM.S.DIST(Y525,0)*sigma/(2*SQRT(Q525))-r_dom*K*EXP(-r_dom*Q525)*_xlfn.NORM.S.DIST(Z525,1)+q*E525*EXP(-q*Q525)*_xlfn.NORM.S.DIST(Y525,1))/365)))</f>
        <v/>
      </c>
      <c r="Q525" s="83" t="str">
        <f t="shared" si="215"/>
        <v/>
      </c>
      <c r="R525" s="38"/>
      <c r="S525" s="68" t="str">
        <f t="shared" si="216"/>
        <v/>
      </c>
      <c r="T525" s="69" t="str">
        <f t="shared" si="217"/>
        <v/>
      </c>
      <c r="U525" s="70" t="str">
        <f t="shared" si="218"/>
        <v/>
      </c>
      <c r="V525" s="72" t="str">
        <f t="shared" si="219"/>
        <v/>
      </c>
      <c r="W525" s="2" t="str">
        <f t="shared" si="206"/>
        <v/>
      </c>
      <c r="X525" s="2" t="str">
        <f t="shared" si="201"/>
        <v/>
      </c>
      <c r="Y525" s="35" t="str">
        <f t="shared" ca="1" si="220"/>
        <v/>
      </c>
      <c r="Z525" s="36" t="str">
        <f t="shared" ca="1" si="221"/>
        <v/>
      </c>
      <c r="AA525" s="70" t="str">
        <f t="shared" si="222"/>
        <v/>
      </c>
      <c r="AB525" s="2"/>
      <c r="AC525" s="94" t="str">
        <f t="shared" si="202"/>
        <v/>
      </c>
      <c r="AD525" s="95" t="str">
        <f t="shared" si="203"/>
        <v/>
      </c>
      <c r="AE525" s="96" t="str">
        <f t="shared" si="204"/>
        <v/>
      </c>
      <c r="AF525" s="124" t="str">
        <f t="shared" si="205"/>
        <v/>
      </c>
      <c r="AG525" s="2"/>
      <c r="AH525" s="2"/>
      <c r="AI525" s="2"/>
      <c r="AJ525" s="2"/>
      <c r="AK525" s="2"/>
      <c r="AL525" s="2"/>
    </row>
    <row r="526" spans="1:38" x14ac:dyDescent="0.2">
      <c r="A526" s="45"/>
      <c r="B526" s="43" t="str">
        <f t="shared" si="208"/>
        <v/>
      </c>
      <c r="C526" s="96" t="str">
        <f t="shared" si="207"/>
        <v/>
      </c>
      <c r="D526" s="44" t="str">
        <f t="shared" si="209"/>
        <v/>
      </c>
      <c r="E526" s="52"/>
      <c r="F526" s="63" t="str">
        <f t="shared" si="210"/>
        <v/>
      </c>
      <c r="G526" s="56" t="str">
        <f t="shared" si="211"/>
        <v/>
      </c>
      <c r="H526" s="42"/>
      <c r="I526" s="2" t="str">
        <f t="shared" si="212"/>
        <v/>
      </c>
      <c r="J526" s="54" t="str">
        <f t="shared" si="199"/>
        <v/>
      </c>
      <c r="K526" s="55" t="str">
        <f t="shared" si="213"/>
        <v/>
      </c>
      <c r="L526" s="63" t="str">
        <f t="shared" si="214"/>
        <v/>
      </c>
      <c r="M526" s="96" t="str">
        <f t="shared" si="200"/>
        <v/>
      </c>
      <c r="N526" s="96" t="str">
        <f>IF(A526="","",IF(A526=Expiry,0,EXP(-q*Q526)*_xlfn.NORM.S.DIST(Y526,0)/(sigma*SQRT(Q526))*I526*Mult/100))</f>
        <v/>
      </c>
      <c r="O526" s="96" t="str">
        <f>IF(A526="","",IF(A526=Expiry,0,D526*E526*E526*EXP(-q*Q526)*_xlfn.NORM.S.DIST(Y526,0)*SQRT(Q526)/100))</f>
        <v/>
      </c>
      <c r="P526" s="69" t="str">
        <f>IF(A526="","",IF(A526=Expiry,0,AK526*I526*Mult*((-EXP(-q*Q526)*E526*_xlfn.NORM.S.DIST(Y526,0)*sigma/(2*SQRT(Q526))-r_dom*K*EXP(-r_dom*Q526)*_xlfn.NORM.S.DIST(Z526,1)+q*E526*EXP(-q*Q526)*_xlfn.NORM.S.DIST(Y526,1))/365)))</f>
        <v/>
      </c>
      <c r="Q526" s="83" t="str">
        <f t="shared" si="215"/>
        <v/>
      </c>
      <c r="R526" s="38"/>
      <c r="S526" s="68" t="str">
        <f t="shared" si="216"/>
        <v/>
      </c>
      <c r="T526" s="69" t="str">
        <f t="shared" si="217"/>
        <v/>
      </c>
      <c r="U526" s="70" t="str">
        <f t="shared" si="218"/>
        <v/>
      </c>
      <c r="V526" s="72" t="str">
        <f t="shared" si="219"/>
        <v/>
      </c>
      <c r="W526" s="2" t="str">
        <f t="shared" si="206"/>
        <v/>
      </c>
      <c r="X526" s="2" t="str">
        <f t="shared" si="201"/>
        <v/>
      </c>
      <c r="Y526" s="35" t="str">
        <f t="shared" ca="1" si="220"/>
        <v/>
      </c>
      <c r="Z526" s="36" t="str">
        <f t="shared" ca="1" si="221"/>
        <v/>
      </c>
      <c r="AA526" s="70" t="str">
        <f t="shared" si="222"/>
        <v/>
      </c>
      <c r="AB526" s="2"/>
      <c r="AC526" s="94" t="str">
        <f t="shared" si="202"/>
        <v/>
      </c>
      <c r="AD526" s="95" t="str">
        <f t="shared" si="203"/>
        <v/>
      </c>
      <c r="AE526" s="96" t="str">
        <f t="shared" si="204"/>
        <v/>
      </c>
      <c r="AF526" s="124" t="str">
        <f t="shared" si="205"/>
        <v/>
      </c>
      <c r="AG526" s="2"/>
      <c r="AH526" s="2"/>
      <c r="AI526" s="2"/>
      <c r="AJ526" s="2"/>
      <c r="AK526" s="2"/>
      <c r="AL526" s="2"/>
    </row>
    <row r="527" spans="1:38" x14ac:dyDescent="0.2">
      <c r="A527" s="45"/>
      <c r="B527" s="43" t="str">
        <f t="shared" si="208"/>
        <v/>
      </c>
      <c r="C527" s="96" t="str">
        <f t="shared" si="207"/>
        <v/>
      </c>
      <c r="D527" s="44" t="str">
        <f t="shared" si="209"/>
        <v/>
      </c>
      <c r="E527" s="52"/>
      <c r="F527" s="63" t="str">
        <f t="shared" si="210"/>
        <v/>
      </c>
      <c r="G527" s="56" t="str">
        <f t="shared" si="211"/>
        <v/>
      </c>
      <c r="H527" s="42"/>
      <c r="I527" s="2" t="str">
        <f t="shared" si="212"/>
        <v/>
      </c>
      <c r="J527" s="54" t="str">
        <f t="shared" si="199"/>
        <v/>
      </c>
      <c r="K527" s="55" t="str">
        <f t="shared" si="213"/>
        <v/>
      </c>
      <c r="L527" s="63" t="str">
        <f t="shared" si="214"/>
        <v/>
      </c>
      <c r="M527" s="96" t="str">
        <f t="shared" si="200"/>
        <v/>
      </c>
      <c r="N527" s="96" t="str">
        <f>IF(A527="","",IF(A527=Expiry,0,EXP(-q*Q527)*_xlfn.NORM.S.DIST(Y527,0)/(sigma*SQRT(Q527))*I527*Mult/100))</f>
        <v/>
      </c>
      <c r="O527" s="96" t="str">
        <f>IF(A527="","",IF(A527=Expiry,0,D527*E527*E527*EXP(-q*Q527)*_xlfn.NORM.S.DIST(Y527,0)*SQRT(Q527)/100))</f>
        <v/>
      </c>
      <c r="P527" s="69" t="str">
        <f>IF(A527="","",IF(A527=Expiry,0,AK527*I527*Mult*((-EXP(-q*Q527)*E527*_xlfn.NORM.S.DIST(Y527,0)*sigma/(2*SQRT(Q527))-r_dom*K*EXP(-r_dom*Q527)*_xlfn.NORM.S.DIST(Z527,1)+q*E527*EXP(-q*Q527)*_xlfn.NORM.S.DIST(Y527,1))/365)))</f>
        <v/>
      </c>
      <c r="Q527" s="83" t="str">
        <f t="shared" si="215"/>
        <v/>
      </c>
      <c r="R527" s="38"/>
      <c r="S527" s="68" t="str">
        <f t="shared" si="216"/>
        <v/>
      </c>
      <c r="T527" s="69" t="str">
        <f t="shared" si="217"/>
        <v/>
      </c>
      <c r="U527" s="70" t="str">
        <f t="shared" si="218"/>
        <v/>
      </c>
      <c r="V527" s="72" t="str">
        <f t="shared" si="219"/>
        <v/>
      </c>
      <c r="W527" s="2" t="str">
        <f t="shared" si="206"/>
        <v/>
      </c>
      <c r="X527" s="2" t="str">
        <f t="shared" si="201"/>
        <v/>
      </c>
      <c r="Y527" s="35" t="str">
        <f t="shared" ca="1" si="220"/>
        <v/>
      </c>
      <c r="Z527" s="36" t="str">
        <f t="shared" ca="1" si="221"/>
        <v/>
      </c>
      <c r="AA527" s="70" t="str">
        <f t="shared" si="222"/>
        <v/>
      </c>
      <c r="AB527" s="2"/>
      <c r="AC527" s="94" t="str">
        <f t="shared" si="202"/>
        <v/>
      </c>
      <c r="AD527" s="95" t="str">
        <f t="shared" si="203"/>
        <v/>
      </c>
      <c r="AE527" s="96" t="str">
        <f t="shared" si="204"/>
        <v/>
      </c>
      <c r="AF527" s="124" t="str">
        <f t="shared" si="205"/>
        <v/>
      </c>
      <c r="AG527" s="2"/>
      <c r="AH527" s="2"/>
      <c r="AI527" s="2"/>
      <c r="AJ527" s="2"/>
      <c r="AK527" s="2"/>
      <c r="AL527" s="2"/>
    </row>
    <row r="528" spans="1:38" x14ac:dyDescent="0.2">
      <c r="A528" s="45"/>
      <c r="B528" s="43" t="str">
        <f t="shared" si="208"/>
        <v/>
      </c>
      <c r="C528" s="96" t="str">
        <f t="shared" si="207"/>
        <v/>
      </c>
      <c r="D528" s="44" t="str">
        <f t="shared" si="209"/>
        <v/>
      </c>
      <c r="E528" s="52"/>
      <c r="F528" s="63" t="str">
        <f t="shared" si="210"/>
        <v/>
      </c>
      <c r="G528" s="56" t="str">
        <f t="shared" si="211"/>
        <v/>
      </c>
      <c r="H528" s="42"/>
      <c r="I528" s="2" t="str">
        <f t="shared" si="212"/>
        <v/>
      </c>
      <c r="J528" s="54" t="str">
        <f t="shared" si="199"/>
        <v/>
      </c>
      <c r="K528" s="55" t="str">
        <f t="shared" si="213"/>
        <v/>
      </c>
      <c r="L528" s="63" t="str">
        <f t="shared" si="214"/>
        <v/>
      </c>
      <c r="M528" s="96" t="str">
        <f t="shared" si="200"/>
        <v/>
      </c>
      <c r="N528" s="96" t="str">
        <f>IF(A528="","",IF(A528=Expiry,0,EXP(-q*Q528)*_xlfn.NORM.S.DIST(Y528,0)/(sigma*SQRT(Q528))*I528*Mult/100))</f>
        <v/>
      </c>
      <c r="O528" s="96" t="str">
        <f>IF(A528="","",IF(A528=Expiry,0,D528*E528*E528*EXP(-q*Q528)*_xlfn.NORM.S.DIST(Y528,0)*SQRT(Q528)/100))</f>
        <v/>
      </c>
      <c r="P528" s="69" t="str">
        <f>IF(A528="","",IF(A528=Expiry,0,AK528*I528*Mult*((-EXP(-q*Q528)*E528*_xlfn.NORM.S.DIST(Y528,0)*sigma/(2*SQRT(Q528))-r_dom*K*EXP(-r_dom*Q528)*_xlfn.NORM.S.DIST(Z528,1)+q*E528*EXP(-q*Q528)*_xlfn.NORM.S.DIST(Y528,1))/365)))</f>
        <v/>
      </c>
      <c r="Q528" s="83" t="str">
        <f t="shared" si="215"/>
        <v/>
      </c>
      <c r="R528" s="38"/>
      <c r="S528" s="68" t="str">
        <f t="shared" si="216"/>
        <v/>
      </c>
      <c r="T528" s="69" t="str">
        <f t="shared" si="217"/>
        <v/>
      </c>
      <c r="U528" s="70" t="str">
        <f t="shared" si="218"/>
        <v/>
      </c>
      <c r="V528" s="72" t="str">
        <f t="shared" si="219"/>
        <v/>
      </c>
      <c r="W528" s="2" t="str">
        <f t="shared" si="206"/>
        <v/>
      </c>
      <c r="X528" s="2" t="str">
        <f t="shared" si="201"/>
        <v/>
      </c>
      <c r="Y528" s="35" t="str">
        <f t="shared" ca="1" si="220"/>
        <v/>
      </c>
      <c r="Z528" s="36" t="str">
        <f t="shared" ca="1" si="221"/>
        <v/>
      </c>
      <c r="AA528" s="70" t="str">
        <f t="shared" si="222"/>
        <v/>
      </c>
      <c r="AB528" s="2"/>
      <c r="AC528" s="94" t="str">
        <f t="shared" si="202"/>
        <v/>
      </c>
      <c r="AD528" s="95" t="str">
        <f t="shared" si="203"/>
        <v/>
      </c>
      <c r="AE528" s="96" t="str">
        <f t="shared" si="204"/>
        <v/>
      </c>
      <c r="AF528" s="124" t="str">
        <f t="shared" si="205"/>
        <v/>
      </c>
      <c r="AG528" s="2"/>
      <c r="AH528" s="2"/>
      <c r="AI528" s="2"/>
      <c r="AJ528" s="2"/>
      <c r="AK528" s="2"/>
      <c r="AL528" s="2"/>
    </row>
    <row r="529" spans="1:38" x14ac:dyDescent="0.2">
      <c r="A529" s="45"/>
      <c r="B529" s="43" t="str">
        <f t="shared" si="208"/>
        <v/>
      </c>
      <c r="C529" s="96" t="str">
        <f t="shared" si="207"/>
        <v/>
      </c>
      <c r="D529" s="44" t="str">
        <f t="shared" si="209"/>
        <v/>
      </c>
      <c r="E529" s="52"/>
      <c r="F529" s="63" t="str">
        <f t="shared" si="210"/>
        <v/>
      </c>
      <c r="G529" s="56" t="str">
        <f t="shared" si="211"/>
        <v/>
      </c>
      <c r="H529" s="42"/>
      <c r="I529" s="2" t="str">
        <f t="shared" si="212"/>
        <v/>
      </c>
      <c r="J529" s="54" t="str">
        <f t="shared" si="199"/>
        <v/>
      </c>
      <c r="K529" s="55" t="str">
        <f t="shared" si="213"/>
        <v/>
      </c>
      <c r="L529" s="63" t="str">
        <f t="shared" si="214"/>
        <v/>
      </c>
      <c r="M529" s="96" t="str">
        <f t="shared" si="200"/>
        <v/>
      </c>
      <c r="N529" s="96" t="str">
        <f>IF(A529="","",IF(A529=Expiry,0,EXP(-q*Q529)*_xlfn.NORM.S.DIST(Y529,0)/(sigma*SQRT(Q529))*I529*Mult/100))</f>
        <v/>
      </c>
      <c r="O529" s="96" t="str">
        <f>IF(A529="","",IF(A529=Expiry,0,D529*E529*E529*EXP(-q*Q529)*_xlfn.NORM.S.DIST(Y529,0)*SQRT(Q529)/100))</f>
        <v/>
      </c>
      <c r="P529" s="69" t="str">
        <f>IF(A529="","",IF(A529=Expiry,0,AK529*I529*Mult*((-EXP(-q*Q529)*E529*_xlfn.NORM.S.DIST(Y529,0)*sigma/(2*SQRT(Q529))-r_dom*K*EXP(-r_dom*Q529)*_xlfn.NORM.S.DIST(Z529,1)+q*E529*EXP(-q*Q529)*_xlfn.NORM.S.DIST(Y529,1))/365)))</f>
        <v/>
      </c>
      <c r="Q529" s="83" t="str">
        <f t="shared" si="215"/>
        <v/>
      </c>
      <c r="R529" s="38"/>
      <c r="S529" s="68" t="str">
        <f t="shared" si="216"/>
        <v/>
      </c>
      <c r="T529" s="69" t="str">
        <f t="shared" si="217"/>
        <v/>
      </c>
      <c r="U529" s="70" t="str">
        <f t="shared" si="218"/>
        <v/>
      </c>
      <c r="V529" s="72" t="str">
        <f t="shared" si="219"/>
        <v/>
      </c>
      <c r="W529" s="2" t="str">
        <f t="shared" si="206"/>
        <v/>
      </c>
      <c r="X529" s="2" t="str">
        <f t="shared" si="201"/>
        <v/>
      </c>
      <c r="Y529" s="35" t="str">
        <f t="shared" ca="1" si="220"/>
        <v/>
      </c>
      <c r="Z529" s="36" t="str">
        <f t="shared" ca="1" si="221"/>
        <v/>
      </c>
      <c r="AA529" s="70" t="str">
        <f t="shared" si="222"/>
        <v/>
      </c>
      <c r="AB529" s="2"/>
      <c r="AC529" s="94" t="str">
        <f t="shared" si="202"/>
        <v/>
      </c>
      <c r="AD529" s="95" t="str">
        <f t="shared" si="203"/>
        <v/>
      </c>
      <c r="AE529" s="96" t="str">
        <f t="shared" si="204"/>
        <v/>
      </c>
      <c r="AF529" s="124" t="str">
        <f t="shared" si="205"/>
        <v/>
      </c>
      <c r="AG529" s="2"/>
      <c r="AH529" s="2"/>
      <c r="AI529" s="2"/>
      <c r="AJ529" s="2"/>
      <c r="AK529" s="2"/>
      <c r="AL529" s="2"/>
    </row>
    <row r="530" spans="1:38" x14ac:dyDescent="0.2">
      <c r="A530" s="45"/>
      <c r="B530" s="43" t="str">
        <f t="shared" si="208"/>
        <v/>
      </c>
      <c r="C530" s="96" t="str">
        <f t="shared" si="207"/>
        <v/>
      </c>
      <c r="D530" s="44" t="str">
        <f t="shared" si="209"/>
        <v/>
      </c>
      <c r="E530" s="52"/>
      <c r="F530" s="63" t="str">
        <f t="shared" si="210"/>
        <v/>
      </c>
      <c r="G530" s="56" t="str">
        <f t="shared" si="211"/>
        <v/>
      </c>
      <c r="H530" s="42"/>
      <c r="I530" s="2" t="str">
        <f t="shared" si="212"/>
        <v/>
      </c>
      <c r="J530" s="54" t="str">
        <f t="shared" si="199"/>
        <v/>
      </c>
      <c r="K530" s="55" t="str">
        <f t="shared" si="213"/>
        <v/>
      </c>
      <c r="L530" s="63" t="str">
        <f t="shared" si="214"/>
        <v/>
      </c>
      <c r="M530" s="96" t="str">
        <f t="shared" si="200"/>
        <v/>
      </c>
      <c r="N530" s="96" t="str">
        <f>IF(A530="","",IF(A530=Expiry,0,EXP(-q*Q530)*_xlfn.NORM.S.DIST(Y530,0)/(sigma*SQRT(Q530))*I530*Mult/100))</f>
        <v/>
      </c>
      <c r="O530" s="96" t="str">
        <f>IF(A530="","",IF(A530=Expiry,0,D530*E530*E530*EXP(-q*Q530)*_xlfn.NORM.S.DIST(Y530,0)*SQRT(Q530)/100))</f>
        <v/>
      </c>
      <c r="P530" s="69" t="str">
        <f>IF(A530="","",IF(A530=Expiry,0,AK530*I530*Mult*((-EXP(-q*Q530)*E530*_xlfn.NORM.S.DIST(Y530,0)*sigma/(2*SQRT(Q530))-r_dom*K*EXP(-r_dom*Q530)*_xlfn.NORM.S.DIST(Z530,1)+q*E530*EXP(-q*Q530)*_xlfn.NORM.S.DIST(Y530,1))/365)))</f>
        <v/>
      </c>
      <c r="Q530" s="83" t="str">
        <f t="shared" si="215"/>
        <v/>
      </c>
      <c r="R530" s="38"/>
      <c r="S530" s="68" t="str">
        <f t="shared" si="216"/>
        <v/>
      </c>
      <c r="T530" s="69" t="str">
        <f t="shared" si="217"/>
        <v/>
      </c>
      <c r="U530" s="70" t="str">
        <f t="shared" si="218"/>
        <v/>
      </c>
      <c r="V530" s="72" t="str">
        <f t="shared" si="219"/>
        <v/>
      </c>
      <c r="W530" s="2" t="str">
        <f t="shared" si="206"/>
        <v/>
      </c>
      <c r="X530" s="2" t="str">
        <f t="shared" si="201"/>
        <v/>
      </c>
      <c r="Y530" s="35" t="str">
        <f t="shared" ca="1" si="220"/>
        <v/>
      </c>
      <c r="Z530" s="36" t="str">
        <f t="shared" ca="1" si="221"/>
        <v/>
      </c>
      <c r="AA530" s="70" t="str">
        <f t="shared" si="222"/>
        <v/>
      </c>
      <c r="AB530" s="2"/>
      <c r="AC530" s="94" t="str">
        <f t="shared" si="202"/>
        <v/>
      </c>
      <c r="AD530" s="95" t="str">
        <f t="shared" si="203"/>
        <v/>
      </c>
      <c r="AE530" s="96" t="str">
        <f t="shared" si="204"/>
        <v/>
      </c>
      <c r="AF530" s="124" t="str">
        <f t="shared" si="205"/>
        <v/>
      </c>
      <c r="AG530" s="2"/>
      <c r="AH530" s="2"/>
      <c r="AI530" s="2"/>
      <c r="AJ530" s="2"/>
      <c r="AK530" s="2"/>
      <c r="AL530" s="2"/>
    </row>
    <row r="531" spans="1:38" x14ac:dyDescent="0.2">
      <c r="A531" s="45"/>
      <c r="B531" s="43" t="str">
        <f t="shared" si="208"/>
        <v/>
      </c>
      <c r="C531" s="96" t="str">
        <f t="shared" si="207"/>
        <v/>
      </c>
      <c r="D531" s="44" t="str">
        <f t="shared" si="209"/>
        <v/>
      </c>
      <c r="E531" s="52"/>
      <c r="F531" s="63" t="str">
        <f t="shared" si="210"/>
        <v/>
      </c>
      <c r="G531" s="56" t="str">
        <f t="shared" si="211"/>
        <v/>
      </c>
      <c r="H531" s="42"/>
      <c r="I531" s="2" t="str">
        <f t="shared" si="212"/>
        <v/>
      </c>
      <c r="J531" s="54" t="str">
        <f t="shared" si="199"/>
        <v/>
      </c>
      <c r="K531" s="55" t="str">
        <f t="shared" si="213"/>
        <v/>
      </c>
      <c r="L531" s="63" t="str">
        <f t="shared" si="214"/>
        <v/>
      </c>
      <c r="M531" s="96" t="str">
        <f t="shared" si="200"/>
        <v/>
      </c>
      <c r="N531" s="96" t="str">
        <f>IF(A531="","",IF(A531=Expiry,0,EXP(-q*Q531)*_xlfn.NORM.S.DIST(Y531,0)/(sigma*SQRT(Q531))*I531*Mult/100))</f>
        <v/>
      </c>
      <c r="O531" s="96" t="str">
        <f>IF(A531="","",IF(A531=Expiry,0,D531*E531*E531*EXP(-q*Q531)*_xlfn.NORM.S.DIST(Y531,0)*SQRT(Q531)/100))</f>
        <v/>
      </c>
      <c r="P531" s="69" t="str">
        <f>IF(A531="","",IF(A531=Expiry,0,AK531*I531*Mult*((-EXP(-q*Q531)*E531*_xlfn.NORM.S.DIST(Y531,0)*sigma/(2*SQRT(Q531))-r_dom*K*EXP(-r_dom*Q531)*_xlfn.NORM.S.DIST(Z531,1)+q*E531*EXP(-q*Q531)*_xlfn.NORM.S.DIST(Y531,1))/365)))</f>
        <v/>
      </c>
      <c r="Q531" s="83" t="str">
        <f t="shared" si="215"/>
        <v/>
      </c>
      <c r="R531" s="38"/>
      <c r="S531" s="68" t="str">
        <f t="shared" si="216"/>
        <v/>
      </c>
      <c r="T531" s="69" t="str">
        <f t="shared" si="217"/>
        <v/>
      </c>
      <c r="U531" s="70" t="str">
        <f t="shared" si="218"/>
        <v/>
      </c>
      <c r="V531" s="72" t="str">
        <f t="shared" si="219"/>
        <v/>
      </c>
      <c r="W531" s="2" t="str">
        <f t="shared" si="206"/>
        <v/>
      </c>
      <c r="X531" s="2" t="str">
        <f t="shared" si="201"/>
        <v/>
      </c>
      <c r="Y531" s="35" t="str">
        <f t="shared" ca="1" si="220"/>
        <v/>
      </c>
      <c r="Z531" s="36" t="str">
        <f t="shared" ca="1" si="221"/>
        <v/>
      </c>
      <c r="AA531" s="70" t="str">
        <f t="shared" si="222"/>
        <v/>
      </c>
      <c r="AB531" s="2"/>
      <c r="AC531" s="94" t="str">
        <f t="shared" si="202"/>
        <v/>
      </c>
      <c r="AD531" s="95" t="str">
        <f t="shared" si="203"/>
        <v/>
      </c>
      <c r="AE531" s="96" t="str">
        <f t="shared" si="204"/>
        <v/>
      </c>
      <c r="AF531" s="124" t="str">
        <f t="shared" si="205"/>
        <v/>
      </c>
      <c r="AG531" s="2"/>
      <c r="AH531" s="2"/>
      <c r="AI531" s="2"/>
      <c r="AJ531" s="2"/>
      <c r="AK531" s="2"/>
      <c r="AL531" s="2"/>
    </row>
    <row r="532" spans="1:38" x14ac:dyDescent="0.2">
      <c r="A532" s="45"/>
      <c r="B532" s="43" t="str">
        <f t="shared" si="208"/>
        <v/>
      </c>
      <c r="C532" s="96" t="str">
        <f t="shared" si="207"/>
        <v/>
      </c>
      <c r="D532" s="44" t="str">
        <f t="shared" si="209"/>
        <v/>
      </c>
      <c r="E532" s="52"/>
      <c r="F532" s="63" t="str">
        <f t="shared" si="210"/>
        <v/>
      </c>
      <c r="G532" s="56" t="str">
        <f t="shared" si="211"/>
        <v/>
      </c>
      <c r="H532" s="42"/>
      <c r="I532" s="2" t="str">
        <f t="shared" si="212"/>
        <v/>
      </c>
      <c r="J532" s="54" t="str">
        <f t="shared" si="199"/>
        <v/>
      </c>
      <c r="K532" s="55" t="str">
        <f t="shared" si="213"/>
        <v/>
      </c>
      <c r="L532" s="63" t="str">
        <f t="shared" si="214"/>
        <v/>
      </c>
      <c r="M532" s="96" t="str">
        <f t="shared" si="200"/>
        <v/>
      </c>
      <c r="N532" s="96" t="str">
        <f>IF(A532="","",IF(A532=Expiry,0,EXP(-q*Q532)*_xlfn.NORM.S.DIST(Y532,0)/(sigma*SQRT(Q532))*I532*Mult/100))</f>
        <v/>
      </c>
      <c r="O532" s="96" t="str">
        <f>IF(A532="","",IF(A532=Expiry,0,D532*E532*E532*EXP(-q*Q532)*_xlfn.NORM.S.DIST(Y532,0)*SQRT(Q532)/100))</f>
        <v/>
      </c>
      <c r="P532" s="69" t="str">
        <f>IF(A532="","",IF(A532=Expiry,0,AK532*I532*Mult*((-EXP(-q*Q532)*E532*_xlfn.NORM.S.DIST(Y532,0)*sigma/(2*SQRT(Q532))-r_dom*K*EXP(-r_dom*Q532)*_xlfn.NORM.S.DIST(Z532,1)+q*E532*EXP(-q*Q532)*_xlfn.NORM.S.DIST(Y532,1))/365)))</f>
        <v/>
      </c>
      <c r="Q532" s="83" t="str">
        <f t="shared" si="215"/>
        <v/>
      </c>
      <c r="R532" s="38"/>
      <c r="S532" s="68" t="str">
        <f t="shared" si="216"/>
        <v/>
      </c>
      <c r="T532" s="69" t="str">
        <f t="shared" si="217"/>
        <v/>
      </c>
      <c r="U532" s="70" t="str">
        <f t="shared" si="218"/>
        <v/>
      </c>
      <c r="V532" s="72" t="str">
        <f t="shared" si="219"/>
        <v/>
      </c>
      <c r="W532" s="2" t="str">
        <f t="shared" si="206"/>
        <v/>
      </c>
      <c r="X532" s="2" t="str">
        <f t="shared" si="201"/>
        <v/>
      </c>
      <c r="Y532" s="35" t="str">
        <f t="shared" ca="1" si="220"/>
        <v/>
      </c>
      <c r="Z532" s="36" t="str">
        <f t="shared" ca="1" si="221"/>
        <v/>
      </c>
      <c r="AA532" s="70" t="str">
        <f t="shared" si="222"/>
        <v/>
      </c>
      <c r="AB532" s="2"/>
      <c r="AC532" s="94" t="str">
        <f t="shared" si="202"/>
        <v/>
      </c>
      <c r="AD532" s="95" t="str">
        <f t="shared" si="203"/>
        <v/>
      </c>
      <c r="AE532" s="96" t="str">
        <f t="shared" si="204"/>
        <v/>
      </c>
      <c r="AF532" s="124" t="str">
        <f t="shared" si="205"/>
        <v/>
      </c>
      <c r="AG532" s="2"/>
      <c r="AH532" s="2"/>
      <c r="AI532" s="2"/>
      <c r="AJ532" s="2"/>
      <c r="AK532" s="2"/>
      <c r="AL532" s="2"/>
    </row>
    <row r="533" spans="1:38" x14ac:dyDescent="0.2">
      <c r="A533" s="45"/>
      <c r="B533" s="43" t="str">
        <f t="shared" si="208"/>
        <v/>
      </c>
      <c r="C533" s="96" t="str">
        <f t="shared" si="207"/>
        <v/>
      </c>
      <c r="D533" s="44" t="str">
        <f t="shared" si="209"/>
        <v/>
      </c>
      <c r="E533" s="52"/>
      <c r="F533" s="63" t="str">
        <f t="shared" si="210"/>
        <v/>
      </c>
      <c r="G533" s="56" t="str">
        <f t="shared" si="211"/>
        <v/>
      </c>
      <c r="H533" s="42"/>
      <c r="I533" s="2" t="str">
        <f t="shared" si="212"/>
        <v/>
      </c>
      <c r="J533" s="54" t="str">
        <f t="shared" si="199"/>
        <v/>
      </c>
      <c r="K533" s="55" t="str">
        <f t="shared" si="213"/>
        <v/>
      </c>
      <c r="L533" s="63" t="str">
        <f t="shared" si="214"/>
        <v/>
      </c>
      <c r="M533" s="96" t="str">
        <f t="shared" si="200"/>
        <v/>
      </c>
      <c r="N533" s="96" t="str">
        <f>IF(A533="","",IF(A533=Expiry,0,EXP(-q*Q533)*_xlfn.NORM.S.DIST(Y533,0)/(sigma*SQRT(Q533))*I533*Mult/100))</f>
        <v/>
      </c>
      <c r="O533" s="96" t="str">
        <f>IF(A533="","",IF(A533=Expiry,0,D533*E533*E533*EXP(-q*Q533)*_xlfn.NORM.S.DIST(Y533,0)*SQRT(Q533)/100))</f>
        <v/>
      </c>
      <c r="P533" s="69" t="str">
        <f>IF(A533="","",IF(A533=Expiry,0,AK533*I533*Mult*((-EXP(-q*Q533)*E533*_xlfn.NORM.S.DIST(Y533,0)*sigma/(2*SQRT(Q533))-r_dom*K*EXP(-r_dom*Q533)*_xlfn.NORM.S.DIST(Z533,1)+q*E533*EXP(-q*Q533)*_xlfn.NORM.S.DIST(Y533,1))/365)))</f>
        <v/>
      </c>
      <c r="Q533" s="83" t="str">
        <f t="shared" si="215"/>
        <v/>
      </c>
      <c r="R533" s="38"/>
      <c r="S533" s="68" t="str">
        <f t="shared" si="216"/>
        <v/>
      </c>
      <c r="T533" s="69" t="str">
        <f t="shared" si="217"/>
        <v/>
      </c>
      <c r="U533" s="70" t="str">
        <f t="shared" si="218"/>
        <v/>
      </c>
      <c r="V533" s="72" t="str">
        <f t="shared" si="219"/>
        <v/>
      </c>
      <c r="W533" s="2" t="str">
        <f t="shared" si="206"/>
        <v/>
      </c>
      <c r="X533" s="2" t="str">
        <f t="shared" si="201"/>
        <v/>
      </c>
      <c r="Y533" s="35" t="str">
        <f t="shared" ca="1" si="220"/>
        <v/>
      </c>
      <c r="Z533" s="36" t="str">
        <f t="shared" ca="1" si="221"/>
        <v/>
      </c>
      <c r="AA533" s="70" t="str">
        <f t="shared" si="222"/>
        <v/>
      </c>
      <c r="AB533" s="2"/>
      <c r="AC533" s="94" t="str">
        <f t="shared" si="202"/>
        <v/>
      </c>
      <c r="AD533" s="95" t="str">
        <f t="shared" si="203"/>
        <v/>
      </c>
      <c r="AE533" s="96" t="str">
        <f t="shared" si="204"/>
        <v/>
      </c>
      <c r="AF533" s="124" t="str">
        <f t="shared" si="205"/>
        <v/>
      </c>
      <c r="AG533" s="2"/>
      <c r="AH533" s="2"/>
      <c r="AI533" s="2"/>
      <c r="AJ533" s="2"/>
      <c r="AK533" s="2"/>
      <c r="AL533" s="2"/>
    </row>
    <row r="534" spans="1:38" x14ac:dyDescent="0.2">
      <c r="A534" s="45"/>
      <c r="B534" s="43" t="str">
        <f t="shared" si="208"/>
        <v/>
      </c>
      <c r="C534" s="96" t="str">
        <f t="shared" si="207"/>
        <v/>
      </c>
      <c r="D534" s="44" t="str">
        <f t="shared" si="209"/>
        <v/>
      </c>
      <c r="E534" s="52"/>
      <c r="F534" s="63" t="str">
        <f t="shared" si="210"/>
        <v/>
      </c>
      <c r="G534" s="56" t="str">
        <f t="shared" si="211"/>
        <v/>
      </c>
      <c r="H534" s="42"/>
      <c r="I534" s="2" t="str">
        <f t="shared" si="212"/>
        <v/>
      </c>
      <c r="J534" s="54" t="str">
        <f t="shared" si="199"/>
        <v/>
      </c>
      <c r="K534" s="55" t="str">
        <f t="shared" si="213"/>
        <v/>
      </c>
      <c r="L534" s="63" t="str">
        <f t="shared" si="214"/>
        <v/>
      </c>
      <c r="M534" s="96" t="str">
        <f t="shared" si="200"/>
        <v/>
      </c>
      <c r="N534" s="96" t="str">
        <f>IF(A534="","",IF(A534=Expiry,0,EXP(-q*Q534)*_xlfn.NORM.S.DIST(Y534,0)/(sigma*SQRT(Q534))*I534*Mult/100))</f>
        <v/>
      </c>
      <c r="O534" s="96" t="str">
        <f>IF(A534="","",IF(A534=Expiry,0,D534*E534*E534*EXP(-q*Q534)*_xlfn.NORM.S.DIST(Y534,0)*SQRT(Q534)/100))</f>
        <v/>
      </c>
      <c r="P534" s="69" t="str">
        <f>IF(A534="","",IF(A534=Expiry,0,AK534*I534*Mult*((-EXP(-q*Q534)*E534*_xlfn.NORM.S.DIST(Y534,0)*sigma/(2*SQRT(Q534))-r_dom*K*EXP(-r_dom*Q534)*_xlfn.NORM.S.DIST(Z534,1)+q*E534*EXP(-q*Q534)*_xlfn.NORM.S.DIST(Y534,1))/365)))</f>
        <v/>
      </c>
      <c r="Q534" s="83" t="str">
        <f t="shared" si="215"/>
        <v/>
      </c>
      <c r="R534" s="38"/>
      <c r="S534" s="68" t="str">
        <f t="shared" si="216"/>
        <v/>
      </c>
      <c r="T534" s="69" t="str">
        <f t="shared" si="217"/>
        <v/>
      </c>
      <c r="U534" s="70" t="str">
        <f t="shared" si="218"/>
        <v/>
      </c>
      <c r="V534" s="72" t="str">
        <f t="shared" si="219"/>
        <v/>
      </c>
      <c r="W534" s="2" t="str">
        <f t="shared" si="206"/>
        <v/>
      </c>
      <c r="X534" s="2" t="str">
        <f t="shared" si="201"/>
        <v/>
      </c>
      <c r="Y534" s="35" t="str">
        <f t="shared" ca="1" si="220"/>
        <v/>
      </c>
      <c r="Z534" s="36" t="str">
        <f t="shared" ca="1" si="221"/>
        <v/>
      </c>
      <c r="AA534" s="70" t="str">
        <f t="shared" si="222"/>
        <v/>
      </c>
      <c r="AB534" s="2"/>
      <c r="AC534" s="94" t="str">
        <f t="shared" si="202"/>
        <v/>
      </c>
      <c r="AD534" s="95" t="str">
        <f t="shared" si="203"/>
        <v/>
      </c>
      <c r="AE534" s="96" t="str">
        <f t="shared" si="204"/>
        <v/>
      </c>
      <c r="AF534" s="124" t="str">
        <f t="shared" si="205"/>
        <v/>
      </c>
      <c r="AG534" s="2"/>
      <c r="AH534" s="2"/>
      <c r="AI534" s="2"/>
      <c r="AJ534" s="2"/>
      <c r="AK534" s="2"/>
      <c r="AL534" s="2"/>
    </row>
    <row r="535" spans="1:38" x14ac:dyDescent="0.2">
      <c r="A535" s="45"/>
      <c r="B535" s="43" t="str">
        <f t="shared" si="208"/>
        <v/>
      </c>
      <c r="C535" s="96" t="str">
        <f t="shared" si="207"/>
        <v/>
      </c>
      <c r="D535" s="44" t="str">
        <f t="shared" si="209"/>
        <v/>
      </c>
      <c r="E535" s="52"/>
      <c r="F535" s="63" t="str">
        <f t="shared" si="210"/>
        <v/>
      </c>
      <c r="G535" s="56" t="str">
        <f t="shared" si="211"/>
        <v/>
      </c>
      <c r="H535" s="42"/>
      <c r="I535" s="2" t="str">
        <f t="shared" si="212"/>
        <v/>
      </c>
      <c r="J535" s="54" t="str">
        <f t="shared" si="199"/>
        <v/>
      </c>
      <c r="K535" s="55" t="str">
        <f t="shared" si="213"/>
        <v/>
      </c>
      <c r="L535" s="63" t="str">
        <f t="shared" si="214"/>
        <v/>
      </c>
      <c r="M535" s="96" t="str">
        <f t="shared" si="200"/>
        <v/>
      </c>
      <c r="N535" s="96" t="str">
        <f>IF(A535="","",IF(A535=Expiry,0,EXP(-q*Q535)*_xlfn.NORM.S.DIST(Y535,0)/(sigma*SQRT(Q535))*I535*Mult/100))</f>
        <v/>
      </c>
      <c r="O535" s="96" t="str">
        <f>IF(A535="","",IF(A535=Expiry,0,D535*E535*E535*EXP(-q*Q535)*_xlfn.NORM.S.DIST(Y535,0)*SQRT(Q535)/100))</f>
        <v/>
      </c>
      <c r="P535" s="69" t="str">
        <f>IF(A535="","",IF(A535=Expiry,0,AK535*I535*Mult*((-EXP(-q*Q535)*E535*_xlfn.NORM.S.DIST(Y535,0)*sigma/(2*SQRT(Q535))-r_dom*K*EXP(-r_dom*Q535)*_xlfn.NORM.S.DIST(Z535,1)+q*E535*EXP(-q*Q535)*_xlfn.NORM.S.DIST(Y535,1))/365)))</f>
        <v/>
      </c>
      <c r="Q535" s="83" t="str">
        <f t="shared" si="215"/>
        <v/>
      </c>
      <c r="R535" s="38"/>
      <c r="S535" s="68" t="str">
        <f t="shared" si="216"/>
        <v/>
      </c>
      <c r="T535" s="69" t="str">
        <f t="shared" si="217"/>
        <v/>
      </c>
      <c r="U535" s="70" t="str">
        <f t="shared" si="218"/>
        <v/>
      </c>
      <c r="V535" s="72" t="str">
        <f t="shared" si="219"/>
        <v/>
      </c>
      <c r="W535" s="2" t="str">
        <f t="shared" si="206"/>
        <v/>
      </c>
      <c r="X535" s="2" t="str">
        <f t="shared" si="201"/>
        <v/>
      </c>
      <c r="Y535" s="35" t="str">
        <f t="shared" ca="1" si="220"/>
        <v/>
      </c>
      <c r="Z535" s="36" t="str">
        <f t="shared" ca="1" si="221"/>
        <v/>
      </c>
      <c r="AA535" s="70" t="str">
        <f t="shared" si="222"/>
        <v/>
      </c>
      <c r="AB535" s="2"/>
      <c r="AC535" s="94" t="str">
        <f t="shared" si="202"/>
        <v/>
      </c>
      <c r="AD535" s="95" t="str">
        <f t="shared" si="203"/>
        <v/>
      </c>
      <c r="AE535" s="96" t="str">
        <f t="shared" si="204"/>
        <v/>
      </c>
      <c r="AF535" s="124" t="str">
        <f t="shared" si="205"/>
        <v/>
      </c>
      <c r="AG535" s="2"/>
      <c r="AH535" s="2"/>
      <c r="AI535" s="2"/>
      <c r="AJ535" s="2"/>
      <c r="AK535" s="2"/>
      <c r="AL535" s="2"/>
    </row>
    <row r="536" spans="1:38" x14ac:dyDescent="0.2">
      <c r="A536" s="45"/>
      <c r="B536" s="43" t="str">
        <f t="shared" si="208"/>
        <v/>
      </c>
      <c r="C536" s="96" t="str">
        <f t="shared" si="207"/>
        <v/>
      </c>
      <c r="D536" s="44" t="str">
        <f t="shared" si="209"/>
        <v/>
      </c>
      <c r="E536" s="52"/>
      <c r="F536" s="63" t="str">
        <f t="shared" si="210"/>
        <v/>
      </c>
      <c r="G536" s="56" t="str">
        <f t="shared" si="211"/>
        <v/>
      </c>
      <c r="H536" s="42"/>
      <c r="I536" s="2" t="str">
        <f t="shared" si="212"/>
        <v/>
      </c>
      <c r="J536" s="54" t="str">
        <f t="shared" si="199"/>
        <v/>
      </c>
      <c r="K536" s="55" t="str">
        <f t="shared" si="213"/>
        <v/>
      </c>
      <c r="L536" s="63" t="str">
        <f t="shared" si="214"/>
        <v/>
      </c>
      <c r="M536" s="96" t="str">
        <f t="shared" si="200"/>
        <v/>
      </c>
      <c r="N536" s="96" t="str">
        <f>IF(A536="","",IF(A536=Expiry,0,EXP(-q*Q536)*_xlfn.NORM.S.DIST(Y536,0)/(sigma*SQRT(Q536))*I536*Mult/100))</f>
        <v/>
      </c>
      <c r="O536" s="96" t="str">
        <f>IF(A536="","",IF(A536=Expiry,0,D536*E536*E536*EXP(-q*Q536)*_xlfn.NORM.S.DIST(Y536,0)*SQRT(Q536)/100))</f>
        <v/>
      </c>
      <c r="P536" s="69" t="str">
        <f>IF(A536="","",IF(A536=Expiry,0,AK536*I536*Mult*((-EXP(-q*Q536)*E536*_xlfn.NORM.S.DIST(Y536,0)*sigma/(2*SQRT(Q536))-r_dom*K*EXP(-r_dom*Q536)*_xlfn.NORM.S.DIST(Z536,1)+q*E536*EXP(-q*Q536)*_xlfn.NORM.S.DIST(Y536,1))/365)))</f>
        <v/>
      </c>
      <c r="Q536" s="83" t="str">
        <f t="shared" si="215"/>
        <v/>
      </c>
      <c r="R536" s="38"/>
      <c r="S536" s="68" t="str">
        <f t="shared" si="216"/>
        <v/>
      </c>
      <c r="T536" s="69" t="str">
        <f t="shared" si="217"/>
        <v/>
      </c>
      <c r="U536" s="70" t="str">
        <f t="shared" si="218"/>
        <v/>
      </c>
      <c r="V536" s="72" t="str">
        <f t="shared" si="219"/>
        <v/>
      </c>
      <c r="W536" s="2" t="str">
        <f t="shared" si="206"/>
        <v/>
      </c>
      <c r="X536" s="2" t="str">
        <f t="shared" si="201"/>
        <v/>
      </c>
      <c r="Y536" s="35" t="str">
        <f t="shared" ca="1" si="220"/>
        <v/>
      </c>
      <c r="Z536" s="36" t="str">
        <f t="shared" ca="1" si="221"/>
        <v/>
      </c>
      <c r="AA536" s="70" t="str">
        <f t="shared" si="222"/>
        <v/>
      </c>
      <c r="AB536" s="2"/>
      <c r="AC536" s="94" t="str">
        <f t="shared" si="202"/>
        <v/>
      </c>
      <c r="AD536" s="95" t="str">
        <f t="shared" si="203"/>
        <v/>
      </c>
      <c r="AE536" s="96" t="str">
        <f t="shared" si="204"/>
        <v/>
      </c>
      <c r="AF536" s="124" t="str">
        <f t="shared" si="205"/>
        <v/>
      </c>
      <c r="AG536" s="2"/>
      <c r="AH536" s="2"/>
      <c r="AI536" s="2"/>
      <c r="AJ536" s="2"/>
      <c r="AK536" s="2"/>
      <c r="AL536" s="2"/>
    </row>
    <row r="537" spans="1:38" x14ac:dyDescent="0.2">
      <c r="A537" s="45"/>
      <c r="B537" s="43" t="str">
        <f t="shared" si="208"/>
        <v/>
      </c>
      <c r="C537" s="96" t="str">
        <f t="shared" si="207"/>
        <v/>
      </c>
      <c r="D537" s="44" t="str">
        <f t="shared" si="209"/>
        <v/>
      </c>
      <c r="E537" s="52"/>
      <c r="F537" s="63" t="str">
        <f t="shared" si="210"/>
        <v/>
      </c>
      <c r="G537" s="56" t="str">
        <f t="shared" si="211"/>
        <v/>
      </c>
      <c r="H537" s="42"/>
      <c r="I537" s="2" t="str">
        <f t="shared" si="212"/>
        <v/>
      </c>
      <c r="J537" s="54" t="str">
        <f t="shared" si="199"/>
        <v/>
      </c>
      <c r="K537" s="55" t="str">
        <f t="shared" si="213"/>
        <v/>
      </c>
      <c r="L537" s="63" t="str">
        <f t="shared" si="214"/>
        <v/>
      </c>
      <c r="M537" s="96" t="str">
        <f t="shared" si="200"/>
        <v/>
      </c>
      <c r="N537" s="96" t="str">
        <f>IF(A537="","",IF(A537=Expiry,0,EXP(-q*Q537)*_xlfn.NORM.S.DIST(Y537,0)/(sigma*SQRT(Q537))*I537*Mult/100))</f>
        <v/>
      </c>
      <c r="O537" s="96" t="str">
        <f>IF(A537="","",IF(A537=Expiry,0,D537*E537*E537*EXP(-q*Q537)*_xlfn.NORM.S.DIST(Y537,0)*SQRT(Q537)/100))</f>
        <v/>
      </c>
      <c r="P537" s="69" t="str">
        <f>IF(A537="","",IF(A537=Expiry,0,AK537*I537*Mult*((-EXP(-q*Q537)*E537*_xlfn.NORM.S.DIST(Y537,0)*sigma/(2*SQRT(Q537))-r_dom*K*EXP(-r_dom*Q537)*_xlfn.NORM.S.DIST(Z537,1)+q*E537*EXP(-q*Q537)*_xlfn.NORM.S.DIST(Y537,1))/365)))</f>
        <v/>
      </c>
      <c r="Q537" s="83" t="str">
        <f t="shared" si="215"/>
        <v/>
      </c>
      <c r="R537" s="38"/>
      <c r="S537" s="68" t="str">
        <f t="shared" si="216"/>
        <v/>
      </c>
      <c r="T537" s="69" t="str">
        <f t="shared" si="217"/>
        <v/>
      </c>
      <c r="U537" s="70" t="str">
        <f t="shared" si="218"/>
        <v/>
      </c>
      <c r="V537" s="72" t="str">
        <f t="shared" si="219"/>
        <v/>
      </c>
      <c r="W537" s="2" t="str">
        <f t="shared" si="206"/>
        <v/>
      </c>
      <c r="X537" s="2" t="str">
        <f t="shared" si="201"/>
        <v/>
      </c>
      <c r="Y537" s="35" t="str">
        <f t="shared" ca="1" si="220"/>
        <v/>
      </c>
      <c r="Z537" s="36" t="str">
        <f t="shared" ca="1" si="221"/>
        <v/>
      </c>
      <c r="AA537" s="70" t="str">
        <f t="shared" si="222"/>
        <v/>
      </c>
      <c r="AB537" s="2"/>
      <c r="AC537" s="94" t="str">
        <f t="shared" si="202"/>
        <v/>
      </c>
      <c r="AD537" s="95" t="str">
        <f t="shared" si="203"/>
        <v/>
      </c>
      <c r="AE537" s="96" t="str">
        <f t="shared" si="204"/>
        <v/>
      </c>
      <c r="AF537" s="124" t="str">
        <f t="shared" si="205"/>
        <v/>
      </c>
      <c r="AG537" s="2"/>
      <c r="AH537" s="2"/>
      <c r="AI537" s="2"/>
      <c r="AJ537" s="2"/>
      <c r="AK537" s="2"/>
      <c r="AL537" s="2"/>
    </row>
    <row r="538" spans="1:38" x14ac:dyDescent="0.2">
      <c r="A538" s="45"/>
      <c r="B538" s="43" t="str">
        <f t="shared" si="208"/>
        <v/>
      </c>
      <c r="C538" s="96" t="str">
        <f t="shared" si="207"/>
        <v/>
      </c>
      <c r="D538" s="44" t="str">
        <f t="shared" si="209"/>
        <v/>
      </c>
      <c r="E538" s="52"/>
      <c r="F538" s="63" t="str">
        <f t="shared" si="210"/>
        <v/>
      </c>
      <c r="G538" s="56" t="str">
        <f t="shared" si="211"/>
        <v/>
      </c>
      <c r="H538" s="42"/>
      <c r="I538" s="2" t="str">
        <f t="shared" si="212"/>
        <v/>
      </c>
      <c r="J538" s="54" t="str">
        <f t="shared" si="199"/>
        <v/>
      </c>
      <c r="K538" s="55" t="str">
        <f t="shared" si="213"/>
        <v/>
      </c>
      <c r="L538" s="63" t="str">
        <f t="shared" si="214"/>
        <v/>
      </c>
      <c r="M538" s="96" t="str">
        <f t="shared" si="200"/>
        <v/>
      </c>
      <c r="N538" s="96" t="str">
        <f>IF(A538="","",IF(A538=Expiry,0,EXP(-q*Q538)*_xlfn.NORM.S.DIST(Y538,0)/(sigma*SQRT(Q538))*I538*Mult/100))</f>
        <v/>
      </c>
      <c r="O538" s="96" t="str">
        <f>IF(A538="","",IF(A538=Expiry,0,D538*E538*E538*EXP(-q*Q538)*_xlfn.NORM.S.DIST(Y538,0)*SQRT(Q538)/100))</f>
        <v/>
      </c>
      <c r="P538" s="69" t="str">
        <f>IF(A538="","",IF(A538=Expiry,0,AK538*I538*Mult*((-EXP(-q*Q538)*E538*_xlfn.NORM.S.DIST(Y538,0)*sigma/(2*SQRT(Q538))-r_dom*K*EXP(-r_dom*Q538)*_xlfn.NORM.S.DIST(Z538,1)+q*E538*EXP(-q*Q538)*_xlfn.NORM.S.DIST(Y538,1))/365)))</f>
        <v/>
      </c>
      <c r="Q538" s="83" t="str">
        <f t="shared" si="215"/>
        <v/>
      </c>
      <c r="R538" s="38"/>
      <c r="S538" s="68" t="str">
        <f t="shared" si="216"/>
        <v/>
      </c>
      <c r="T538" s="69" t="str">
        <f t="shared" si="217"/>
        <v/>
      </c>
      <c r="U538" s="70" t="str">
        <f t="shared" si="218"/>
        <v/>
      </c>
      <c r="V538" s="72" t="str">
        <f t="shared" si="219"/>
        <v/>
      </c>
      <c r="W538" s="2" t="str">
        <f t="shared" si="206"/>
        <v/>
      </c>
      <c r="X538" s="2" t="str">
        <f t="shared" si="201"/>
        <v/>
      </c>
      <c r="Y538" s="35" t="str">
        <f t="shared" ca="1" si="220"/>
        <v/>
      </c>
      <c r="Z538" s="36" t="str">
        <f t="shared" ca="1" si="221"/>
        <v/>
      </c>
      <c r="AA538" s="70" t="str">
        <f t="shared" si="222"/>
        <v/>
      </c>
      <c r="AB538" s="2"/>
      <c r="AC538" s="94" t="str">
        <f t="shared" si="202"/>
        <v/>
      </c>
      <c r="AD538" s="95" t="str">
        <f t="shared" si="203"/>
        <v/>
      </c>
      <c r="AE538" s="96" t="str">
        <f t="shared" si="204"/>
        <v/>
      </c>
      <c r="AF538" s="124" t="str">
        <f t="shared" si="205"/>
        <v/>
      </c>
      <c r="AG538" s="2"/>
      <c r="AH538" s="2"/>
      <c r="AI538" s="2"/>
      <c r="AJ538" s="2"/>
      <c r="AK538" s="2"/>
      <c r="AL538" s="2"/>
    </row>
    <row r="539" spans="1:38" x14ac:dyDescent="0.2">
      <c r="A539" s="45"/>
      <c r="B539" s="43" t="str">
        <f t="shared" si="208"/>
        <v/>
      </c>
      <c r="C539" s="96" t="str">
        <f t="shared" si="207"/>
        <v/>
      </c>
      <c r="D539" s="44" t="str">
        <f t="shared" si="209"/>
        <v/>
      </c>
      <c r="E539" s="52"/>
      <c r="F539" s="63" t="str">
        <f t="shared" si="210"/>
        <v/>
      </c>
      <c r="G539" s="56" t="str">
        <f t="shared" si="211"/>
        <v/>
      </c>
      <c r="H539" s="42"/>
      <c r="I539" s="2" t="str">
        <f t="shared" si="212"/>
        <v/>
      </c>
      <c r="J539" s="54" t="str">
        <f t="shared" si="199"/>
        <v/>
      </c>
      <c r="K539" s="55" t="str">
        <f t="shared" si="213"/>
        <v/>
      </c>
      <c r="L539" s="63" t="str">
        <f t="shared" si="214"/>
        <v/>
      </c>
      <c r="M539" s="96" t="str">
        <f t="shared" si="200"/>
        <v/>
      </c>
      <c r="N539" s="96" t="str">
        <f>IF(A539="","",IF(A539=Expiry,0,EXP(-q*Q539)*_xlfn.NORM.S.DIST(Y539,0)/(sigma*SQRT(Q539))*I539*Mult/100))</f>
        <v/>
      </c>
      <c r="O539" s="96" t="str">
        <f>IF(A539="","",IF(A539=Expiry,0,D539*E539*E539*EXP(-q*Q539)*_xlfn.NORM.S.DIST(Y539,0)*SQRT(Q539)/100))</f>
        <v/>
      </c>
      <c r="P539" s="69" t="str">
        <f>IF(A539="","",IF(A539=Expiry,0,AK539*I539*Mult*((-EXP(-q*Q539)*E539*_xlfn.NORM.S.DIST(Y539,0)*sigma/(2*SQRT(Q539))-r_dom*K*EXP(-r_dom*Q539)*_xlfn.NORM.S.DIST(Z539,1)+q*E539*EXP(-q*Q539)*_xlfn.NORM.S.DIST(Y539,1))/365)))</f>
        <v/>
      </c>
      <c r="Q539" s="83" t="str">
        <f t="shared" si="215"/>
        <v/>
      </c>
      <c r="R539" s="38"/>
      <c r="S539" s="68" t="str">
        <f t="shared" si="216"/>
        <v/>
      </c>
      <c r="T539" s="69" t="str">
        <f t="shared" si="217"/>
        <v/>
      </c>
      <c r="U539" s="70" t="str">
        <f t="shared" si="218"/>
        <v/>
      </c>
      <c r="V539" s="72" t="str">
        <f t="shared" si="219"/>
        <v/>
      </c>
      <c r="W539" s="2" t="str">
        <f t="shared" si="206"/>
        <v/>
      </c>
      <c r="X539" s="2" t="str">
        <f t="shared" si="201"/>
        <v/>
      </c>
      <c r="Y539" s="35" t="str">
        <f t="shared" ca="1" si="220"/>
        <v/>
      </c>
      <c r="Z539" s="36" t="str">
        <f t="shared" ca="1" si="221"/>
        <v/>
      </c>
      <c r="AA539" s="70" t="str">
        <f t="shared" si="222"/>
        <v/>
      </c>
      <c r="AB539" s="2"/>
      <c r="AC539" s="94" t="str">
        <f t="shared" si="202"/>
        <v/>
      </c>
      <c r="AD539" s="95" t="str">
        <f t="shared" si="203"/>
        <v/>
      </c>
      <c r="AE539" s="96" t="str">
        <f t="shared" si="204"/>
        <v/>
      </c>
      <c r="AF539" s="124" t="str">
        <f t="shared" si="205"/>
        <v/>
      </c>
      <c r="AG539" s="2"/>
      <c r="AH539" s="2"/>
      <c r="AI539" s="2"/>
      <c r="AJ539" s="2"/>
      <c r="AK539" s="2"/>
      <c r="AL539" s="2"/>
    </row>
    <row r="540" spans="1:38" x14ac:dyDescent="0.2">
      <c r="A540" s="45"/>
      <c r="B540" s="43" t="str">
        <f t="shared" si="208"/>
        <v/>
      </c>
      <c r="C540" s="96" t="str">
        <f t="shared" si="207"/>
        <v/>
      </c>
      <c r="D540" s="44" t="str">
        <f t="shared" si="209"/>
        <v/>
      </c>
      <c r="E540" s="52"/>
      <c r="F540" s="63" t="str">
        <f t="shared" si="210"/>
        <v/>
      </c>
      <c r="G540" s="56" t="str">
        <f t="shared" si="211"/>
        <v/>
      </c>
      <c r="H540" s="42"/>
      <c r="I540" s="2" t="str">
        <f t="shared" si="212"/>
        <v/>
      </c>
      <c r="J540" s="54" t="str">
        <f t="shared" si="199"/>
        <v/>
      </c>
      <c r="K540" s="55" t="str">
        <f t="shared" si="213"/>
        <v/>
      </c>
      <c r="L540" s="63" t="str">
        <f t="shared" si="214"/>
        <v/>
      </c>
      <c r="M540" s="96" t="str">
        <f t="shared" si="200"/>
        <v/>
      </c>
      <c r="N540" s="96" t="str">
        <f>IF(A540="","",IF(A540=Expiry,0,EXP(-q*Q540)*_xlfn.NORM.S.DIST(Y540,0)/(sigma*SQRT(Q540))*I540*Mult/100))</f>
        <v/>
      </c>
      <c r="O540" s="96" t="str">
        <f>IF(A540="","",IF(A540=Expiry,0,D540*E540*E540*EXP(-q*Q540)*_xlfn.NORM.S.DIST(Y540,0)*SQRT(Q540)/100))</f>
        <v/>
      </c>
      <c r="P540" s="69" t="str">
        <f>IF(A540="","",IF(A540=Expiry,0,AK540*I540*Mult*((-EXP(-q*Q540)*E540*_xlfn.NORM.S.DIST(Y540,0)*sigma/(2*SQRT(Q540))-r_dom*K*EXP(-r_dom*Q540)*_xlfn.NORM.S.DIST(Z540,1)+q*E540*EXP(-q*Q540)*_xlfn.NORM.S.DIST(Y540,1))/365)))</f>
        <v/>
      </c>
      <c r="Q540" s="83" t="str">
        <f t="shared" si="215"/>
        <v/>
      </c>
      <c r="R540" s="38"/>
      <c r="S540" s="68" t="str">
        <f t="shared" si="216"/>
        <v/>
      </c>
      <c r="T540" s="69" t="str">
        <f t="shared" si="217"/>
        <v/>
      </c>
      <c r="U540" s="70" t="str">
        <f t="shared" si="218"/>
        <v/>
      </c>
      <c r="V540" s="72" t="str">
        <f t="shared" si="219"/>
        <v/>
      </c>
      <c r="W540" s="2" t="str">
        <f t="shared" si="206"/>
        <v/>
      </c>
      <c r="X540" s="2" t="str">
        <f t="shared" si="201"/>
        <v/>
      </c>
      <c r="Y540" s="35" t="str">
        <f t="shared" ca="1" si="220"/>
        <v/>
      </c>
      <c r="Z540" s="36" t="str">
        <f t="shared" ca="1" si="221"/>
        <v/>
      </c>
      <c r="AA540" s="70" t="str">
        <f t="shared" si="222"/>
        <v/>
      </c>
      <c r="AB540" s="2"/>
      <c r="AC540" s="94" t="str">
        <f t="shared" si="202"/>
        <v/>
      </c>
      <c r="AD540" s="95" t="str">
        <f t="shared" si="203"/>
        <v/>
      </c>
      <c r="AE540" s="96" t="str">
        <f t="shared" si="204"/>
        <v/>
      </c>
      <c r="AF540" s="124" t="str">
        <f t="shared" si="205"/>
        <v/>
      </c>
      <c r="AG540" s="2"/>
      <c r="AH540" s="2"/>
      <c r="AI540" s="2"/>
      <c r="AJ540" s="2"/>
      <c r="AK540" s="2"/>
      <c r="AL540" s="2"/>
    </row>
    <row r="541" spans="1:38" x14ac:dyDescent="0.2">
      <c r="A541" s="45"/>
      <c r="B541" s="43" t="str">
        <f t="shared" si="208"/>
        <v/>
      </c>
      <c r="C541" s="96" t="str">
        <f t="shared" si="207"/>
        <v/>
      </c>
      <c r="D541" s="44" t="str">
        <f t="shared" si="209"/>
        <v/>
      </c>
      <c r="E541" s="52"/>
      <c r="F541" s="63" t="str">
        <f t="shared" si="210"/>
        <v/>
      </c>
      <c r="G541" s="56" t="str">
        <f t="shared" si="211"/>
        <v/>
      </c>
      <c r="H541" s="42"/>
      <c r="I541" s="2" t="str">
        <f t="shared" si="212"/>
        <v/>
      </c>
      <c r="J541" s="54" t="str">
        <f t="shared" si="199"/>
        <v/>
      </c>
      <c r="K541" s="55" t="str">
        <f t="shared" si="213"/>
        <v/>
      </c>
      <c r="L541" s="63" t="str">
        <f t="shared" si="214"/>
        <v/>
      </c>
      <c r="M541" s="96" t="str">
        <f t="shared" si="200"/>
        <v/>
      </c>
      <c r="N541" s="96" t="str">
        <f>IF(A541="","",IF(A541=Expiry,0,EXP(-q*Q541)*_xlfn.NORM.S.DIST(Y541,0)/(sigma*SQRT(Q541))*I541*Mult/100))</f>
        <v/>
      </c>
      <c r="O541" s="96" t="str">
        <f>IF(A541="","",IF(A541=Expiry,0,D541*E541*E541*EXP(-q*Q541)*_xlfn.NORM.S.DIST(Y541,0)*SQRT(Q541)/100))</f>
        <v/>
      </c>
      <c r="P541" s="69" t="str">
        <f>IF(A541="","",IF(A541=Expiry,0,AK541*I541*Mult*((-EXP(-q*Q541)*E541*_xlfn.NORM.S.DIST(Y541,0)*sigma/(2*SQRT(Q541))-r_dom*K*EXP(-r_dom*Q541)*_xlfn.NORM.S.DIST(Z541,1)+q*E541*EXP(-q*Q541)*_xlfn.NORM.S.DIST(Y541,1))/365)))</f>
        <v/>
      </c>
      <c r="Q541" s="83" t="str">
        <f t="shared" si="215"/>
        <v/>
      </c>
      <c r="R541" s="38"/>
      <c r="S541" s="68" t="str">
        <f t="shared" si="216"/>
        <v/>
      </c>
      <c r="T541" s="69" t="str">
        <f t="shared" si="217"/>
        <v/>
      </c>
      <c r="U541" s="70" t="str">
        <f t="shared" si="218"/>
        <v/>
      </c>
      <c r="V541" s="72" t="str">
        <f t="shared" si="219"/>
        <v/>
      </c>
      <c r="W541" s="2" t="str">
        <f t="shared" si="206"/>
        <v/>
      </c>
      <c r="X541" s="2" t="str">
        <f t="shared" si="201"/>
        <v/>
      </c>
      <c r="Y541" s="35" t="str">
        <f t="shared" ca="1" si="220"/>
        <v/>
      </c>
      <c r="Z541" s="36" t="str">
        <f t="shared" ca="1" si="221"/>
        <v/>
      </c>
      <c r="AA541" s="70" t="str">
        <f t="shared" si="222"/>
        <v/>
      </c>
      <c r="AB541" s="2"/>
      <c r="AC541" s="94" t="str">
        <f t="shared" si="202"/>
        <v/>
      </c>
      <c r="AD541" s="95" t="str">
        <f t="shared" si="203"/>
        <v/>
      </c>
      <c r="AE541" s="96" t="str">
        <f t="shared" si="204"/>
        <v/>
      </c>
      <c r="AF541" s="124" t="str">
        <f t="shared" si="205"/>
        <v/>
      </c>
      <c r="AG541" s="2"/>
      <c r="AH541" s="2"/>
      <c r="AI541" s="2"/>
      <c r="AJ541" s="2"/>
      <c r="AK541" s="2"/>
      <c r="AL541" s="2"/>
    </row>
    <row r="542" spans="1:38" x14ac:dyDescent="0.2">
      <c r="A542" s="45"/>
      <c r="B542" s="43" t="str">
        <f t="shared" si="208"/>
        <v/>
      </c>
      <c r="C542" s="96" t="str">
        <f t="shared" si="207"/>
        <v/>
      </c>
      <c r="D542" s="44" t="str">
        <f t="shared" si="209"/>
        <v/>
      </c>
      <c r="E542" s="52"/>
      <c r="F542" s="63" t="str">
        <f t="shared" si="210"/>
        <v/>
      </c>
      <c r="G542" s="56" t="str">
        <f t="shared" si="211"/>
        <v/>
      </c>
      <c r="H542" s="42"/>
      <c r="I542" s="2" t="str">
        <f t="shared" si="212"/>
        <v/>
      </c>
      <c r="J542" s="54" t="str">
        <f t="shared" si="199"/>
        <v/>
      </c>
      <c r="K542" s="55" t="str">
        <f t="shared" si="213"/>
        <v/>
      </c>
      <c r="L542" s="63" t="str">
        <f t="shared" si="214"/>
        <v/>
      </c>
      <c r="M542" s="96" t="str">
        <f t="shared" si="200"/>
        <v/>
      </c>
      <c r="N542" s="96" t="str">
        <f>IF(A542="","",IF(A542=Expiry,0,EXP(-q*Q542)*_xlfn.NORM.S.DIST(Y542,0)/(sigma*SQRT(Q542))*I542*Mult/100))</f>
        <v/>
      </c>
      <c r="O542" s="96" t="str">
        <f>IF(A542="","",IF(A542=Expiry,0,D542*E542*E542*EXP(-q*Q542)*_xlfn.NORM.S.DIST(Y542,0)*SQRT(Q542)/100))</f>
        <v/>
      </c>
      <c r="P542" s="69" t="str">
        <f>IF(A542="","",IF(A542=Expiry,0,AK542*I542*Mult*((-EXP(-q*Q542)*E542*_xlfn.NORM.S.DIST(Y542,0)*sigma/(2*SQRT(Q542))-r_dom*K*EXP(-r_dom*Q542)*_xlfn.NORM.S.DIST(Z542,1)+q*E542*EXP(-q*Q542)*_xlfn.NORM.S.DIST(Y542,1))/365)))</f>
        <v/>
      </c>
      <c r="Q542" s="83" t="str">
        <f t="shared" si="215"/>
        <v/>
      </c>
      <c r="R542" s="38"/>
      <c r="S542" s="68" t="str">
        <f t="shared" si="216"/>
        <v/>
      </c>
      <c r="T542" s="69" t="str">
        <f t="shared" si="217"/>
        <v/>
      </c>
      <c r="U542" s="70" t="str">
        <f t="shared" si="218"/>
        <v/>
      </c>
      <c r="V542" s="72" t="str">
        <f t="shared" si="219"/>
        <v/>
      </c>
      <c r="W542" s="2" t="str">
        <f t="shared" si="206"/>
        <v/>
      </c>
      <c r="X542" s="2" t="str">
        <f t="shared" si="201"/>
        <v/>
      </c>
      <c r="Y542" s="35" t="str">
        <f t="shared" ca="1" si="220"/>
        <v/>
      </c>
      <c r="Z542" s="36" t="str">
        <f t="shared" ca="1" si="221"/>
        <v/>
      </c>
      <c r="AA542" s="70" t="str">
        <f t="shared" si="222"/>
        <v/>
      </c>
      <c r="AB542" s="2"/>
      <c r="AC542" s="94" t="str">
        <f t="shared" si="202"/>
        <v/>
      </c>
      <c r="AD542" s="95" t="str">
        <f t="shared" si="203"/>
        <v/>
      </c>
      <c r="AE542" s="96" t="str">
        <f t="shared" si="204"/>
        <v/>
      </c>
      <c r="AF542" s="124" t="str">
        <f t="shared" si="205"/>
        <v/>
      </c>
      <c r="AG542" s="2"/>
      <c r="AH542" s="2"/>
      <c r="AI542" s="2"/>
      <c r="AJ542" s="2"/>
      <c r="AK542" s="2"/>
      <c r="AL542" s="2"/>
    </row>
    <row r="543" spans="1:38" x14ac:dyDescent="0.2">
      <c r="A543" s="45"/>
      <c r="B543" s="43" t="str">
        <f t="shared" si="208"/>
        <v/>
      </c>
      <c r="C543" s="96" t="str">
        <f t="shared" si="207"/>
        <v/>
      </c>
      <c r="D543" s="44" t="str">
        <f t="shared" si="209"/>
        <v/>
      </c>
      <c r="E543" s="52"/>
      <c r="F543" s="63" t="str">
        <f t="shared" si="210"/>
        <v/>
      </c>
      <c r="G543" s="56" t="str">
        <f t="shared" si="211"/>
        <v/>
      </c>
      <c r="H543" s="42"/>
      <c r="I543" s="2" t="str">
        <f t="shared" si="212"/>
        <v/>
      </c>
      <c r="J543" s="54" t="str">
        <f t="shared" si="199"/>
        <v/>
      </c>
      <c r="K543" s="55" t="str">
        <f t="shared" si="213"/>
        <v/>
      </c>
      <c r="L543" s="63" t="str">
        <f t="shared" si="214"/>
        <v/>
      </c>
      <c r="M543" s="96" t="str">
        <f t="shared" si="200"/>
        <v/>
      </c>
      <c r="N543" s="96" t="str">
        <f>IF(A543="","",IF(A543=Expiry,0,EXP(-q*Q543)*_xlfn.NORM.S.DIST(Y543,0)/(sigma*SQRT(Q543))*I543*Mult/100))</f>
        <v/>
      </c>
      <c r="O543" s="96" t="str">
        <f>IF(A543="","",IF(A543=Expiry,0,D543*E543*E543*EXP(-q*Q543)*_xlfn.NORM.S.DIST(Y543,0)*SQRT(Q543)/100))</f>
        <v/>
      </c>
      <c r="P543" s="69" t="str">
        <f>IF(A543="","",IF(A543=Expiry,0,AK543*I543*Mult*((-EXP(-q*Q543)*E543*_xlfn.NORM.S.DIST(Y543,0)*sigma/(2*SQRT(Q543))-r_dom*K*EXP(-r_dom*Q543)*_xlfn.NORM.S.DIST(Z543,1)+q*E543*EXP(-q*Q543)*_xlfn.NORM.S.DIST(Y543,1))/365)))</f>
        <v/>
      </c>
      <c r="Q543" s="83" t="str">
        <f t="shared" si="215"/>
        <v/>
      </c>
      <c r="R543" s="38"/>
      <c r="S543" s="68" t="str">
        <f t="shared" si="216"/>
        <v/>
      </c>
      <c r="T543" s="69" t="str">
        <f t="shared" si="217"/>
        <v/>
      </c>
      <c r="U543" s="70" t="str">
        <f t="shared" si="218"/>
        <v/>
      </c>
      <c r="V543" s="72" t="str">
        <f t="shared" si="219"/>
        <v/>
      </c>
      <c r="W543" s="2" t="str">
        <f t="shared" si="206"/>
        <v/>
      </c>
      <c r="X543" s="2" t="str">
        <f t="shared" si="201"/>
        <v/>
      </c>
      <c r="Y543" s="35" t="str">
        <f t="shared" ca="1" si="220"/>
        <v/>
      </c>
      <c r="Z543" s="36" t="str">
        <f t="shared" ca="1" si="221"/>
        <v/>
      </c>
      <c r="AA543" s="70" t="str">
        <f t="shared" si="222"/>
        <v/>
      </c>
      <c r="AB543" s="2"/>
      <c r="AC543" s="94" t="str">
        <f t="shared" si="202"/>
        <v/>
      </c>
      <c r="AD543" s="95" t="str">
        <f t="shared" si="203"/>
        <v/>
      </c>
      <c r="AE543" s="96" t="str">
        <f t="shared" si="204"/>
        <v/>
      </c>
      <c r="AF543" s="124" t="str">
        <f t="shared" si="205"/>
        <v/>
      </c>
      <c r="AG543" s="2"/>
      <c r="AH543" s="2"/>
      <c r="AI543" s="2"/>
      <c r="AJ543" s="2"/>
      <c r="AK543" s="2"/>
      <c r="AL543" s="2"/>
    </row>
    <row r="544" spans="1:38" x14ac:dyDescent="0.2">
      <c r="A544" s="45"/>
      <c r="B544" s="43" t="str">
        <f t="shared" si="208"/>
        <v/>
      </c>
      <c r="C544" s="96" t="str">
        <f t="shared" si="207"/>
        <v/>
      </c>
      <c r="D544" s="44" t="str">
        <f t="shared" si="209"/>
        <v/>
      </c>
      <c r="E544" s="52"/>
      <c r="F544" s="63" t="str">
        <f t="shared" si="210"/>
        <v/>
      </c>
      <c r="G544" s="56" t="str">
        <f t="shared" si="211"/>
        <v/>
      </c>
      <c r="H544" s="42"/>
      <c r="I544" s="2" t="str">
        <f t="shared" si="212"/>
        <v/>
      </c>
      <c r="J544" s="54" t="str">
        <f t="shared" si="199"/>
        <v/>
      </c>
      <c r="K544" s="55" t="str">
        <f t="shared" si="213"/>
        <v/>
      </c>
      <c r="L544" s="63" t="str">
        <f t="shared" si="214"/>
        <v/>
      </c>
      <c r="M544" s="96" t="str">
        <f t="shared" si="200"/>
        <v/>
      </c>
      <c r="N544" s="96" t="str">
        <f>IF(A544="","",IF(A544=Expiry,0,EXP(-q*Q544)*_xlfn.NORM.S.DIST(Y544,0)/(sigma*SQRT(Q544))*I544*Mult/100))</f>
        <v/>
      </c>
      <c r="O544" s="96" t="str">
        <f>IF(A544="","",IF(A544=Expiry,0,D544*E544*E544*EXP(-q*Q544)*_xlfn.NORM.S.DIST(Y544,0)*SQRT(Q544)/100))</f>
        <v/>
      </c>
      <c r="P544" s="69" t="str">
        <f>IF(A544="","",IF(A544=Expiry,0,AK544*I544*Mult*((-EXP(-q*Q544)*E544*_xlfn.NORM.S.DIST(Y544,0)*sigma/(2*SQRT(Q544))-r_dom*K*EXP(-r_dom*Q544)*_xlfn.NORM.S.DIST(Z544,1)+q*E544*EXP(-q*Q544)*_xlfn.NORM.S.DIST(Y544,1))/365)))</f>
        <v/>
      </c>
      <c r="Q544" s="83" t="str">
        <f t="shared" si="215"/>
        <v/>
      </c>
      <c r="R544" s="38"/>
      <c r="S544" s="68" t="str">
        <f t="shared" si="216"/>
        <v/>
      </c>
      <c r="T544" s="69" t="str">
        <f t="shared" si="217"/>
        <v/>
      </c>
      <c r="U544" s="70" t="str">
        <f t="shared" si="218"/>
        <v/>
      </c>
      <c r="V544" s="72" t="str">
        <f t="shared" si="219"/>
        <v/>
      </c>
      <c r="W544" s="2" t="str">
        <f t="shared" si="206"/>
        <v/>
      </c>
      <c r="X544" s="2" t="str">
        <f t="shared" si="201"/>
        <v/>
      </c>
      <c r="Y544" s="35" t="str">
        <f t="shared" ca="1" si="220"/>
        <v/>
      </c>
      <c r="Z544" s="36" t="str">
        <f t="shared" ca="1" si="221"/>
        <v/>
      </c>
      <c r="AA544" s="70" t="str">
        <f t="shared" si="222"/>
        <v/>
      </c>
      <c r="AB544" s="2"/>
      <c r="AC544" s="94" t="str">
        <f t="shared" si="202"/>
        <v/>
      </c>
      <c r="AD544" s="95" t="str">
        <f t="shared" si="203"/>
        <v/>
      </c>
      <c r="AE544" s="96" t="str">
        <f t="shared" si="204"/>
        <v/>
      </c>
      <c r="AF544" s="124" t="str">
        <f t="shared" si="205"/>
        <v/>
      </c>
      <c r="AG544" s="2"/>
      <c r="AH544" s="2"/>
      <c r="AI544" s="2"/>
      <c r="AJ544" s="2"/>
      <c r="AK544" s="2"/>
      <c r="AL544" s="2"/>
    </row>
    <row r="545" spans="1:38" x14ac:dyDescent="0.2">
      <c r="A545" s="45"/>
      <c r="B545" s="43" t="str">
        <f t="shared" si="208"/>
        <v/>
      </c>
      <c r="C545" s="96" t="str">
        <f t="shared" si="207"/>
        <v/>
      </c>
      <c r="D545" s="44" t="str">
        <f t="shared" si="209"/>
        <v/>
      </c>
      <c r="E545" s="52"/>
      <c r="F545" s="63" t="str">
        <f t="shared" si="210"/>
        <v/>
      </c>
      <c r="G545" s="56" t="str">
        <f t="shared" si="211"/>
        <v/>
      </c>
      <c r="H545" s="42"/>
      <c r="I545" s="2" t="str">
        <f t="shared" si="212"/>
        <v/>
      </c>
      <c r="J545" s="54" t="str">
        <f t="shared" si="199"/>
        <v/>
      </c>
      <c r="K545" s="55" t="str">
        <f t="shared" si="213"/>
        <v/>
      </c>
      <c r="L545" s="63" t="str">
        <f t="shared" si="214"/>
        <v/>
      </c>
      <c r="M545" s="96" t="str">
        <f t="shared" si="200"/>
        <v/>
      </c>
      <c r="N545" s="96" t="str">
        <f>IF(A545="","",IF(A545=Expiry,0,EXP(-q*Q545)*_xlfn.NORM.S.DIST(Y545,0)/(sigma*SQRT(Q545))*I545*Mult/100))</f>
        <v/>
      </c>
      <c r="O545" s="96" t="str">
        <f>IF(A545="","",IF(A545=Expiry,0,D545*E545*E545*EXP(-q*Q545)*_xlfn.NORM.S.DIST(Y545,0)*SQRT(Q545)/100))</f>
        <v/>
      </c>
      <c r="P545" s="69" t="str">
        <f>IF(A545="","",IF(A545=Expiry,0,AK545*I545*Mult*((-EXP(-q*Q545)*E545*_xlfn.NORM.S.DIST(Y545,0)*sigma/(2*SQRT(Q545))-r_dom*K*EXP(-r_dom*Q545)*_xlfn.NORM.S.DIST(Z545,1)+q*E545*EXP(-q*Q545)*_xlfn.NORM.S.DIST(Y545,1))/365)))</f>
        <v/>
      </c>
      <c r="Q545" s="83" t="str">
        <f t="shared" si="215"/>
        <v/>
      </c>
      <c r="R545" s="38"/>
      <c r="S545" s="68" t="str">
        <f t="shared" si="216"/>
        <v/>
      </c>
      <c r="T545" s="69" t="str">
        <f t="shared" si="217"/>
        <v/>
      </c>
      <c r="U545" s="70" t="str">
        <f t="shared" si="218"/>
        <v/>
      </c>
      <c r="V545" s="72" t="str">
        <f t="shared" si="219"/>
        <v/>
      </c>
      <c r="W545" s="2" t="str">
        <f t="shared" si="206"/>
        <v/>
      </c>
      <c r="X545" s="2" t="str">
        <f t="shared" si="201"/>
        <v/>
      </c>
      <c r="Y545" s="35" t="str">
        <f t="shared" ca="1" si="220"/>
        <v/>
      </c>
      <c r="Z545" s="36" t="str">
        <f t="shared" ca="1" si="221"/>
        <v/>
      </c>
      <c r="AA545" s="70" t="str">
        <f t="shared" si="222"/>
        <v/>
      </c>
      <c r="AB545" s="2"/>
      <c r="AC545" s="94" t="str">
        <f t="shared" si="202"/>
        <v/>
      </c>
      <c r="AD545" s="95" t="str">
        <f t="shared" si="203"/>
        <v/>
      </c>
      <c r="AE545" s="96" t="str">
        <f t="shared" si="204"/>
        <v/>
      </c>
      <c r="AF545" s="124" t="str">
        <f t="shared" si="205"/>
        <v/>
      </c>
      <c r="AG545" s="2"/>
      <c r="AH545" s="2"/>
      <c r="AI545" s="2"/>
      <c r="AJ545" s="2"/>
      <c r="AK545" s="2"/>
      <c r="AL545" s="2"/>
    </row>
    <row r="546" spans="1:38" x14ac:dyDescent="0.2">
      <c r="A546" s="45"/>
      <c r="B546" s="43" t="str">
        <f t="shared" si="208"/>
        <v/>
      </c>
      <c r="C546" s="96" t="str">
        <f t="shared" si="207"/>
        <v/>
      </c>
      <c r="D546" s="44" t="str">
        <f t="shared" si="209"/>
        <v/>
      </c>
      <c r="E546" s="52"/>
      <c r="F546" s="63" t="str">
        <f t="shared" si="210"/>
        <v/>
      </c>
      <c r="G546" s="56" t="str">
        <f t="shared" si="211"/>
        <v/>
      </c>
      <c r="H546" s="42"/>
      <c r="I546" s="2" t="str">
        <f t="shared" si="212"/>
        <v/>
      </c>
      <c r="J546" s="54" t="str">
        <f t="shared" si="199"/>
        <v/>
      </c>
      <c r="K546" s="55" t="str">
        <f t="shared" si="213"/>
        <v/>
      </c>
      <c r="L546" s="63" t="str">
        <f t="shared" si="214"/>
        <v/>
      </c>
      <c r="M546" s="96" t="str">
        <f t="shared" si="200"/>
        <v/>
      </c>
      <c r="N546" s="96" t="str">
        <f>IF(A546="","",IF(A546=Expiry,0,EXP(-q*Q546)*_xlfn.NORM.S.DIST(Y546,0)/(sigma*SQRT(Q546))*I546*Mult/100))</f>
        <v/>
      </c>
      <c r="O546" s="96" t="str">
        <f>IF(A546="","",IF(A546=Expiry,0,D546*E546*E546*EXP(-q*Q546)*_xlfn.NORM.S.DIST(Y546,0)*SQRT(Q546)/100))</f>
        <v/>
      </c>
      <c r="P546" s="69" t="str">
        <f>IF(A546="","",IF(A546=Expiry,0,AK546*I546*Mult*((-EXP(-q*Q546)*E546*_xlfn.NORM.S.DIST(Y546,0)*sigma/(2*SQRT(Q546))-r_dom*K*EXP(-r_dom*Q546)*_xlfn.NORM.S.DIST(Z546,1)+q*E546*EXP(-q*Q546)*_xlfn.NORM.S.DIST(Y546,1))/365)))</f>
        <v/>
      </c>
      <c r="Q546" s="83" t="str">
        <f t="shared" si="215"/>
        <v/>
      </c>
      <c r="R546" s="38"/>
      <c r="S546" s="68" t="str">
        <f t="shared" si="216"/>
        <v/>
      </c>
      <c r="T546" s="69" t="str">
        <f t="shared" si="217"/>
        <v/>
      </c>
      <c r="U546" s="70" t="str">
        <f t="shared" si="218"/>
        <v/>
      </c>
      <c r="V546" s="72" t="str">
        <f t="shared" si="219"/>
        <v/>
      </c>
      <c r="W546" s="2" t="str">
        <f t="shared" si="206"/>
        <v/>
      </c>
      <c r="X546" s="2" t="str">
        <f t="shared" si="201"/>
        <v/>
      </c>
      <c r="Y546" s="35" t="str">
        <f t="shared" ca="1" si="220"/>
        <v/>
      </c>
      <c r="Z546" s="36" t="str">
        <f t="shared" ca="1" si="221"/>
        <v/>
      </c>
      <c r="AA546" s="70" t="str">
        <f t="shared" si="222"/>
        <v/>
      </c>
      <c r="AB546" s="2"/>
      <c r="AC546" s="94" t="str">
        <f t="shared" si="202"/>
        <v/>
      </c>
      <c r="AD546" s="95" t="str">
        <f t="shared" si="203"/>
        <v/>
      </c>
      <c r="AE546" s="96" t="str">
        <f t="shared" si="204"/>
        <v/>
      </c>
      <c r="AF546" s="124" t="str">
        <f t="shared" si="205"/>
        <v/>
      </c>
      <c r="AG546" s="2"/>
      <c r="AH546" s="2"/>
      <c r="AI546" s="2"/>
      <c r="AJ546" s="2"/>
      <c r="AK546" s="2"/>
      <c r="AL546" s="2"/>
    </row>
    <row r="547" spans="1:38" x14ac:dyDescent="0.2">
      <c r="A547" s="45"/>
      <c r="B547" s="43" t="str">
        <f t="shared" si="208"/>
        <v/>
      </c>
      <c r="C547" s="96" t="str">
        <f t="shared" si="207"/>
        <v/>
      </c>
      <c r="D547" s="44" t="str">
        <f t="shared" si="209"/>
        <v/>
      </c>
      <c r="E547" s="52"/>
      <c r="F547" s="63" t="str">
        <f t="shared" si="210"/>
        <v/>
      </c>
      <c r="G547" s="56" t="str">
        <f t="shared" si="211"/>
        <v/>
      </c>
      <c r="H547" s="42"/>
      <c r="I547" s="2" t="str">
        <f t="shared" si="212"/>
        <v/>
      </c>
      <c r="J547" s="54" t="str">
        <f t="shared" si="199"/>
        <v/>
      </c>
      <c r="K547" s="55" t="str">
        <f t="shared" si="213"/>
        <v/>
      </c>
      <c r="L547" s="63" t="str">
        <f t="shared" si="214"/>
        <v/>
      </c>
      <c r="M547" s="96" t="str">
        <f t="shared" si="200"/>
        <v/>
      </c>
      <c r="N547" s="96" t="str">
        <f>IF(A547="","",IF(A547=Expiry,0,EXP(-q*Q547)*_xlfn.NORM.S.DIST(Y547,0)/(sigma*SQRT(Q547))*I547*Mult/100))</f>
        <v/>
      </c>
      <c r="O547" s="96" t="str">
        <f>IF(A547="","",IF(A547=Expiry,0,D547*E547*E547*EXP(-q*Q547)*_xlfn.NORM.S.DIST(Y547,0)*SQRT(Q547)/100))</f>
        <v/>
      </c>
      <c r="P547" s="69" t="str">
        <f>IF(A547="","",IF(A547=Expiry,0,AK547*I547*Mult*((-EXP(-q*Q547)*E547*_xlfn.NORM.S.DIST(Y547,0)*sigma/(2*SQRT(Q547))-r_dom*K*EXP(-r_dom*Q547)*_xlfn.NORM.S.DIST(Z547,1)+q*E547*EXP(-q*Q547)*_xlfn.NORM.S.DIST(Y547,1))/365)))</f>
        <v/>
      </c>
      <c r="Q547" s="83" t="str">
        <f t="shared" si="215"/>
        <v/>
      </c>
      <c r="R547" s="38"/>
      <c r="S547" s="68" t="str">
        <f t="shared" si="216"/>
        <v/>
      </c>
      <c r="T547" s="69" t="str">
        <f t="shared" si="217"/>
        <v/>
      </c>
      <c r="U547" s="70" t="str">
        <f t="shared" si="218"/>
        <v/>
      </c>
      <c r="V547" s="72" t="str">
        <f t="shared" si="219"/>
        <v/>
      </c>
      <c r="W547" s="2" t="str">
        <f t="shared" si="206"/>
        <v/>
      </c>
      <c r="X547" s="2" t="str">
        <f t="shared" si="201"/>
        <v/>
      </c>
      <c r="Y547" s="35" t="str">
        <f t="shared" ca="1" si="220"/>
        <v/>
      </c>
      <c r="Z547" s="36" t="str">
        <f t="shared" ca="1" si="221"/>
        <v/>
      </c>
      <c r="AA547" s="70" t="str">
        <f t="shared" si="222"/>
        <v/>
      </c>
      <c r="AB547" s="2"/>
      <c r="AC547" s="94" t="str">
        <f t="shared" si="202"/>
        <v/>
      </c>
      <c r="AD547" s="95" t="str">
        <f t="shared" si="203"/>
        <v/>
      </c>
      <c r="AE547" s="96" t="str">
        <f t="shared" si="204"/>
        <v/>
      </c>
      <c r="AF547" s="124" t="str">
        <f t="shared" si="205"/>
        <v/>
      </c>
      <c r="AG547" s="2"/>
      <c r="AH547" s="2"/>
      <c r="AI547" s="2"/>
      <c r="AJ547" s="2"/>
      <c r="AK547" s="2"/>
      <c r="AL547" s="2"/>
    </row>
    <row r="548" spans="1:38" x14ac:dyDescent="0.2">
      <c r="A548" s="45"/>
      <c r="B548" s="43" t="str">
        <f t="shared" si="208"/>
        <v/>
      </c>
      <c r="C548" s="96" t="str">
        <f t="shared" si="207"/>
        <v/>
      </c>
      <c r="D548" s="44" t="str">
        <f t="shared" si="209"/>
        <v/>
      </c>
      <c r="E548" s="52"/>
      <c r="F548" s="63" t="str">
        <f t="shared" si="210"/>
        <v/>
      </c>
      <c r="G548" s="56" t="str">
        <f t="shared" si="211"/>
        <v/>
      </c>
      <c r="H548" s="42"/>
      <c r="I548" s="2" t="str">
        <f t="shared" si="212"/>
        <v/>
      </c>
      <c r="J548" s="54" t="str">
        <f t="shared" ref="J548:J611" si="223">IF(CorP="C",AC548,AD548)</f>
        <v/>
      </c>
      <c r="K548" s="55" t="str">
        <f t="shared" si="213"/>
        <v/>
      </c>
      <c r="L548" s="63" t="str">
        <f t="shared" si="214"/>
        <v/>
      </c>
      <c r="M548" s="96" t="str">
        <f t="shared" ref="M548:M611" si="224">IF(CorP="C",AE548,AF548)</f>
        <v/>
      </c>
      <c r="N548" s="96" t="str">
        <f>IF(A548="","",IF(A548=Expiry,0,EXP(-q*Q548)*_xlfn.NORM.S.DIST(Y548,0)/(sigma*SQRT(Q548))*I548*Mult/100))</f>
        <v/>
      </c>
      <c r="O548" s="96" t="str">
        <f>IF(A548="","",IF(A548=Expiry,0,D548*E548*E548*EXP(-q*Q548)*_xlfn.NORM.S.DIST(Y548,0)*SQRT(Q548)/100))</f>
        <v/>
      </c>
      <c r="P548" s="69" t="str">
        <f>IF(A548="","",IF(A548=Expiry,0,AK548*I548*Mult*((-EXP(-q*Q548)*E548*_xlfn.NORM.S.DIST(Y548,0)*sigma/(2*SQRT(Q548))-r_dom*K*EXP(-r_dom*Q548)*_xlfn.NORM.S.DIST(Z548,1)+q*E548*EXP(-q*Q548)*_xlfn.NORM.S.DIST(Y548,1))/365)))</f>
        <v/>
      </c>
      <c r="Q548" s="83" t="str">
        <f t="shared" si="215"/>
        <v/>
      </c>
      <c r="R548" s="38"/>
      <c r="S548" s="68" t="str">
        <f t="shared" si="216"/>
        <v/>
      </c>
      <c r="T548" s="69" t="str">
        <f t="shared" si="217"/>
        <v/>
      </c>
      <c r="U548" s="70" t="str">
        <f t="shared" si="218"/>
        <v/>
      </c>
      <c r="V548" s="72" t="str">
        <f t="shared" si="219"/>
        <v/>
      </c>
      <c r="W548" s="2" t="str">
        <f t="shared" si="206"/>
        <v/>
      </c>
      <c r="X548" s="2" t="str">
        <f t="shared" ref="X548:X611" si="225">IF(A548="","",K)</f>
        <v/>
      </c>
      <c r="Y548" s="35" t="str">
        <f t="shared" ca="1" si="220"/>
        <v/>
      </c>
      <c r="Z548" s="36" t="str">
        <f t="shared" ca="1" si="221"/>
        <v/>
      </c>
      <c r="AA548" s="70" t="str">
        <f t="shared" si="222"/>
        <v/>
      </c>
      <c r="AB548" s="2"/>
      <c r="AC548" s="94" t="str">
        <f t="shared" ref="AC548:AC611" si="226">IF(A548="","",IF(A548=Expiry,MAX(E548-K,0),E548*EXP(-q*Q548)*_xlfn.NORM.S.DIST(Y548,1)-K*EXP(-r_dom*Q548)*_xlfn.NORM.S.DIST(Z548,1)))</f>
        <v/>
      </c>
      <c r="AD548" s="95" t="str">
        <f t="shared" ref="AD548:AD611" si="227">IF(A548="","",IF(A548=Expiry,MAX(K-E548,0),K*EXP(-r_dom*Q548)*_xlfn.NORM.S.DIST(-Z548,1)-E548*EXP(-q*Q548)*_xlfn.NORM.S.DIST(-Y548,1)))</f>
        <v/>
      </c>
      <c r="AE548" s="96" t="str">
        <f t="shared" ref="AE548:AE611" si="228">IF(A548="","",I548*Mult*IF(A548=Expiry,IF(E548&gt;K,1,0),EXP(-q*Q548)*_xlfn.NORM.S.DIST(Y548,1)))</f>
        <v/>
      </c>
      <c r="AF548" s="124" t="str">
        <f t="shared" ref="AF548:AF611" si="229">IF(A548="","",I548*Mult*IF(A548=Expiry,IF(E548&lt;K,-1,0),-EXP(-q*Q548)*_xlfn.NORM.S.DIST(-Y548,1)))</f>
        <v/>
      </c>
      <c r="AG548" s="2"/>
      <c r="AH548" s="2"/>
      <c r="AI548" s="2"/>
      <c r="AJ548" s="2"/>
      <c r="AK548" s="2"/>
      <c r="AL548" s="2"/>
    </row>
    <row r="549" spans="1:38" x14ac:dyDescent="0.2">
      <c r="A549" s="45"/>
      <c r="B549" s="43" t="str">
        <f t="shared" si="208"/>
        <v/>
      </c>
      <c r="C549" s="96" t="str">
        <f t="shared" si="207"/>
        <v/>
      </c>
      <c r="D549" s="44" t="str">
        <f t="shared" si="209"/>
        <v/>
      </c>
      <c r="E549" s="52"/>
      <c r="F549" s="63" t="str">
        <f t="shared" si="210"/>
        <v/>
      </c>
      <c r="G549" s="56" t="str">
        <f t="shared" si="211"/>
        <v/>
      </c>
      <c r="H549" s="42"/>
      <c r="I549" s="2" t="str">
        <f t="shared" si="212"/>
        <v/>
      </c>
      <c r="J549" s="54" t="str">
        <f t="shared" si="223"/>
        <v/>
      </c>
      <c r="K549" s="55" t="str">
        <f t="shared" si="213"/>
        <v/>
      </c>
      <c r="L549" s="63" t="str">
        <f t="shared" si="214"/>
        <v/>
      </c>
      <c r="M549" s="96" t="str">
        <f t="shared" si="224"/>
        <v/>
      </c>
      <c r="N549" s="96" t="str">
        <f>IF(A549="","",IF(A549=Expiry,0,EXP(-q*Q549)*_xlfn.NORM.S.DIST(Y549,0)/(sigma*SQRT(Q549))*I549*Mult/100))</f>
        <v/>
      </c>
      <c r="O549" s="96" t="str">
        <f>IF(A549="","",IF(A549=Expiry,0,D549*E549*E549*EXP(-q*Q549)*_xlfn.NORM.S.DIST(Y549,0)*SQRT(Q549)/100))</f>
        <v/>
      </c>
      <c r="P549" s="69" t="str">
        <f>IF(A549="","",IF(A549=Expiry,0,AK549*I549*Mult*((-EXP(-q*Q549)*E549*_xlfn.NORM.S.DIST(Y549,0)*sigma/(2*SQRT(Q549))-r_dom*K*EXP(-r_dom*Q549)*_xlfn.NORM.S.DIST(Z549,1)+q*E549*EXP(-q*Q549)*_xlfn.NORM.S.DIST(Y549,1))/365)))</f>
        <v/>
      </c>
      <c r="Q549" s="83" t="str">
        <f t="shared" si="215"/>
        <v/>
      </c>
      <c r="R549" s="38"/>
      <c r="S549" s="68" t="str">
        <f t="shared" si="216"/>
        <v/>
      </c>
      <c r="T549" s="69" t="str">
        <f t="shared" si="217"/>
        <v/>
      </c>
      <c r="U549" s="70" t="str">
        <f t="shared" si="218"/>
        <v/>
      </c>
      <c r="V549" s="72" t="str">
        <f t="shared" si="219"/>
        <v/>
      </c>
      <c r="W549" s="2" t="str">
        <f t="shared" ref="W549:W612" si="230">IF(A549="","",100)</f>
        <v/>
      </c>
      <c r="X549" s="2" t="str">
        <f t="shared" si="225"/>
        <v/>
      </c>
      <c r="Y549" s="35" t="str">
        <f t="shared" ca="1" si="220"/>
        <v/>
      </c>
      <c r="Z549" s="36" t="str">
        <f t="shared" ca="1" si="221"/>
        <v/>
      </c>
      <c r="AA549" s="70" t="str">
        <f t="shared" si="222"/>
        <v/>
      </c>
      <c r="AB549" s="2"/>
      <c r="AC549" s="94" t="str">
        <f t="shared" si="226"/>
        <v/>
      </c>
      <c r="AD549" s="95" t="str">
        <f t="shared" si="227"/>
        <v/>
      </c>
      <c r="AE549" s="96" t="str">
        <f t="shared" si="228"/>
        <v/>
      </c>
      <c r="AF549" s="124" t="str">
        <f t="shared" si="229"/>
        <v/>
      </c>
      <c r="AG549" s="2"/>
      <c r="AH549" s="2"/>
      <c r="AI549" s="2"/>
      <c r="AJ549" s="2"/>
      <c r="AK549" s="2"/>
      <c r="AL549" s="2"/>
    </row>
    <row r="550" spans="1:38" x14ac:dyDescent="0.2">
      <c r="A550" s="45"/>
      <c r="B550" s="43" t="str">
        <f t="shared" si="208"/>
        <v/>
      </c>
      <c r="C550" s="96" t="str">
        <f t="shared" ref="C550:C613" si="231">IF(A550="","",C549+B550)</f>
        <v/>
      </c>
      <c r="D550" s="44" t="str">
        <f t="shared" si="209"/>
        <v/>
      </c>
      <c r="E550" s="52"/>
      <c r="F550" s="63" t="str">
        <f t="shared" si="210"/>
        <v/>
      </c>
      <c r="G550" s="56" t="str">
        <f t="shared" si="211"/>
        <v/>
      </c>
      <c r="H550" s="42"/>
      <c r="I550" s="2" t="str">
        <f t="shared" si="212"/>
        <v/>
      </c>
      <c r="J550" s="54" t="str">
        <f t="shared" si="223"/>
        <v/>
      </c>
      <c r="K550" s="55" t="str">
        <f t="shared" si="213"/>
        <v/>
      </c>
      <c r="L550" s="63" t="str">
        <f t="shared" si="214"/>
        <v/>
      </c>
      <c r="M550" s="96" t="str">
        <f t="shared" si="224"/>
        <v/>
      </c>
      <c r="N550" s="96" t="str">
        <f>IF(A550="","",IF(A550=Expiry,0,EXP(-q*Q550)*_xlfn.NORM.S.DIST(Y550,0)/(sigma*SQRT(Q550))*I550*Mult/100))</f>
        <v/>
      </c>
      <c r="O550" s="96" t="str">
        <f>IF(A550="","",IF(A550=Expiry,0,D550*E550*E550*EXP(-q*Q550)*_xlfn.NORM.S.DIST(Y550,0)*SQRT(Q550)/100))</f>
        <v/>
      </c>
      <c r="P550" s="69" t="str">
        <f>IF(A550="","",IF(A550=Expiry,0,AK550*I550*Mult*((-EXP(-q*Q550)*E550*_xlfn.NORM.S.DIST(Y550,0)*sigma/(2*SQRT(Q550))-r_dom*K*EXP(-r_dom*Q550)*_xlfn.NORM.S.DIST(Z550,1)+q*E550*EXP(-q*Q550)*_xlfn.NORM.S.DIST(Y550,1))/365)))</f>
        <v/>
      </c>
      <c r="Q550" s="83" t="str">
        <f t="shared" si="215"/>
        <v/>
      </c>
      <c r="R550" s="38"/>
      <c r="S550" s="68" t="str">
        <f t="shared" si="216"/>
        <v/>
      </c>
      <c r="T550" s="69" t="str">
        <f t="shared" si="217"/>
        <v/>
      </c>
      <c r="U550" s="70" t="str">
        <f t="shared" si="218"/>
        <v/>
      </c>
      <c r="V550" s="72" t="str">
        <f t="shared" si="219"/>
        <v/>
      </c>
      <c r="W550" s="2" t="str">
        <f t="shared" si="230"/>
        <v/>
      </c>
      <c r="X550" s="2" t="str">
        <f t="shared" si="225"/>
        <v/>
      </c>
      <c r="Y550" s="35" t="str">
        <f t="shared" ca="1" si="220"/>
        <v/>
      </c>
      <c r="Z550" s="36" t="str">
        <f t="shared" ca="1" si="221"/>
        <v/>
      </c>
      <c r="AA550" s="70" t="str">
        <f t="shared" si="222"/>
        <v/>
      </c>
      <c r="AB550" s="2"/>
      <c r="AC550" s="94" t="str">
        <f t="shared" si="226"/>
        <v/>
      </c>
      <c r="AD550" s="95" t="str">
        <f t="shared" si="227"/>
        <v/>
      </c>
      <c r="AE550" s="96" t="str">
        <f t="shared" si="228"/>
        <v/>
      </c>
      <c r="AF550" s="124" t="str">
        <f t="shared" si="229"/>
        <v/>
      </c>
      <c r="AG550" s="2"/>
      <c r="AH550" s="2"/>
      <c r="AI550" s="2"/>
      <c r="AJ550" s="2"/>
      <c r="AK550" s="2"/>
      <c r="AL550" s="2"/>
    </row>
    <row r="551" spans="1:38" x14ac:dyDescent="0.2">
      <c r="A551" s="45"/>
      <c r="B551" s="43" t="str">
        <f t="shared" si="208"/>
        <v/>
      </c>
      <c r="C551" s="96" t="str">
        <f t="shared" si="231"/>
        <v/>
      </c>
      <c r="D551" s="44" t="str">
        <f t="shared" si="209"/>
        <v/>
      </c>
      <c r="E551" s="52"/>
      <c r="F551" s="63" t="str">
        <f t="shared" si="210"/>
        <v/>
      </c>
      <c r="G551" s="56" t="str">
        <f t="shared" si="211"/>
        <v/>
      </c>
      <c r="H551" s="42"/>
      <c r="I551" s="2" t="str">
        <f t="shared" si="212"/>
        <v/>
      </c>
      <c r="J551" s="54" t="str">
        <f t="shared" si="223"/>
        <v/>
      </c>
      <c r="K551" s="55" t="str">
        <f t="shared" si="213"/>
        <v/>
      </c>
      <c r="L551" s="63" t="str">
        <f t="shared" si="214"/>
        <v/>
      </c>
      <c r="M551" s="96" t="str">
        <f t="shared" si="224"/>
        <v/>
      </c>
      <c r="N551" s="96" t="str">
        <f>IF(A551="","",IF(A551=Expiry,0,EXP(-q*Q551)*_xlfn.NORM.S.DIST(Y551,0)/(sigma*SQRT(Q551))*I551*Mult/100))</f>
        <v/>
      </c>
      <c r="O551" s="96" t="str">
        <f>IF(A551="","",IF(A551=Expiry,0,D551*E551*E551*EXP(-q*Q551)*_xlfn.NORM.S.DIST(Y551,0)*SQRT(Q551)/100))</f>
        <v/>
      </c>
      <c r="P551" s="69" t="str">
        <f>IF(A551="","",IF(A551=Expiry,0,AK551*I551*Mult*((-EXP(-q*Q551)*E551*_xlfn.NORM.S.DIST(Y551,0)*sigma/(2*SQRT(Q551))-r_dom*K*EXP(-r_dom*Q551)*_xlfn.NORM.S.DIST(Z551,1)+q*E551*EXP(-q*Q551)*_xlfn.NORM.S.DIST(Y551,1))/365)))</f>
        <v/>
      </c>
      <c r="Q551" s="83" t="str">
        <f t="shared" si="215"/>
        <v/>
      </c>
      <c r="R551" s="38"/>
      <c r="S551" s="68" t="str">
        <f t="shared" si="216"/>
        <v/>
      </c>
      <c r="T551" s="69" t="str">
        <f t="shared" si="217"/>
        <v/>
      </c>
      <c r="U551" s="70" t="str">
        <f t="shared" si="218"/>
        <v/>
      </c>
      <c r="V551" s="72" t="str">
        <f t="shared" si="219"/>
        <v/>
      </c>
      <c r="W551" s="2" t="str">
        <f t="shared" si="230"/>
        <v/>
      </c>
      <c r="X551" s="2" t="str">
        <f t="shared" si="225"/>
        <v/>
      </c>
      <c r="Y551" s="35" t="str">
        <f t="shared" ca="1" si="220"/>
        <v/>
      </c>
      <c r="Z551" s="36" t="str">
        <f t="shared" ca="1" si="221"/>
        <v/>
      </c>
      <c r="AA551" s="70" t="str">
        <f t="shared" si="222"/>
        <v/>
      </c>
      <c r="AB551" s="2"/>
      <c r="AC551" s="94" t="str">
        <f t="shared" si="226"/>
        <v/>
      </c>
      <c r="AD551" s="95" t="str">
        <f t="shared" si="227"/>
        <v/>
      </c>
      <c r="AE551" s="96" t="str">
        <f t="shared" si="228"/>
        <v/>
      </c>
      <c r="AF551" s="124" t="str">
        <f t="shared" si="229"/>
        <v/>
      </c>
      <c r="AG551" s="2"/>
      <c r="AH551" s="2"/>
      <c r="AI551" s="2"/>
      <c r="AJ551" s="2"/>
      <c r="AK551" s="2"/>
      <c r="AL551" s="2"/>
    </row>
    <row r="552" spans="1:38" x14ac:dyDescent="0.2">
      <c r="A552" s="45"/>
      <c r="B552" s="43" t="str">
        <f t="shared" si="208"/>
        <v/>
      </c>
      <c r="C552" s="96" t="str">
        <f t="shared" si="231"/>
        <v/>
      </c>
      <c r="D552" s="44" t="str">
        <f t="shared" si="209"/>
        <v/>
      </c>
      <c r="E552" s="52"/>
      <c r="F552" s="63" t="str">
        <f t="shared" si="210"/>
        <v/>
      </c>
      <c r="G552" s="56" t="str">
        <f t="shared" si="211"/>
        <v/>
      </c>
      <c r="H552" s="42"/>
      <c r="I552" s="2" t="str">
        <f t="shared" si="212"/>
        <v/>
      </c>
      <c r="J552" s="54" t="str">
        <f t="shared" si="223"/>
        <v/>
      </c>
      <c r="K552" s="55" t="str">
        <f t="shared" si="213"/>
        <v/>
      </c>
      <c r="L552" s="63" t="str">
        <f t="shared" si="214"/>
        <v/>
      </c>
      <c r="M552" s="96" t="str">
        <f t="shared" si="224"/>
        <v/>
      </c>
      <c r="N552" s="96" t="str">
        <f>IF(A552="","",IF(A552=Expiry,0,EXP(-q*Q552)*_xlfn.NORM.S.DIST(Y552,0)/(sigma*SQRT(Q552))*I552*Mult/100))</f>
        <v/>
      </c>
      <c r="O552" s="96" t="str">
        <f>IF(A552="","",IF(A552=Expiry,0,D552*E552*E552*EXP(-q*Q552)*_xlfn.NORM.S.DIST(Y552,0)*SQRT(Q552)/100))</f>
        <v/>
      </c>
      <c r="P552" s="69" t="str">
        <f>IF(A552="","",IF(A552=Expiry,0,AK552*I552*Mult*((-EXP(-q*Q552)*E552*_xlfn.NORM.S.DIST(Y552,0)*sigma/(2*SQRT(Q552))-r_dom*K*EXP(-r_dom*Q552)*_xlfn.NORM.S.DIST(Z552,1)+q*E552*EXP(-q*Q552)*_xlfn.NORM.S.DIST(Y552,1))/365)))</f>
        <v/>
      </c>
      <c r="Q552" s="83" t="str">
        <f t="shared" si="215"/>
        <v/>
      </c>
      <c r="R552" s="38"/>
      <c r="S552" s="68" t="str">
        <f t="shared" si="216"/>
        <v/>
      </c>
      <c r="T552" s="69" t="str">
        <f t="shared" si="217"/>
        <v/>
      </c>
      <c r="U552" s="70" t="str">
        <f t="shared" si="218"/>
        <v/>
      </c>
      <c r="V552" s="72" t="str">
        <f t="shared" si="219"/>
        <v/>
      </c>
      <c r="W552" s="2" t="str">
        <f t="shared" si="230"/>
        <v/>
      </c>
      <c r="X552" s="2" t="str">
        <f t="shared" si="225"/>
        <v/>
      </c>
      <c r="Y552" s="35" t="str">
        <f t="shared" ca="1" si="220"/>
        <v/>
      </c>
      <c r="Z552" s="36" t="str">
        <f t="shared" ca="1" si="221"/>
        <v/>
      </c>
      <c r="AA552" s="70" t="str">
        <f t="shared" si="222"/>
        <v/>
      </c>
      <c r="AB552" s="2"/>
      <c r="AC552" s="94" t="str">
        <f t="shared" si="226"/>
        <v/>
      </c>
      <c r="AD552" s="95" t="str">
        <f t="shared" si="227"/>
        <v/>
      </c>
      <c r="AE552" s="96" t="str">
        <f t="shared" si="228"/>
        <v/>
      </c>
      <c r="AF552" s="124" t="str">
        <f t="shared" si="229"/>
        <v/>
      </c>
      <c r="AG552" s="2"/>
      <c r="AH552" s="2"/>
      <c r="AI552" s="2"/>
      <c r="AJ552" s="2"/>
      <c r="AK552" s="2"/>
      <c r="AL552" s="2"/>
    </row>
    <row r="553" spans="1:38" x14ac:dyDescent="0.2">
      <c r="A553" s="45"/>
      <c r="B553" s="43" t="str">
        <f t="shared" si="208"/>
        <v/>
      </c>
      <c r="C553" s="96" t="str">
        <f t="shared" si="231"/>
        <v/>
      </c>
      <c r="D553" s="44" t="str">
        <f t="shared" si="209"/>
        <v/>
      </c>
      <c r="E553" s="52"/>
      <c r="F553" s="63" t="str">
        <f t="shared" si="210"/>
        <v/>
      </c>
      <c r="G553" s="56" t="str">
        <f t="shared" si="211"/>
        <v/>
      </c>
      <c r="H553" s="42"/>
      <c r="I553" s="2" t="str">
        <f t="shared" si="212"/>
        <v/>
      </c>
      <c r="J553" s="54" t="str">
        <f t="shared" si="223"/>
        <v/>
      </c>
      <c r="K553" s="55" t="str">
        <f t="shared" si="213"/>
        <v/>
      </c>
      <c r="L553" s="63" t="str">
        <f t="shared" si="214"/>
        <v/>
      </c>
      <c r="M553" s="96" t="str">
        <f t="shared" si="224"/>
        <v/>
      </c>
      <c r="N553" s="96" t="str">
        <f>IF(A553="","",IF(A553=Expiry,0,EXP(-q*Q553)*_xlfn.NORM.S.DIST(Y553,0)/(sigma*SQRT(Q553))*I553*Mult/100))</f>
        <v/>
      </c>
      <c r="O553" s="96" t="str">
        <f>IF(A553="","",IF(A553=Expiry,0,D553*E553*E553*EXP(-q*Q553)*_xlfn.NORM.S.DIST(Y553,0)*SQRT(Q553)/100))</f>
        <v/>
      </c>
      <c r="P553" s="69" t="str">
        <f>IF(A553="","",IF(A553=Expiry,0,AK553*I553*Mult*((-EXP(-q*Q553)*E553*_xlfn.NORM.S.DIST(Y553,0)*sigma/(2*SQRT(Q553))-r_dom*K*EXP(-r_dom*Q553)*_xlfn.NORM.S.DIST(Z553,1)+q*E553*EXP(-q*Q553)*_xlfn.NORM.S.DIST(Y553,1))/365)))</f>
        <v/>
      </c>
      <c r="Q553" s="83" t="str">
        <f t="shared" si="215"/>
        <v/>
      </c>
      <c r="R553" s="38"/>
      <c r="S553" s="68" t="str">
        <f t="shared" si="216"/>
        <v/>
      </c>
      <c r="T553" s="69" t="str">
        <f t="shared" si="217"/>
        <v/>
      </c>
      <c r="U553" s="70" t="str">
        <f t="shared" si="218"/>
        <v/>
      </c>
      <c r="V553" s="72" t="str">
        <f t="shared" si="219"/>
        <v/>
      </c>
      <c r="W553" s="2" t="str">
        <f t="shared" si="230"/>
        <v/>
      </c>
      <c r="X553" s="2" t="str">
        <f t="shared" si="225"/>
        <v/>
      </c>
      <c r="Y553" s="35" t="str">
        <f t="shared" ca="1" si="220"/>
        <v/>
      </c>
      <c r="Z553" s="36" t="str">
        <f t="shared" ca="1" si="221"/>
        <v/>
      </c>
      <c r="AA553" s="70" t="str">
        <f t="shared" si="222"/>
        <v/>
      </c>
      <c r="AB553" s="2"/>
      <c r="AC553" s="94" t="str">
        <f t="shared" si="226"/>
        <v/>
      </c>
      <c r="AD553" s="95" t="str">
        <f t="shared" si="227"/>
        <v/>
      </c>
      <c r="AE553" s="96" t="str">
        <f t="shared" si="228"/>
        <v/>
      </c>
      <c r="AF553" s="124" t="str">
        <f t="shared" si="229"/>
        <v/>
      </c>
      <c r="AG553" s="2"/>
      <c r="AH553" s="2"/>
      <c r="AI553" s="2"/>
      <c r="AJ553" s="2"/>
      <c r="AK553" s="2"/>
      <c r="AL553" s="2"/>
    </row>
    <row r="554" spans="1:38" x14ac:dyDescent="0.2">
      <c r="A554" s="45"/>
      <c r="B554" s="43" t="str">
        <f t="shared" si="208"/>
        <v/>
      </c>
      <c r="C554" s="96" t="str">
        <f t="shared" si="231"/>
        <v/>
      </c>
      <c r="D554" s="44" t="str">
        <f t="shared" si="209"/>
        <v/>
      </c>
      <c r="E554" s="52"/>
      <c r="F554" s="63" t="str">
        <f t="shared" si="210"/>
        <v/>
      </c>
      <c r="G554" s="56" t="str">
        <f t="shared" si="211"/>
        <v/>
      </c>
      <c r="H554" s="42"/>
      <c r="I554" s="2" t="str">
        <f t="shared" si="212"/>
        <v/>
      </c>
      <c r="J554" s="54" t="str">
        <f t="shared" si="223"/>
        <v/>
      </c>
      <c r="K554" s="55" t="str">
        <f t="shared" si="213"/>
        <v/>
      </c>
      <c r="L554" s="63" t="str">
        <f t="shared" si="214"/>
        <v/>
      </c>
      <c r="M554" s="96" t="str">
        <f t="shared" si="224"/>
        <v/>
      </c>
      <c r="N554" s="96" t="str">
        <f>IF(A554="","",IF(A554=Expiry,0,EXP(-q*Q554)*_xlfn.NORM.S.DIST(Y554,0)/(sigma*SQRT(Q554))*I554*Mult/100))</f>
        <v/>
      </c>
      <c r="O554" s="96" t="str">
        <f>IF(A554="","",IF(A554=Expiry,0,D554*E554*E554*EXP(-q*Q554)*_xlfn.NORM.S.DIST(Y554,0)*SQRT(Q554)/100))</f>
        <v/>
      </c>
      <c r="P554" s="69" t="str">
        <f>IF(A554="","",IF(A554=Expiry,0,AK554*I554*Mult*((-EXP(-q*Q554)*E554*_xlfn.NORM.S.DIST(Y554,0)*sigma/(2*SQRT(Q554))-r_dom*K*EXP(-r_dom*Q554)*_xlfn.NORM.S.DIST(Z554,1)+q*E554*EXP(-q*Q554)*_xlfn.NORM.S.DIST(Y554,1))/365)))</f>
        <v/>
      </c>
      <c r="Q554" s="83" t="str">
        <f t="shared" si="215"/>
        <v/>
      </c>
      <c r="R554" s="38"/>
      <c r="S554" s="68" t="str">
        <f t="shared" si="216"/>
        <v/>
      </c>
      <c r="T554" s="69" t="str">
        <f t="shared" si="217"/>
        <v/>
      </c>
      <c r="U554" s="70" t="str">
        <f t="shared" si="218"/>
        <v/>
      </c>
      <c r="V554" s="72" t="str">
        <f t="shared" si="219"/>
        <v/>
      </c>
      <c r="W554" s="2" t="str">
        <f t="shared" si="230"/>
        <v/>
      </c>
      <c r="X554" s="2" t="str">
        <f t="shared" si="225"/>
        <v/>
      </c>
      <c r="Y554" s="35" t="str">
        <f t="shared" ca="1" si="220"/>
        <v/>
      </c>
      <c r="Z554" s="36" t="str">
        <f t="shared" ca="1" si="221"/>
        <v/>
      </c>
      <c r="AA554" s="70" t="str">
        <f t="shared" si="222"/>
        <v/>
      </c>
      <c r="AB554" s="2"/>
      <c r="AC554" s="94" t="str">
        <f t="shared" si="226"/>
        <v/>
      </c>
      <c r="AD554" s="95" t="str">
        <f t="shared" si="227"/>
        <v/>
      </c>
      <c r="AE554" s="96" t="str">
        <f t="shared" si="228"/>
        <v/>
      </c>
      <c r="AF554" s="124" t="str">
        <f t="shared" si="229"/>
        <v/>
      </c>
      <c r="AG554" s="2"/>
      <c r="AH554" s="2"/>
      <c r="AI554" s="2"/>
      <c r="AJ554" s="2"/>
      <c r="AK554" s="2"/>
      <c r="AL554" s="2"/>
    </row>
    <row r="555" spans="1:38" x14ac:dyDescent="0.2">
      <c r="A555" s="45"/>
      <c r="B555" s="43" t="str">
        <f t="shared" si="208"/>
        <v/>
      </c>
      <c r="C555" s="96" t="str">
        <f t="shared" si="231"/>
        <v/>
      </c>
      <c r="D555" s="44" t="str">
        <f t="shared" si="209"/>
        <v/>
      </c>
      <c r="E555" s="52"/>
      <c r="F555" s="63" t="str">
        <f t="shared" si="210"/>
        <v/>
      </c>
      <c r="G555" s="56" t="str">
        <f t="shared" si="211"/>
        <v/>
      </c>
      <c r="H555" s="42"/>
      <c r="I555" s="2" t="str">
        <f t="shared" si="212"/>
        <v/>
      </c>
      <c r="J555" s="54" t="str">
        <f t="shared" si="223"/>
        <v/>
      </c>
      <c r="K555" s="55" t="str">
        <f t="shared" si="213"/>
        <v/>
      </c>
      <c r="L555" s="63" t="str">
        <f t="shared" si="214"/>
        <v/>
      </c>
      <c r="M555" s="96" t="str">
        <f t="shared" si="224"/>
        <v/>
      </c>
      <c r="N555" s="96" t="str">
        <f>IF(A555="","",IF(A555=Expiry,0,EXP(-q*Q555)*_xlfn.NORM.S.DIST(Y555,0)/(sigma*SQRT(Q555))*I555*Mult/100))</f>
        <v/>
      </c>
      <c r="O555" s="96" t="str">
        <f>IF(A555="","",IF(A555=Expiry,0,D555*E555*E555*EXP(-q*Q555)*_xlfn.NORM.S.DIST(Y555,0)*SQRT(Q555)/100))</f>
        <v/>
      </c>
      <c r="P555" s="69" t="str">
        <f>IF(A555="","",IF(A555=Expiry,0,AK555*I555*Mult*((-EXP(-q*Q555)*E555*_xlfn.NORM.S.DIST(Y555,0)*sigma/(2*SQRT(Q555))-r_dom*K*EXP(-r_dom*Q555)*_xlfn.NORM.S.DIST(Z555,1)+q*E555*EXP(-q*Q555)*_xlfn.NORM.S.DIST(Y555,1))/365)))</f>
        <v/>
      </c>
      <c r="Q555" s="83" t="str">
        <f t="shared" si="215"/>
        <v/>
      </c>
      <c r="R555" s="38"/>
      <c r="S555" s="68" t="str">
        <f t="shared" si="216"/>
        <v/>
      </c>
      <c r="T555" s="69" t="str">
        <f t="shared" si="217"/>
        <v/>
      </c>
      <c r="U555" s="70" t="str">
        <f t="shared" si="218"/>
        <v/>
      </c>
      <c r="V555" s="72" t="str">
        <f t="shared" si="219"/>
        <v/>
      </c>
      <c r="W555" s="2" t="str">
        <f t="shared" si="230"/>
        <v/>
      </c>
      <c r="X555" s="2" t="str">
        <f t="shared" si="225"/>
        <v/>
      </c>
      <c r="Y555" s="35" t="str">
        <f t="shared" ca="1" si="220"/>
        <v/>
      </c>
      <c r="Z555" s="36" t="str">
        <f t="shared" ca="1" si="221"/>
        <v/>
      </c>
      <c r="AA555" s="70" t="str">
        <f t="shared" si="222"/>
        <v/>
      </c>
      <c r="AB555" s="2"/>
      <c r="AC555" s="94" t="str">
        <f t="shared" si="226"/>
        <v/>
      </c>
      <c r="AD555" s="95" t="str">
        <f t="shared" si="227"/>
        <v/>
      </c>
      <c r="AE555" s="96" t="str">
        <f t="shared" si="228"/>
        <v/>
      </c>
      <c r="AF555" s="124" t="str">
        <f t="shared" si="229"/>
        <v/>
      </c>
      <c r="AG555" s="2"/>
      <c r="AH555" s="2"/>
      <c r="AI555" s="2"/>
      <c r="AJ555" s="2"/>
      <c r="AK555" s="2"/>
      <c r="AL555" s="2"/>
    </row>
    <row r="556" spans="1:38" x14ac:dyDescent="0.2">
      <c r="A556" s="45"/>
      <c r="B556" s="43" t="str">
        <f t="shared" si="208"/>
        <v/>
      </c>
      <c r="C556" s="96" t="str">
        <f t="shared" si="231"/>
        <v/>
      </c>
      <c r="D556" s="44" t="str">
        <f t="shared" si="209"/>
        <v/>
      </c>
      <c r="E556" s="52"/>
      <c r="F556" s="63" t="str">
        <f t="shared" si="210"/>
        <v/>
      </c>
      <c r="G556" s="56" t="str">
        <f t="shared" si="211"/>
        <v/>
      </c>
      <c r="H556" s="42"/>
      <c r="I556" s="2" t="str">
        <f t="shared" si="212"/>
        <v/>
      </c>
      <c r="J556" s="54" t="str">
        <f t="shared" si="223"/>
        <v/>
      </c>
      <c r="K556" s="55" t="str">
        <f t="shared" si="213"/>
        <v/>
      </c>
      <c r="L556" s="63" t="str">
        <f t="shared" si="214"/>
        <v/>
      </c>
      <c r="M556" s="96" t="str">
        <f t="shared" si="224"/>
        <v/>
      </c>
      <c r="N556" s="96" t="str">
        <f>IF(A556="","",IF(A556=Expiry,0,EXP(-q*Q556)*_xlfn.NORM.S.DIST(Y556,0)/(sigma*SQRT(Q556))*I556*Mult/100))</f>
        <v/>
      </c>
      <c r="O556" s="96" t="str">
        <f>IF(A556="","",IF(A556=Expiry,0,D556*E556*E556*EXP(-q*Q556)*_xlfn.NORM.S.DIST(Y556,0)*SQRT(Q556)/100))</f>
        <v/>
      </c>
      <c r="P556" s="69" t="str">
        <f>IF(A556="","",IF(A556=Expiry,0,AK556*I556*Mult*((-EXP(-q*Q556)*E556*_xlfn.NORM.S.DIST(Y556,0)*sigma/(2*SQRT(Q556))-r_dom*K*EXP(-r_dom*Q556)*_xlfn.NORM.S.DIST(Z556,1)+q*E556*EXP(-q*Q556)*_xlfn.NORM.S.DIST(Y556,1))/365)))</f>
        <v/>
      </c>
      <c r="Q556" s="83" t="str">
        <f t="shared" si="215"/>
        <v/>
      </c>
      <c r="R556" s="38"/>
      <c r="S556" s="68" t="str">
        <f t="shared" si="216"/>
        <v/>
      </c>
      <c r="T556" s="69" t="str">
        <f t="shared" si="217"/>
        <v/>
      </c>
      <c r="U556" s="70" t="str">
        <f t="shared" si="218"/>
        <v/>
      </c>
      <c r="V556" s="72" t="str">
        <f t="shared" si="219"/>
        <v/>
      </c>
      <c r="W556" s="2" t="str">
        <f t="shared" si="230"/>
        <v/>
      </c>
      <c r="X556" s="2" t="str">
        <f t="shared" si="225"/>
        <v/>
      </c>
      <c r="Y556" s="35" t="str">
        <f t="shared" ca="1" si="220"/>
        <v/>
      </c>
      <c r="Z556" s="36" t="str">
        <f t="shared" ca="1" si="221"/>
        <v/>
      </c>
      <c r="AA556" s="70" t="str">
        <f t="shared" si="222"/>
        <v/>
      </c>
      <c r="AB556" s="2"/>
      <c r="AC556" s="94" t="str">
        <f t="shared" si="226"/>
        <v/>
      </c>
      <c r="AD556" s="95" t="str">
        <f t="shared" si="227"/>
        <v/>
      </c>
      <c r="AE556" s="96" t="str">
        <f t="shared" si="228"/>
        <v/>
      </c>
      <c r="AF556" s="124" t="str">
        <f t="shared" si="229"/>
        <v/>
      </c>
      <c r="AG556" s="2"/>
      <c r="AH556" s="2"/>
      <c r="AI556" s="2"/>
      <c r="AJ556" s="2"/>
      <c r="AK556" s="2"/>
      <c r="AL556" s="2"/>
    </row>
    <row r="557" spans="1:38" x14ac:dyDescent="0.2">
      <c r="A557" s="45"/>
      <c r="B557" s="43" t="str">
        <f t="shared" si="208"/>
        <v/>
      </c>
      <c r="C557" s="96" t="str">
        <f t="shared" si="231"/>
        <v/>
      </c>
      <c r="D557" s="44" t="str">
        <f t="shared" si="209"/>
        <v/>
      </c>
      <c r="E557" s="52"/>
      <c r="F557" s="63" t="str">
        <f t="shared" si="210"/>
        <v/>
      </c>
      <c r="G557" s="56" t="str">
        <f t="shared" si="211"/>
        <v/>
      </c>
      <c r="H557" s="42"/>
      <c r="I557" s="2" t="str">
        <f t="shared" si="212"/>
        <v/>
      </c>
      <c r="J557" s="54" t="str">
        <f t="shared" si="223"/>
        <v/>
      </c>
      <c r="K557" s="55" t="str">
        <f t="shared" si="213"/>
        <v/>
      </c>
      <c r="L557" s="63" t="str">
        <f t="shared" si="214"/>
        <v/>
      </c>
      <c r="M557" s="96" t="str">
        <f t="shared" si="224"/>
        <v/>
      </c>
      <c r="N557" s="96" t="str">
        <f>IF(A557="","",IF(A557=Expiry,0,EXP(-q*Q557)*_xlfn.NORM.S.DIST(Y557,0)/(sigma*SQRT(Q557))*I557*Mult/100))</f>
        <v/>
      </c>
      <c r="O557" s="96" t="str">
        <f>IF(A557="","",IF(A557=Expiry,0,D557*E557*E557*EXP(-q*Q557)*_xlfn.NORM.S.DIST(Y557,0)*SQRT(Q557)/100))</f>
        <v/>
      </c>
      <c r="P557" s="69" t="str">
        <f>IF(A557="","",IF(A557=Expiry,0,AK557*I557*Mult*((-EXP(-q*Q557)*E557*_xlfn.NORM.S.DIST(Y557,0)*sigma/(2*SQRT(Q557))-r_dom*K*EXP(-r_dom*Q557)*_xlfn.NORM.S.DIST(Z557,1)+q*E557*EXP(-q*Q557)*_xlfn.NORM.S.DIST(Y557,1))/365)))</f>
        <v/>
      </c>
      <c r="Q557" s="83" t="str">
        <f t="shared" si="215"/>
        <v/>
      </c>
      <c r="R557" s="38"/>
      <c r="S557" s="68" t="str">
        <f t="shared" si="216"/>
        <v/>
      </c>
      <c r="T557" s="69" t="str">
        <f t="shared" si="217"/>
        <v/>
      </c>
      <c r="U557" s="70" t="str">
        <f t="shared" si="218"/>
        <v/>
      </c>
      <c r="V557" s="72" t="str">
        <f t="shared" si="219"/>
        <v/>
      </c>
      <c r="W557" s="2" t="str">
        <f t="shared" si="230"/>
        <v/>
      </c>
      <c r="X557" s="2" t="str">
        <f t="shared" si="225"/>
        <v/>
      </c>
      <c r="Y557" s="35" t="str">
        <f t="shared" ca="1" si="220"/>
        <v/>
      </c>
      <c r="Z557" s="36" t="str">
        <f t="shared" ca="1" si="221"/>
        <v/>
      </c>
      <c r="AA557" s="70" t="str">
        <f t="shared" si="222"/>
        <v/>
      </c>
      <c r="AB557" s="2"/>
      <c r="AC557" s="94" t="str">
        <f t="shared" si="226"/>
        <v/>
      </c>
      <c r="AD557" s="95" t="str">
        <f t="shared" si="227"/>
        <v/>
      </c>
      <c r="AE557" s="96" t="str">
        <f t="shared" si="228"/>
        <v/>
      </c>
      <c r="AF557" s="124" t="str">
        <f t="shared" si="229"/>
        <v/>
      </c>
      <c r="AG557" s="2"/>
      <c r="AH557" s="2"/>
      <c r="AI557" s="2"/>
      <c r="AJ557" s="2"/>
      <c r="AK557" s="2"/>
      <c r="AL557" s="2"/>
    </row>
    <row r="558" spans="1:38" x14ac:dyDescent="0.2">
      <c r="A558" s="45"/>
      <c r="B558" s="43" t="str">
        <f t="shared" si="208"/>
        <v/>
      </c>
      <c r="C558" s="96" t="str">
        <f t="shared" si="231"/>
        <v/>
      </c>
      <c r="D558" s="44" t="str">
        <f t="shared" si="209"/>
        <v/>
      </c>
      <c r="E558" s="52"/>
      <c r="F558" s="63" t="str">
        <f t="shared" si="210"/>
        <v/>
      </c>
      <c r="G558" s="56" t="str">
        <f t="shared" si="211"/>
        <v/>
      </c>
      <c r="H558" s="42"/>
      <c r="I558" s="2" t="str">
        <f t="shared" si="212"/>
        <v/>
      </c>
      <c r="J558" s="54" t="str">
        <f t="shared" si="223"/>
        <v/>
      </c>
      <c r="K558" s="55" t="str">
        <f t="shared" si="213"/>
        <v/>
      </c>
      <c r="L558" s="63" t="str">
        <f t="shared" si="214"/>
        <v/>
      </c>
      <c r="M558" s="96" t="str">
        <f t="shared" si="224"/>
        <v/>
      </c>
      <c r="N558" s="96" t="str">
        <f>IF(A558="","",IF(A558=Expiry,0,EXP(-q*Q558)*_xlfn.NORM.S.DIST(Y558,0)/(sigma*SQRT(Q558))*I558*Mult/100))</f>
        <v/>
      </c>
      <c r="O558" s="96" t="str">
        <f>IF(A558="","",IF(A558=Expiry,0,D558*E558*E558*EXP(-q*Q558)*_xlfn.NORM.S.DIST(Y558,0)*SQRT(Q558)/100))</f>
        <v/>
      </c>
      <c r="P558" s="69" t="str">
        <f>IF(A558="","",IF(A558=Expiry,0,AK558*I558*Mult*((-EXP(-q*Q558)*E558*_xlfn.NORM.S.DIST(Y558,0)*sigma/(2*SQRT(Q558))-r_dom*K*EXP(-r_dom*Q558)*_xlfn.NORM.S.DIST(Z558,1)+q*E558*EXP(-q*Q558)*_xlfn.NORM.S.DIST(Y558,1))/365)))</f>
        <v/>
      </c>
      <c r="Q558" s="83" t="str">
        <f t="shared" si="215"/>
        <v/>
      </c>
      <c r="R558" s="38"/>
      <c r="S558" s="68" t="str">
        <f t="shared" si="216"/>
        <v/>
      </c>
      <c r="T558" s="69" t="str">
        <f t="shared" si="217"/>
        <v/>
      </c>
      <c r="U558" s="70" t="str">
        <f t="shared" si="218"/>
        <v/>
      </c>
      <c r="V558" s="72" t="str">
        <f t="shared" si="219"/>
        <v/>
      </c>
      <c r="W558" s="2" t="str">
        <f t="shared" si="230"/>
        <v/>
      </c>
      <c r="X558" s="2" t="str">
        <f t="shared" si="225"/>
        <v/>
      </c>
      <c r="Y558" s="35" t="str">
        <f t="shared" ca="1" si="220"/>
        <v/>
      </c>
      <c r="Z558" s="36" t="str">
        <f t="shared" ca="1" si="221"/>
        <v/>
      </c>
      <c r="AA558" s="70" t="str">
        <f t="shared" si="222"/>
        <v/>
      </c>
      <c r="AB558" s="2"/>
      <c r="AC558" s="94" t="str">
        <f t="shared" si="226"/>
        <v/>
      </c>
      <c r="AD558" s="95" t="str">
        <f t="shared" si="227"/>
        <v/>
      </c>
      <c r="AE558" s="96" t="str">
        <f t="shared" si="228"/>
        <v/>
      </c>
      <c r="AF558" s="124" t="str">
        <f t="shared" si="229"/>
        <v/>
      </c>
      <c r="AG558" s="2"/>
      <c r="AH558" s="2"/>
      <c r="AI558" s="2"/>
      <c r="AJ558" s="2"/>
      <c r="AK558" s="2"/>
      <c r="AL558" s="2"/>
    </row>
    <row r="559" spans="1:38" x14ac:dyDescent="0.2">
      <c r="A559" s="45"/>
      <c r="B559" s="43" t="str">
        <f t="shared" si="208"/>
        <v/>
      </c>
      <c r="C559" s="96" t="str">
        <f t="shared" si="231"/>
        <v/>
      </c>
      <c r="D559" s="44" t="str">
        <f t="shared" si="209"/>
        <v/>
      </c>
      <c r="E559" s="52"/>
      <c r="F559" s="63" t="str">
        <f t="shared" si="210"/>
        <v/>
      </c>
      <c r="G559" s="56" t="str">
        <f t="shared" si="211"/>
        <v/>
      </c>
      <c r="H559" s="42"/>
      <c r="I559" s="2" t="str">
        <f t="shared" si="212"/>
        <v/>
      </c>
      <c r="J559" s="54" t="str">
        <f t="shared" si="223"/>
        <v/>
      </c>
      <c r="K559" s="55" t="str">
        <f t="shared" si="213"/>
        <v/>
      </c>
      <c r="L559" s="63" t="str">
        <f t="shared" si="214"/>
        <v/>
      </c>
      <c r="M559" s="96" t="str">
        <f t="shared" si="224"/>
        <v/>
      </c>
      <c r="N559" s="96" t="str">
        <f>IF(A559="","",IF(A559=Expiry,0,EXP(-q*Q559)*_xlfn.NORM.S.DIST(Y559,0)/(sigma*SQRT(Q559))*I559*Mult/100))</f>
        <v/>
      </c>
      <c r="O559" s="96" t="str">
        <f>IF(A559="","",IF(A559=Expiry,0,D559*E559*E559*EXP(-q*Q559)*_xlfn.NORM.S.DIST(Y559,0)*SQRT(Q559)/100))</f>
        <v/>
      </c>
      <c r="P559" s="69" t="str">
        <f>IF(A559="","",IF(A559=Expiry,0,AK559*I559*Mult*((-EXP(-q*Q559)*E559*_xlfn.NORM.S.DIST(Y559,0)*sigma/(2*SQRT(Q559))-r_dom*K*EXP(-r_dom*Q559)*_xlfn.NORM.S.DIST(Z559,1)+q*E559*EXP(-q*Q559)*_xlfn.NORM.S.DIST(Y559,1))/365)))</f>
        <v/>
      </c>
      <c r="Q559" s="83" t="str">
        <f t="shared" si="215"/>
        <v/>
      </c>
      <c r="R559" s="38"/>
      <c r="S559" s="68" t="str">
        <f t="shared" si="216"/>
        <v/>
      </c>
      <c r="T559" s="69" t="str">
        <f t="shared" si="217"/>
        <v/>
      </c>
      <c r="U559" s="70" t="str">
        <f t="shared" si="218"/>
        <v/>
      </c>
      <c r="V559" s="72" t="str">
        <f t="shared" si="219"/>
        <v/>
      </c>
      <c r="W559" s="2" t="str">
        <f t="shared" si="230"/>
        <v/>
      </c>
      <c r="X559" s="2" t="str">
        <f t="shared" si="225"/>
        <v/>
      </c>
      <c r="Y559" s="35" t="str">
        <f t="shared" ca="1" si="220"/>
        <v/>
      </c>
      <c r="Z559" s="36" t="str">
        <f t="shared" ca="1" si="221"/>
        <v/>
      </c>
      <c r="AA559" s="70" t="str">
        <f t="shared" si="222"/>
        <v/>
      </c>
      <c r="AB559" s="2"/>
      <c r="AC559" s="94" t="str">
        <f t="shared" si="226"/>
        <v/>
      </c>
      <c r="AD559" s="95" t="str">
        <f t="shared" si="227"/>
        <v/>
      </c>
      <c r="AE559" s="96" t="str">
        <f t="shared" si="228"/>
        <v/>
      </c>
      <c r="AF559" s="124" t="str">
        <f t="shared" si="229"/>
        <v/>
      </c>
      <c r="AG559" s="2"/>
      <c r="AH559" s="2"/>
      <c r="AI559" s="2"/>
      <c r="AJ559" s="2"/>
      <c r="AK559" s="2"/>
      <c r="AL559" s="2"/>
    </row>
    <row r="560" spans="1:38" x14ac:dyDescent="0.2">
      <c r="A560" s="45"/>
      <c r="B560" s="43" t="str">
        <f t="shared" si="208"/>
        <v/>
      </c>
      <c r="C560" s="96" t="str">
        <f t="shared" si="231"/>
        <v/>
      </c>
      <c r="D560" s="44" t="str">
        <f t="shared" si="209"/>
        <v/>
      </c>
      <c r="E560" s="52"/>
      <c r="F560" s="63" t="str">
        <f t="shared" si="210"/>
        <v/>
      </c>
      <c r="G560" s="56" t="str">
        <f t="shared" si="211"/>
        <v/>
      </c>
      <c r="H560" s="42"/>
      <c r="I560" s="2" t="str">
        <f t="shared" si="212"/>
        <v/>
      </c>
      <c r="J560" s="54" t="str">
        <f t="shared" si="223"/>
        <v/>
      </c>
      <c r="K560" s="55" t="str">
        <f t="shared" si="213"/>
        <v/>
      </c>
      <c r="L560" s="63" t="str">
        <f t="shared" si="214"/>
        <v/>
      </c>
      <c r="M560" s="96" t="str">
        <f t="shared" si="224"/>
        <v/>
      </c>
      <c r="N560" s="96" t="str">
        <f>IF(A560="","",IF(A560=Expiry,0,EXP(-q*Q560)*_xlfn.NORM.S.DIST(Y560,0)/(sigma*SQRT(Q560))*I560*Mult/100))</f>
        <v/>
      </c>
      <c r="O560" s="96" t="str">
        <f>IF(A560="","",IF(A560=Expiry,0,D560*E560*E560*EXP(-q*Q560)*_xlfn.NORM.S.DIST(Y560,0)*SQRT(Q560)/100))</f>
        <v/>
      </c>
      <c r="P560" s="69" t="str">
        <f>IF(A560="","",IF(A560=Expiry,0,AK560*I560*Mult*((-EXP(-q*Q560)*E560*_xlfn.NORM.S.DIST(Y560,0)*sigma/(2*SQRT(Q560))-r_dom*K*EXP(-r_dom*Q560)*_xlfn.NORM.S.DIST(Z560,1)+q*E560*EXP(-q*Q560)*_xlfn.NORM.S.DIST(Y560,1))/365)))</f>
        <v/>
      </c>
      <c r="Q560" s="83" t="str">
        <f t="shared" si="215"/>
        <v/>
      </c>
      <c r="R560" s="38"/>
      <c r="S560" s="68" t="str">
        <f t="shared" si="216"/>
        <v/>
      </c>
      <c r="T560" s="69" t="str">
        <f t="shared" si="217"/>
        <v/>
      </c>
      <c r="U560" s="70" t="str">
        <f t="shared" si="218"/>
        <v/>
      </c>
      <c r="V560" s="72" t="str">
        <f t="shared" si="219"/>
        <v/>
      </c>
      <c r="W560" s="2" t="str">
        <f t="shared" si="230"/>
        <v/>
      </c>
      <c r="X560" s="2" t="str">
        <f t="shared" si="225"/>
        <v/>
      </c>
      <c r="Y560" s="35" t="str">
        <f t="shared" ca="1" si="220"/>
        <v/>
      </c>
      <c r="Z560" s="36" t="str">
        <f t="shared" ca="1" si="221"/>
        <v/>
      </c>
      <c r="AA560" s="70" t="str">
        <f t="shared" si="222"/>
        <v/>
      </c>
      <c r="AB560" s="2"/>
      <c r="AC560" s="94" t="str">
        <f t="shared" si="226"/>
        <v/>
      </c>
      <c r="AD560" s="95" t="str">
        <f t="shared" si="227"/>
        <v/>
      </c>
      <c r="AE560" s="96" t="str">
        <f t="shared" si="228"/>
        <v/>
      </c>
      <c r="AF560" s="124" t="str">
        <f t="shared" si="229"/>
        <v/>
      </c>
      <c r="AG560" s="2"/>
      <c r="AH560" s="2"/>
      <c r="AI560" s="2"/>
      <c r="AJ560" s="2"/>
      <c r="AK560" s="2"/>
      <c r="AL560" s="2"/>
    </row>
    <row r="561" spans="1:38" x14ac:dyDescent="0.2">
      <c r="A561" s="45"/>
      <c r="B561" s="43" t="str">
        <f t="shared" si="208"/>
        <v/>
      </c>
      <c r="C561" s="96" t="str">
        <f t="shared" si="231"/>
        <v/>
      </c>
      <c r="D561" s="44" t="str">
        <f t="shared" si="209"/>
        <v/>
      </c>
      <c r="E561" s="52"/>
      <c r="F561" s="63" t="str">
        <f t="shared" si="210"/>
        <v/>
      </c>
      <c r="G561" s="56" t="str">
        <f t="shared" si="211"/>
        <v/>
      </c>
      <c r="H561" s="42"/>
      <c r="I561" s="2" t="str">
        <f t="shared" si="212"/>
        <v/>
      </c>
      <c r="J561" s="54" t="str">
        <f t="shared" si="223"/>
        <v/>
      </c>
      <c r="K561" s="55" t="str">
        <f t="shared" si="213"/>
        <v/>
      </c>
      <c r="L561" s="63" t="str">
        <f t="shared" si="214"/>
        <v/>
      </c>
      <c r="M561" s="96" t="str">
        <f t="shared" si="224"/>
        <v/>
      </c>
      <c r="N561" s="96" t="str">
        <f>IF(A561="","",IF(A561=Expiry,0,EXP(-q*Q561)*_xlfn.NORM.S.DIST(Y561,0)/(sigma*SQRT(Q561))*I561*Mult/100))</f>
        <v/>
      </c>
      <c r="O561" s="96" t="str">
        <f>IF(A561="","",IF(A561=Expiry,0,D561*E561*E561*EXP(-q*Q561)*_xlfn.NORM.S.DIST(Y561,0)*SQRT(Q561)/100))</f>
        <v/>
      </c>
      <c r="P561" s="69" t="str">
        <f>IF(A561="","",IF(A561=Expiry,0,AK561*I561*Mult*((-EXP(-q*Q561)*E561*_xlfn.NORM.S.DIST(Y561,0)*sigma/(2*SQRT(Q561))-r_dom*K*EXP(-r_dom*Q561)*_xlfn.NORM.S.DIST(Z561,1)+q*E561*EXP(-q*Q561)*_xlfn.NORM.S.DIST(Y561,1))/365)))</f>
        <v/>
      </c>
      <c r="Q561" s="83" t="str">
        <f t="shared" si="215"/>
        <v/>
      </c>
      <c r="R561" s="38"/>
      <c r="S561" s="68" t="str">
        <f t="shared" si="216"/>
        <v/>
      </c>
      <c r="T561" s="69" t="str">
        <f t="shared" si="217"/>
        <v/>
      </c>
      <c r="U561" s="70" t="str">
        <f t="shared" si="218"/>
        <v/>
      </c>
      <c r="V561" s="72" t="str">
        <f t="shared" si="219"/>
        <v/>
      </c>
      <c r="W561" s="2" t="str">
        <f t="shared" si="230"/>
        <v/>
      </c>
      <c r="X561" s="2" t="str">
        <f t="shared" si="225"/>
        <v/>
      </c>
      <c r="Y561" s="35" t="str">
        <f t="shared" ca="1" si="220"/>
        <v/>
      </c>
      <c r="Z561" s="36" t="str">
        <f t="shared" ca="1" si="221"/>
        <v/>
      </c>
      <c r="AA561" s="70" t="str">
        <f t="shared" si="222"/>
        <v/>
      </c>
      <c r="AB561" s="2"/>
      <c r="AC561" s="94" t="str">
        <f t="shared" si="226"/>
        <v/>
      </c>
      <c r="AD561" s="95" t="str">
        <f t="shared" si="227"/>
        <v/>
      </c>
      <c r="AE561" s="96" t="str">
        <f t="shared" si="228"/>
        <v/>
      </c>
      <c r="AF561" s="124" t="str">
        <f t="shared" si="229"/>
        <v/>
      </c>
      <c r="AG561" s="2"/>
      <c r="AH561" s="2"/>
      <c r="AI561" s="2"/>
      <c r="AJ561" s="2"/>
      <c r="AK561" s="2"/>
      <c r="AL561" s="2"/>
    </row>
    <row r="562" spans="1:38" x14ac:dyDescent="0.2">
      <c r="A562" s="45"/>
      <c r="B562" s="43" t="str">
        <f t="shared" ref="B562:B625" si="232">IF(A562="","",-(M562+C561))</f>
        <v/>
      </c>
      <c r="C562" s="96" t="str">
        <f t="shared" si="231"/>
        <v/>
      </c>
      <c r="D562" s="44" t="str">
        <f t="shared" ref="D562:D625" si="233">IF(A562="","",C562*E562)</f>
        <v/>
      </c>
      <c r="E562" s="52"/>
      <c r="F562" s="63" t="str">
        <f t="shared" ref="F562:F625" si="234">IF(A562="","",C561*(E562-E561))</f>
        <v/>
      </c>
      <c r="G562" s="56" t="str">
        <f t="shared" ref="G562:G625" si="235">IF(H562="","",J562)</f>
        <v/>
      </c>
      <c r="H562" s="42"/>
      <c r="I562" s="2" t="str">
        <f t="shared" ref="I562:I625" si="236">IF(A562="","",I561+H562)</f>
        <v/>
      </c>
      <c r="J562" s="54" t="str">
        <f t="shared" si="223"/>
        <v/>
      </c>
      <c r="K562" s="55" t="str">
        <f t="shared" ref="K562:K625" si="237">IF(I562="","",I562*Mult*J562)</f>
        <v/>
      </c>
      <c r="L562" s="63" t="str">
        <f t="shared" ref="L562:L625" si="238">IF(A562="","",Mult*(IFERROR(0,H562*(G562-J562))+(I562-H562)*(J562-J561)))</f>
        <v/>
      </c>
      <c r="M562" s="96" t="str">
        <f t="shared" si="224"/>
        <v/>
      </c>
      <c r="N562" s="96" t="str">
        <f>IF(A562="","",IF(A562=Expiry,0,EXP(-q*Q562)*_xlfn.NORM.S.DIST(Y562,0)/(sigma*SQRT(Q562))*I562*Mult/100))</f>
        <v/>
      </c>
      <c r="O562" s="96" t="str">
        <f>IF(A562="","",IF(A562=Expiry,0,D562*E562*E562*EXP(-q*Q562)*_xlfn.NORM.S.DIST(Y562,0)*SQRT(Q562)/100))</f>
        <v/>
      </c>
      <c r="P562" s="69" t="str">
        <f>IF(A562="","",IF(A562=Expiry,0,AK562*I562*Mult*((-EXP(-q*Q562)*E562*_xlfn.NORM.S.DIST(Y562,0)*sigma/(2*SQRT(Q562))-r_dom*K*EXP(-r_dom*Q562)*_xlfn.NORM.S.DIST(Z562,1)+q*E562*EXP(-q*Q562)*_xlfn.NORM.S.DIST(Y562,1))/365)))</f>
        <v/>
      </c>
      <c r="Q562" s="83" t="str">
        <f t="shared" ref="Q562:Q625" si="239">IF(A562="","",IF(OR(A562="",Expiry&lt;=A562),0,(Expiry-A562)/365))</f>
        <v/>
      </c>
      <c r="R562" s="38"/>
      <c r="S562" s="68" t="str">
        <f t="shared" ref="S562:S625" si="240">IF(A562="","",F562+L562)</f>
        <v/>
      </c>
      <c r="T562" s="69" t="str">
        <f t="shared" ref="T562:T625" si="241">IF(A562="","",T561+S562)</f>
        <v/>
      </c>
      <c r="U562" s="70" t="str">
        <f t="shared" ref="U562:U625" si="242">IF(A562="","",LN(T562/T561))</f>
        <v/>
      </c>
      <c r="V562" s="72" t="str">
        <f t="shared" ref="V562:V625" si="243">IF(A562="","",V561*EXP(U562))</f>
        <v/>
      </c>
      <c r="W562" s="2" t="str">
        <f t="shared" si="230"/>
        <v/>
      </c>
      <c r="X562" s="2" t="str">
        <f t="shared" si="225"/>
        <v/>
      </c>
      <c r="Y562" s="35" t="str">
        <f t="shared" ref="Y562:Y625" ca="1" si="244">IF(OR(A562="",A562=Expiry),"",((LN(E562/K)+(r_dom-q+sigma^2/2)*Q562))/(sigma*SQRT(Q562)))</f>
        <v/>
      </c>
      <c r="Z562" s="36" t="str">
        <f t="shared" ref="Z562:Z625" ca="1" si="245">IF(OR(A562="",A562=Expiry),"",Y562-sigma*SQRT(Q562))</f>
        <v/>
      </c>
      <c r="AA562" s="70" t="str">
        <f t="shared" ref="AA562:AA625" si="246">IF(A562="","",LN(E562/E561))</f>
        <v/>
      </c>
      <c r="AB562" s="2"/>
      <c r="AC562" s="94" t="str">
        <f t="shared" si="226"/>
        <v/>
      </c>
      <c r="AD562" s="95" t="str">
        <f t="shared" si="227"/>
        <v/>
      </c>
      <c r="AE562" s="96" t="str">
        <f t="shared" si="228"/>
        <v/>
      </c>
      <c r="AF562" s="124" t="str">
        <f t="shared" si="229"/>
        <v/>
      </c>
      <c r="AG562" s="2"/>
      <c r="AH562" s="2"/>
      <c r="AI562" s="2"/>
      <c r="AJ562" s="2"/>
      <c r="AK562" s="2"/>
      <c r="AL562" s="2"/>
    </row>
    <row r="563" spans="1:38" x14ac:dyDescent="0.2">
      <c r="A563" s="45"/>
      <c r="B563" s="43" t="str">
        <f t="shared" si="232"/>
        <v/>
      </c>
      <c r="C563" s="96" t="str">
        <f t="shared" si="231"/>
        <v/>
      </c>
      <c r="D563" s="44" t="str">
        <f t="shared" si="233"/>
        <v/>
      </c>
      <c r="E563" s="52"/>
      <c r="F563" s="63" t="str">
        <f t="shared" si="234"/>
        <v/>
      </c>
      <c r="G563" s="56" t="str">
        <f t="shared" si="235"/>
        <v/>
      </c>
      <c r="H563" s="42"/>
      <c r="I563" s="2" t="str">
        <f t="shared" si="236"/>
        <v/>
      </c>
      <c r="J563" s="54" t="str">
        <f t="shared" si="223"/>
        <v/>
      </c>
      <c r="K563" s="55" t="str">
        <f t="shared" si="237"/>
        <v/>
      </c>
      <c r="L563" s="63" t="str">
        <f t="shared" si="238"/>
        <v/>
      </c>
      <c r="M563" s="96" t="str">
        <f t="shared" si="224"/>
        <v/>
      </c>
      <c r="N563" s="96" t="str">
        <f>IF(A563="","",IF(A563=Expiry,0,EXP(-q*Q563)*_xlfn.NORM.S.DIST(Y563,0)/(sigma*SQRT(Q563))*I563*Mult/100))</f>
        <v/>
      </c>
      <c r="O563" s="96" t="str">
        <f>IF(A563="","",IF(A563=Expiry,0,D563*E563*E563*EXP(-q*Q563)*_xlfn.NORM.S.DIST(Y563,0)*SQRT(Q563)/100))</f>
        <v/>
      </c>
      <c r="P563" s="69" t="str">
        <f>IF(A563="","",IF(A563=Expiry,0,AK563*I563*Mult*((-EXP(-q*Q563)*E563*_xlfn.NORM.S.DIST(Y563,0)*sigma/(2*SQRT(Q563))-r_dom*K*EXP(-r_dom*Q563)*_xlfn.NORM.S.DIST(Z563,1)+q*E563*EXP(-q*Q563)*_xlfn.NORM.S.DIST(Y563,1))/365)))</f>
        <v/>
      </c>
      <c r="Q563" s="83" t="str">
        <f t="shared" si="239"/>
        <v/>
      </c>
      <c r="R563" s="38"/>
      <c r="S563" s="68" t="str">
        <f t="shared" si="240"/>
        <v/>
      </c>
      <c r="T563" s="69" t="str">
        <f t="shared" si="241"/>
        <v/>
      </c>
      <c r="U563" s="70" t="str">
        <f t="shared" si="242"/>
        <v/>
      </c>
      <c r="V563" s="72" t="str">
        <f t="shared" si="243"/>
        <v/>
      </c>
      <c r="W563" s="2" t="str">
        <f t="shared" si="230"/>
        <v/>
      </c>
      <c r="X563" s="2" t="str">
        <f t="shared" si="225"/>
        <v/>
      </c>
      <c r="Y563" s="35" t="str">
        <f t="shared" ca="1" si="244"/>
        <v/>
      </c>
      <c r="Z563" s="36" t="str">
        <f t="shared" ca="1" si="245"/>
        <v/>
      </c>
      <c r="AA563" s="70" t="str">
        <f t="shared" si="246"/>
        <v/>
      </c>
      <c r="AB563" s="2"/>
      <c r="AC563" s="94" t="str">
        <f t="shared" si="226"/>
        <v/>
      </c>
      <c r="AD563" s="95" t="str">
        <f t="shared" si="227"/>
        <v/>
      </c>
      <c r="AE563" s="96" t="str">
        <f t="shared" si="228"/>
        <v/>
      </c>
      <c r="AF563" s="124" t="str">
        <f t="shared" si="229"/>
        <v/>
      </c>
      <c r="AG563" s="2"/>
      <c r="AH563" s="2"/>
      <c r="AI563" s="2"/>
      <c r="AJ563" s="2"/>
      <c r="AK563" s="2"/>
      <c r="AL563" s="2"/>
    </row>
    <row r="564" spans="1:38" x14ac:dyDescent="0.2">
      <c r="A564" s="45"/>
      <c r="B564" s="43" t="str">
        <f t="shared" si="232"/>
        <v/>
      </c>
      <c r="C564" s="96" t="str">
        <f t="shared" si="231"/>
        <v/>
      </c>
      <c r="D564" s="44" t="str">
        <f t="shared" si="233"/>
        <v/>
      </c>
      <c r="E564" s="52"/>
      <c r="F564" s="63" t="str">
        <f t="shared" si="234"/>
        <v/>
      </c>
      <c r="G564" s="56" t="str">
        <f t="shared" si="235"/>
        <v/>
      </c>
      <c r="H564" s="42"/>
      <c r="I564" s="2" t="str">
        <f t="shared" si="236"/>
        <v/>
      </c>
      <c r="J564" s="54" t="str">
        <f t="shared" si="223"/>
        <v/>
      </c>
      <c r="K564" s="55" t="str">
        <f t="shared" si="237"/>
        <v/>
      </c>
      <c r="L564" s="63" t="str">
        <f t="shared" si="238"/>
        <v/>
      </c>
      <c r="M564" s="96" t="str">
        <f t="shared" si="224"/>
        <v/>
      </c>
      <c r="N564" s="96" t="str">
        <f>IF(A564="","",IF(A564=Expiry,0,EXP(-q*Q564)*_xlfn.NORM.S.DIST(Y564,0)/(sigma*SQRT(Q564))*I564*Mult/100))</f>
        <v/>
      </c>
      <c r="O564" s="96" t="str">
        <f>IF(A564="","",IF(A564=Expiry,0,D564*E564*E564*EXP(-q*Q564)*_xlfn.NORM.S.DIST(Y564,0)*SQRT(Q564)/100))</f>
        <v/>
      </c>
      <c r="P564" s="69" t="str">
        <f>IF(A564="","",IF(A564=Expiry,0,AK564*I564*Mult*((-EXP(-q*Q564)*E564*_xlfn.NORM.S.DIST(Y564,0)*sigma/(2*SQRT(Q564))-r_dom*K*EXP(-r_dom*Q564)*_xlfn.NORM.S.DIST(Z564,1)+q*E564*EXP(-q*Q564)*_xlfn.NORM.S.DIST(Y564,1))/365)))</f>
        <v/>
      </c>
      <c r="Q564" s="83" t="str">
        <f t="shared" si="239"/>
        <v/>
      </c>
      <c r="R564" s="38"/>
      <c r="S564" s="68" t="str">
        <f t="shared" si="240"/>
        <v/>
      </c>
      <c r="T564" s="69" t="str">
        <f t="shared" si="241"/>
        <v/>
      </c>
      <c r="U564" s="70" t="str">
        <f t="shared" si="242"/>
        <v/>
      </c>
      <c r="V564" s="72" t="str">
        <f t="shared" si="243"/>
        <v/>
      </c>
      <c r="W564" s="2" t="str">
        <f t="shared" si="230"/>
        <v/>
      </c>
      <c r="X564" s="2" t="str">
        <f t="shared" si="225"/>
        <v/>
      </c>
      <c r="Y564" s="35" t="str">
        <f t="shared" ca="1" si="244"/>
        <v/>
      </c>
      <c r="Z564" s="36" t="str">
        <f t="shared" ca="1" si="245"/>
        <v/>
      </c>
      <c r="AA564" s="70" t="str">
        <f t="shared" si="246"/>
        <v/>
      </c>
      <c r="AB564" s="2"/>
      <c r="AC564" s="94" t="str">
        <f t="shared" si="226"/>
        <v/>
      </c>
      <c r="AD564" s="95" t="str">
        <f t="shared" si="227"/>
        <v/>
      </c>
      <c r="AE564" s="96" t="str">
        <f t="shared" si="228"/>
        <v/>
      </c>
      <c r="AF564" s="124" t="str">
        <f t="shared" si="229"/>
        <v/>
      </c>
      <c r="AG564" s="2"/>
      <c r="AH564" s="2"/>
      <c r="AI564" s="2"/>
      <c r="AJ564" s="2"/>
      <c r="AK564" s="2"/>
      <c r="AL564" s="2"/>
    </row>
    <row r="565" spans="1:38" x14ac:dyDescent="0.2">
      <c r="A565" s="45"/>
      <c r="B565" s="43" t="str">
        <f t="shared" si="232"/>
        <v/>
      </c>
      <c r="C565" s="96" t="str">
        <f t="shared" si="231"/>
        <v/>
      </c>
      <c r="D565" s="44" t="str">
        <f t="shared" si="233"/>
        <v/>
      </c>
      <c r="E565" s="52"/>
      <c r="F565" s="63" t="str">
        <f t="shared" si="234"/>
        <v/>
      </c>
      <c r="G565" s="56" t="str">
        <f t="shared" si="235"/>
        <v/>
      </c>
      <c r="H565" s="42"/>
      <c r="I565" s="2" t="str">
        <f t="shared" si="236"/>
        <v/>
      </c>
      <c r="J565" s="54" t="str">
        <f t="shared" si="223"/>
        <v/>
      </c>
      <c r="K565" s="55" t="str">
        <f t="shared" si="237"/>
        <v/>
      </c>
      <c r="L565" s="63" t="str">
        <f t="shared" si="238"/>
        <v/>
      </c>
      <c r="M565" s="96" t="str">
        <f t="shared" si="224"/>
        <v/>
      </c>
      <c r="N565" s="96" t="str">
        <f>IF(A565="","",IF(A565=Expiry,0,EXP(-q*Q565)*_xlfn.NORM.S.DIST(Y565,0)/(sigma*SQRT(Q565))*I565*Mult/100))</f>
        <v/>
      </c>
      <c r="O565" s="96" t="str">
        <f>IF(A565="","",IF(A565=Expiry,0,D565*E565*E565*EXP(-q*Q565)*_xlfn.NORM.S.DIST(Y565,0)*SQRT(Q565)/100))</f>
        <v/>
      </c>
      <c r="P565" s="69" t="str">
        <f>IF(A565="","",IF(A565=Expiry,0,AK565*I565*Mult*((-EXP(-q*Q565)*E565*_xlfn.NORM.S.DIST(Y565,0)*sigma/(2*SQRT(Q565))-r_dom*K*EXP(-r_dom*Q565)*_xlfn.NORM.S.DIST(Z565,1)+q*E565*EXP(-q*Q565)*_xlfn.NORM.S.DIST(Y565,1))/365)))</f>
        <v/>
      </c>
      <c r="Q565" s="83" t="str">
        <f t="shared" si="239"/>
        <v/>
      </c>
      <c r="R565" s="38"/>
      <c r="S565" s="68" t="str">
        <f t="shared" si="240"/>
        <v/>
      </c>
      <c r="T565" s="69" t="str">
        <f t="shared" si="241"/>
        <v/>
      </c>
      <c r="U565" s="70" t="str">
        <f t="shared" si="242"/>
        <v/>
      </c>
      <c r="V565" s="72" t="str">
        <f t="shared" si="243"/>
        <v/>
      </c>
      <c r="W565" s="2" t="str">
        <f t="shared" si="230"/>
        <v/>
      </c>
      <c r="X565" s="2" t="str">
        <f t="shared" si="225"/>
        <v/>
      </c>
      <c r="Y565" s="35" t="str">
        <f t="shared" ca="1" si="244"/>
        <v/>
      </c>
      <c r="Z565" s="36" t="str">
        <f t="shared" ca="1" si="245"/>
        <v/>
      </c>
      <c r="AA565" s="70" t="str">
        <f t="shared" si="246"/>
        <v/>
      </c>
      <c r="AB565" s="2"/>
      <c r="AC565" s="94" t="str">
        <f t="shared" si="226"/>
        <v/>
      </c>
      <c r="AD565" s="95" t="str">
        <f t="shared" si="227"/>
        <v/>
      </c>
      <c r="AE565" s="96" t="str">
        <f t="shared" si="228"/>
        <v/>
      </c>
      <c r="AF565" s="124" t="str">
        <f t="shared" si="229"/>
        <v/>
      </c>
      <c r="AG565" s="2"/>
      <c r="AH565" s="2"/>
      <c r="AI565" s="2"/>
      <c r="AJ565" s="2"/>
      <c r="AK565" s="2"/>
      <c r="AL565" s="2"/>
    </row>
    <row r="566" spans="1:38" x14ac:dyDescent="0.2">
      <c r="A566" s="45"/>
      <c r="B566" s="43" t="str">
        <f t="shared" si="232"/>
        <v/>
      </c>
      <c r="C566" s="96" t="str">
        <f t="shared" si="231"/>
        <v/>
      </c>
      <c r="D566" s="44" t="str">
        <f t="shared" si="233"/>
        <v/>
      </c>
      <c r="E566" s="52"/>
      <c r="F566" s="63" t="str">
        <f t="shared" si="234"/>
        <v/>
      </c>
      <c r="G566" s="56" t="str">
        <f t="shared" si="235"/>
        <v/>
      </c>
      <c r="H566" s="42"/>
      <c r="I566" s="2" t="str">
        <f t="shared" si="236"/>
        <v/>
      </c>
      <c r="J566" s="54" t="str">
        <f t="shared" si="223"/>
        <v/>
      </c>
      <c r="K566" s="55" t="str">
        <f t="shared" si="237"/>
        <v/>
      </c>
      <c r="L566" s="63" t="str">
        <f t="shared" si="238"/>
        <v/>
      </c>
      <c r="M566" s="96" t="str">
        <f t="shared" si="224"/>
        <v/>
      </c>
      <c r="N566" s="96" t="str">
        <f>IF(A566="","",IF(A566=Expiry,0,EXP(-q*Q566)*_xlfn.NORM.S.DIST(Y566,0)/(sigma*SQRT(Q566))*I566*Mult/100))</f>
        <v/>
      </c>
      <c r="O566" s="96" t="str">
        <f>IF(A566="","",IF(A566=Expiry,0,D566*E566*E566*EXP(-q*Q566)*_xlfn.NORM.S.DIST(Y566,0)*SQRT(Q566)/100))</f>
        <v/>
      </c>
      <c r="P566" s="69" t="str">
        <f>IF(A566="","",IF(A566=Expiry,0,AK566*I566*Mult*((-EXP(-q*Q566)*E566*_xlfn.NORM.S.DIST(Y566,0)*sigma/(2*SQRT(Q566))-r_dom*K*EXP(-r_dom*Q566)*_xlfn.NORM.S.DIST(Z566,1)+q*E566*EXP(-q*Q566)*_xlfn.NORM.S.DIST(Y566,1))/365)))</f>
        <v/>
      </c>
      <c r="Q566" s="83" t="str">
        <f t="shared" si="239"/>
        <v/>
      </c>
      <c r="R566" s="38"/>
      <c r="S566" s="68" t="str">
        <f t="shared" si="240"/>
        <v/>
      </c>
      <c r="T566" s="69" t="str">
        <f t="shared" si="241"/>
        <v/>
      </c>
      <c r="U566" s="70" t="str">
        <f t="shared" si="242"/>
        <v/>
      </c>
      <c r="V566" s="72" t="str">
        <f t="shared" si="243"/>
        <v/>
      </c>
      <c r="W566" s="2" t="str">
        <f t="shared" si="230"/>
        <v/>
      </c>
      <c r="X566" s="2" t="str">
        <f t="shared" si="225"/>
        <v/>
      </c>
      <c r="Y566" s="35" t="str">
        <f t="shared" ca="1" si="244"/>
        <v/>
      </c>
      <c r="Z566" s="36" t="str">
        <f t="shared" ca="1" si="245"/>
        <v/>
      </c>
      <c r="AA566" s="70" t="str">
        <f t="shared" si="246"/>
        <v/>
      </c>
      <c r="AB566" s="2"/>
      <c r="AC566" s="94" t="str">
        <f t="shared" si="226"/>
        <v/>
      </c>
      <c r="AD566" s="95" t="str">
        <f t="shared" si="227"/>
        <v/>
      </c>
      <c r="AE566" s="96" t="str">
        <f t="shared" si="228"/>
        <v/>
      </c>
      <c r="AF566" s="124" t="str">
        <f t="shared" si="229"/>
        <v/>
      </c>
      <c r="AG566" s="2"/>
      <c r="AH566" s="2"/>
      <c r="AI566" s="2"/>
      <c r="AJ566" s="2"/>
      <c r="AK566" s="2"/>
      <c r="AL566" s="2"/>
    </row>
    <row r="567" spans="1:38" x14ac:dyDescent="0.2">
      <c r="A567" s="45"/>
      <c r="B567" s="43" t="str">
        <f t="shared" si="232"/>
        <v/>
      </c>
      <c r="C567" s="96" t="str">
        <f t="shared" si="231"/>
        <v/>
      </c>
      <c r="D567" s="44" t="str">
        <f t="shared" si="233"/>
        <v/>
      </c>
      <c r="E567" s="52"/>
      <c r="F567" s="63" t="str">
        <f t="shared" si="234"/>
        <v/>
      </c>
      <c r="G567" s="56" t="str">
        <f t="shared" si="235"/>
        <v/>
      </c>
      <c r="H567" s="42"/>
      <c r="I567" s="2" t="str">
        <f t="shared" si="236"/>
        <v/>
      </c>
      <c r="J567" s="54" t="str">
        <f t="shared" si="223"/>
        <v/>
      </c>
      <c r="K567" s="55" t="str">
        <f t="shared" si="237"/>
        <v/>
      </c>
      <c r="L567" s="63" t="str">
        <f t="shared" si="238"/>
        <v/>
      </c>
      <c r="M567" s="96" t="str">
        <f t="shared" si="224"/>
        <v/>
      </c>
      <c r="N567" s="96" t="str">
        <f>IF(A567="","",IF(A567=Expiry,0,EXP(-q*Q567)*_xlfn.NORM.S.DIST(Y567,0)/(sigma*SQRT(Q567))*I567*Mult/100))</f>
        <v/>
      </c>
      <c r="O567" s="96" t="str">
        <f>IF(A567="","",IF(A567=Expiry,0,D567*E567*E567*EXP(-q*Q567)*_xlfn.NORM.S.DIST(Y567,0)*SQRT(Q567)/100))</f>
        <v/>
      </c>
      <c r="P567" s="69" t="str">
        <f>IF(A567="","",IF(A567=Expiry,0,AK567*I567*Mult*((-EXP(-q*Q567)*E567*_xlfn.NORM.S.DIST(Y567,0)*sigma/(2*SQRT(Q567))-r_dom*K*EXP(-r_dom*Q567)*_xlfn.NORM.S.DIST(Z567,1)+q*E567*EXP(-q*Q567)*_xlfn.NORM.S.DIST(Y567,1))/365)))</f>
        <v/>
      </c>
      <c r="Q567" s="83" t="str">
        <f t="shared" si="239"/>
        <v/>
      </c>
      <c r="R567" s="38"/>
      <c r="S567" s="68" t="str">
        <f t="shared" si="240"/>
        <v/>
      </c>
      <c r="T567" s="69" t="str">
        <f t="shared" si="241"/>
        <v/>
      </c>
      <c r="U567" s="70" t="str">
        <f t="shared" si="242"/>
        <v/>
      </c>
      <c r="V567" s="72" t="str">
        <f t="shared" si="243"/>
        <v/>
      </c>
      <c r="W567" s="2" t="str">
        <f t="shared" si="230"/>
        <v/>
      </c>
      <c r="X567" s="2" t="str">
        <f t="shared" si="225"/>
        <v/>
      </c>
      <c r="Y567" s="35" t="str">
        <f t="shared" ca="1" si="244"/>
        <v/>
      </c>
      <c r="Z567" s="36" t="str">
        <f t="shared" ca="1" si="245"/>
        <v/>
      </c>
      <c r="AA567" s="70" t="str">
        <f t="shared" si="246"/>
        <v/>
      </c>
      <c r="AB567" s="2"/>
      <c r="AC567" s="94" t="str">
        <f t="shared" si="226"/>
        <v/>
      </c>
      <c r="AD567" s="95" t="str">
        <f t="shared" si="227"/>
        <v/>
      </c>
      <c r="AE567" s="96" t="str">
        <f t="shared" si="228"/>
        <v/>
      </c>
      <c r="AF567" s="124" t="str">
        <f t="shared" si="229"/>
        <v/>
      </c>
      <c r="AG567" s="2"/>
      <c r="AH567" s="2"/>
      <c r="AI567" s="2"/>
      <c r="AJ567" s="2"/>
      <c r="AK567" s="2"/>
      <c r="AL567" s="2"/>
    </row>
    <row r="568" spans="1:38" x14ac:dyDescent="0.2">
      <c r="A568" s="45"/>
      <c r="B568" s="43" t="str">
        <f t="shared" si="232"/>
        <v/>
      </c>
      <c r="C568" s="96" t="str">
        <f t="shared" si="231"/>
        <v/>
      </c>
      <c r="D568" s="44" t="str">
        <f t="shared" si="233"/>
        <v/>
      </c>
      <c r="E568" s="52"/>
      <c r="F568" s="63" t="str">
        <f t="shared" si="234"/>
        <v/>
      </c>
      <c r="G568" s="56" t="str">
        <f t="shared" si="235"/>
        <v/>
      </c>
      <c r="H568" s="42"/>
      <c r="I568" s="2" t="str">
        <f t="shared" si="236"/>
        <v/>
      </c>
      <c r="J568" s="54" t="str">
        <f t="shared" si="223"/>
        <v/>
      </c>
      <c r="K568" s="55" t="str">
        <f t="shared" si="237"/>
        <v/>
      </c>
      <c r="L568" s="63" t="str">
        <f t="shared" si="238"/>
        <v/>
      </c>
      <c r="M568" s="96" t="str">
        <f t="shared" si="224"/>
        <v/>
      </c>
      <c r="N568" s="96" t="str">
        <f>IF(A568="","",IF(A568=Expiry,0,EXP(-q*Q568)*_xlfn.NORM.S.DIST(Y568,0)/(sigma*SQRT(Q568))*I568*Mult/100))</f>
        <v/>
      </c>
      <c r="O568" s="96" t="str">
        <f>IF(A568="","",IF(A568=Expiry,0,D568*E568*E568*EXP(-q*Q568)*_xlfn.NORM.S.DIST(Y568,0)*SQRT(Q568)/100))</f>
        <v/>
      </c>
      <c r="P568" s="69" t="str">
        <f>IF(A568="","",IF(A568=Expiry,0,AK568*I568*Mult*((-EXP(-q*Q568)*E568*_xlfn.NORM.S.DIST(Y568,0)*sigma/(2*SQRT(Q568))-r_dom*K*EXP(-r_dom*Q568)*_xlfn.NORM.S.DIST(Z568,1)+q*E568*EXP(-q*Q568)*_xlfn.NORM.S.DIST(Y568,1))/365)))</f>
        <v/>
      </c>
      <c r="Q568" s="83" t="str">
        <f t="shared" si="239"/>
        <v/>
      </c>
      <c r="R568" s="38"/>
      <c r="S568" s="68" t="str">
        <f t="shared" si="240"/>
        <v/>
      </c>
      <c r="T568" s="69" t="str">
        <f t="shared" si="241"/>
        <v/>
      </c>
      <c r="U568" s="70" t="str">
        <f t="shared" si="242"/>
        <v/>
      </c>
      <c r="V568" s="72" t="str">
        <f t="shared" si="243"/>
        <v/>
      </c>
      <c r="W568" s="2" t="str">
        <f t="shared" si="230"/>
        <v/>
      </c>
      <c r="X568" s="2" t="str">
        <f t="shared" si="225"/>
        <v/>
      </c>
      <c r="Y568" s="35" t="str">
        <f t="shared" ca="1" si="244"/>
        <v/>
      </c>
      <c r="Z568" s="36" t="str">
        <f t="shared" ca="1" si="245"/>
        <v/>
      </c>
      <c r="AA568" s="70" t="str">
        <f t="shared" si="246"/>
        <v/>
      </c>
      <c r="AB568" s="2"/>
      <c r="AC568" s="94" t="str">
        <f t="shared" si="226"/>
        <v/>
      </c>
      <c r="AD568" s="95" t="str">
        <f t="shared" si="227"/>
        <v/>
      </c>
      <c r="AE568" s="96" t="str">
        <f t="shared" si="228"/>
        <v/>
      </c>
      <c r="AF568" s="124" t="str">
        <f t="shared" si="229"/>
        <v/>
      </c>
      <c r="AG568" s="2"/>
      <c r="AH568" s="2"/>
      <c r="AI568" s="2"/>
      <c r="AJ568" s="2"/>
      <c r="AK568" s="2"/>
      <c r="AL568" s="2"/>
    </row>
    <row r="569" spans="1:38" x14ac:dyDescent="0.2">
      <c r="A569" s="45"/>
      <c r="B569" s="43" t="str">
        <f t="shared" si="232"/>
        <v/>
      </c>
      <c r="C569" s="96" t="str">
        <f t="shared" si="231"/>
        <v/>
      </c>
      <c r="D569" s="44" t="str">
        <f t="shared" si="233"/>
        <v/>
      </c>
      <c r="E569" s="52"/>
      <c r="F569" s="63" t="str">
        <f t="shared" si="234"/>
        <v/>
      </c>
      <c r="G569" s="56" t="str">
        <f t="shared" si="235"/>
        <v/>
      </c>
      <c r="H569" s="42"/>
      <c r="I569" s="2" t="str">
        <f t="shared" si="236"/>
        <v/>
      </c>
      <c r="J569" s="54" t="str">
        <f t="shared" si="223"/>
        <v/>
      </c>
      <c r="K569" s="55" t="str">
        <f t="shared" si="237"/>
        <v/>
      </c>
      <c r="L569" s="63" t="str">
        <f t="shared" si="238"/>
        <v/>
      </c>
      <c r="M569" s="96" t="str">
        <f t="shared" si="224"/>
        <v/>
      </c>
      <c r="N569" s="96" t="str">
        <f>IF(A569="","",IF(A569=Expiry,0,EXP(-q*Q569)*_xlfn.NORM.S.DIST(Y569,0)/(sigma*SQRT(Q569))*I569*Mult/100))</f>
        <v/>
      </c>
      <c r="O569" s="96" t="str">
        <f>IF(A569="","",IF(A569=Expiry,0,D569*E569*E569*EXP(-q*Q569)*_xlfn.NORM.S.DIST(Y569,0)*SQRT(Q569)/100))</f>
        <v/>
      </c>
      <c r="P569" s="69" t="str">
        <f>IF(A569="","",IF(A569=Expiry,0,AK569*I569*Mult*((-EXP(-q*Q569)*E569*_xlfn.NORM.S.DIST(Y569,0)*sigma/(2*SQRT(Q569))-r_dom*K*EXP(-r_dom*Q569)*_xlfn.NORM.S.DIST(Z569,1)+q*E569*EXP(-q*Q569)*_xlfn.NORM.S.DIST(Y569,1))/365)))</f>
        <v/>
      </c>
      <c r="Q569" s="83" t="str">
        <f t="shared" si="239"/>
        <v/>
      </c>
      <c r="R569" s="38"/>
      <c r="S569" s="68" t="str">
        <f t="shared" si="240"/>
        <v/>
      </c>
      <c r="T569" s="69" t="str">
        <f t="shared" si="241"/>
        <v/>
      </c>
      <c r="U569" s="70" t="str">
        <f t="shared" si="242"/>
        <v/>
      </c>
      <c r="V569" s="72" t="str">
        <f t="shared" si="243"/>
        <v/>
      </c>
      <c r="W569" s="2" t="str">
        <f t="shared" si="230"/>
        <v/>
      </c>
      <c r="X569" s="2" t="str">
        <f t="shared" si="225"/>
        <v/>
      </c>
      <c r="Y569" s="35" t="str">
        <f t="shared" ca="1" si="244"/>
        <v/>
      </c>
      <c r="Z569" s="36" t="str">
        <f t="shared" ca="1" si="245"/>
        <v/>
      </c>
      <c r="AA569" s="70" t="str">
        <f t="shared" si="246"/>
        <v/>
      </c>
      <c r="AB569" s="2"/>
      <c r="AC569" s="94" t="str">
        <f t="shared" si="226"/>
        <v/>
      </c>
      <c r="AD569" s="95" t="str">
        <f t="shared" si="227"/>
        <v/>
      </c>
      <c r="AE569" s="96" t="str">
        <f t="shared" si="228"/>
        <v/>
      </c>
      <c r="AF569" s="124" t="str">
        <f t="shared" si="229"/>
        <v/>
      </c>
      <c r="AG569" s="2"/>
      <c r="AH569" s="2"/>
      <c r="AI569" s="2"/>
      <c r="AJ569" s="2"/>
      <c r="AK569" s="2"/>
      <c r="AL569" s="2"/>
    </row>
    <row r="570" spans="1:38" x14ac:dyDescent="0.2">
      <c r="A570" s="45"/>
      <c r="B570" s="43" t="str">
        <f t="shared" si="232"/>
        <v/>
      </c>
      <c r="C570" s="96" t="str">
        <f t="shared" si="231"/>
        <v/>
      </c>
      <c r="D570" s="44" t="str">
        <f t="shared" si="233"/>
        <v/>
      </c>
      <c r="E570" s="52"/>
      <c r="F570" s="63" t="str">
        <f t="shared" si="234"/>
        <v/>
      </c>
      <c r="G570" s="56" t="str">
        <f t="shared" si="235"/>
        <v/>
      </c>
      <c r="H570" s="42"/>
      <c r="I570" s="2" t="str">
        <f t="shared" si="236"/>
        <v/>
      </c>
      <c r="J570" s="54" t="str">
        <f t="shared" si="223"/>
        <v/>
      </c>
      <c r="K570" s="55" t="str">
        <f t="shared" si="237"/>
        <v/>
      </c>
      <c r="L570" s="63" t="str">
        <f t="shared" si="238"/>
        <v/>
      </c>
      <c r="M570" s="96" t="str">
        <f t="shared" si="224"/>
        <v/>
      </c>
      <c r="N570" s="96" t="str">
        <f>IF(A570="","",IF(A570=Expiry,0,EXP(-q*Q570)*_xlfn.NORM.S.DIST(Y570,0)/(sigma*SQRT(Q570))*I570*Mult/100))</f>
        <v/>
      </c>
      <c r="O570" s="96" t="str">
        <f>IF(A570="","",IF(A570=Expiry,0,D570*E570*E570*EXP(-q*Q570)*_xlfn.NORM.S.DIST(Y570,0)*SQRT(Q570)/100))</f>
        <v/>
      </c>
      <c r="P570" s="69" t="str">
        <f>IF(A570="","",IF(A570=Expiry,0,AK570*I570*Mult*((-EXP(-q*Q570)*E570*_xlfn.NORM.S.DIST(Y570,0)*sigma/(2*SQRT(Q570))-r_dom*K*EXP(-r_dom*Q570)*_xlfn.NORM.S.DIST(Z570,1)+q*E570*EXP(-q*Q570)*_xlfn.NORM.S.DIST(Y570,1))/365)))</f>
        <v/>
      </c>
      <c r="Q570" s="83" t="str">
        <f t="shared" si="239"/>
        <v/>
      </c>
      <c r="R570" s="38"/>
      <c r="S570" s="68" t="str">
        <f t="shared" si="240"/>
        <v/>
      </c>
      <c r="T570" s="69" t="str">
        <f t="shared" si="241"/>
        <v/>
      </c>
      <c r="U570" s="70" t="str">
        <f t="shared" si="242"/>
        <v/>
      </c>
      <c r="V570" s="72" t="str">
        <f t="shared" si="243"/>
        <v/>
      </c>
      <c r="W570" s="2" t="str">
        <f t="shared" si="230"/>
        <v/>
      </c>
      <c r="X570" s="2" t="str">
        <f t="shared" si="225"/>
        <v/>
      </c>
      <c r="Y570" s="35" t="str">
        <f t="shared" ca="1" si="244"/>
        <v/>
      </c>
      <c r="Z570" s="36" t="str">
        <f t="shared" ca="1" si="245"/>
        <v/>
      </c>
      <c r="AA570" s="70" t="str">
        <f t="shared" si="246"/>
        <v/>
      </c>
      <c r="AB570" s="2"/>
      <c r="AC570" s="94" t="str">
        <f t="shared" si="226"/>
        <v/>
      </c>
      <c r="AD570" s="95" t="str">
        <f t="shared" si="227"/>
        <v/>
      </c>
      <c r="AE570" s="96" t="str">
        <f t="shared" si="228"/>
        <v/>
      </c>
      <c r="AF570" s="124" t="str">
        <f t="shared" si="229"/>
        <v/>
      </c>
      <c r="AG570" s="2"/>
      <c r="AH570" s="2"/>
      <c r="AI570" s="2"/>
      <c r="AJ570" s="2"/>
      <c r="AK570" s="2"/>
      <c r="AL570" s="2"/>
    </row>
    <row r="571" spans="1:38" x14ac:dyDescent="0.2">
      <c r="A571" s="45"/>
      <c r="B571" s="43" t="str">
        <f t="shared" si="232"/>
        <v/>
      </c>
      <c r="C571" s="96" t="str">
        <f t="shared" si="231"/>
        <v/>
      </c>
      <c r="D571" s="44" t="str">
        <f t="shared" si="233"/>
        <v/>
      </c>
      <c r="E571" s="52"/>
      <c r="F571" s="63" t="str">
        <f t="shared" si="234"/>
        <v/>
      </c>
      <c r="G571" s="56" t="str">
        <f t="shared" si="235"/>
        <v/>
      </c>
      <c r="H571" s="42"/>
      <c r="I571" s="2" t="str">
        <f t="shared" si="236"/>
        <v/>
      </c>
      <c r="J571" s="54" t="str">
        <f t="shared" si="223"/>
        <v/>
      </c>
      <c r="K571" s="55" t="str">
        <f t="shared" si="237"/>
        <v/>
      </c>
      <c r="L571" s="63" t="str">
        <f t="shared" si="238"/>
        <v/>
      </c>
      <c r="M571" s="96" t="str">
        <f t="shared" si="224"/>
        <v/>
      </c>
      <c r="N571" s="96" t="str">
        <f>IF(A571="","",IF(A571=Expiry,0,EXP(-q*Q571)*_xlfn.NORM.S.DIST(Y571,0)/(sigma*SQRT(Q571))*I571*Mult/100))</f>
        <v/>
      </c>
      <c r="O571" s="96" t="str">
        <f>IF(A571="","",IF(A571=Expiry,0,D571*E571*E571*EXP(-q*Q571)*_xlfn.NORM.S.DIST(Y571,0)*SQRT(Q571)/100))</f>
        <v/>
      </c>
      <c r="P571" s="69" t="str">
        <f>IF(A571="","",IF(A571=Expiry,0,AK571*I571*Mult*((-EXP(-q*Q571)*E571*_xlfn.NORM.S.DIST(Y571,0)*sigma/(2*SQRT(Q571))-r_dom*K*EXP(-r_dom*Q571)*_xlfn.NORM.S.DIST(Z571,1)+q*E571*EXP(-q*Q571)*_xlfn.NORM.S.DIST(Y571,1))/365)))</f>
        <v/>
      </c>
      <c r="Q571" s="83" t="str">
        <f t="shared" si="239"/>
        <v/>
      </c>
      <c r="R571" s="38"/>
      <c r="S571" s="68" t="str">
        <f t="shared" si="240"/>
        <v/>
      </c>
      <c r="T571" s="69" t="str">
        <f t="shared" si="241"/>
        <v/>
      </c>
      <c r="U571" s="70" t="str">
        <f t="shared" si="242"/>
        <v/>
      </c>
      <c r="V571" s="72" t="str">
        <f t="shared" si="243"/>
        <v/>
      </c>
      <c r="W571" s="2" t="str">
        <f t="shared" si="230"/>
        <v/>
      </c>
      <c r="X571" s="2" t="str">
        <f t="shared" si="225"/>
        <v/>
      </c>
      <c r="Y571" s="35" t="str">
        <f t="shared" ca="1" si="244"/>
        <v/>
      </c>
      <c r="Z571" s="36" t="str">
        <f t="shared" ca="1" si="245"/>
        <v/>
      </c>
      <c r="AA571" s="70" t="str">
        <f t="shared" si="246"/>
        <v/>
      </c>
      <c r="AB571" s="2"/>
      <c r="AC571" s="94" t="str">
        <f t="shared" si="226"/>
        <v/>
      </c>
      <c r="AD571" s="95" t="str">
        <f t="shared" si="227"/>
        <v/>
      </c>
      <c r="AE571" s="96" t="str">
        <f t="shared" si="228"/>
        <v/>
      </c>
      <c r="AF571" s="124" t="str">
        <f t="shared" si="229"/>
        <v/>
      </c>
      <c r="AG571" s="2"/>
      <c r="AH571" s="2"/>
      <c r="AI571" s="2"/>
      <c r="AJ571" s="2"/>
      <c r="AK571" s="2"/>
      <c r="AL571" s="2"/>
    </row>
    <row r="572" spans="1:38" x14ac:dyDescent="0.2">
      <c r="A572" s="45"/>
      <c r="B572" s="43" t="str">
        <f t="shared" si="232"/>
        <v/>
      </c>
      <c r="C572" s="96" t="str">
        <f t="shared" si="231"/>
        <v/>
      </c>
      <c r="D572" s="44" t="str">
        <f t="shared" si="233"/>
        <v/>
      </c>
      <c r="E572" s="52"/>
      <c r="F572" s="63" t="str">
        <f t="shared" si="234"/>
        <v/>
      </c>
      <c r="G572" s="56" t="str">
        <f t="shared" si="235"/>
        <v/>
      </c>
      <c r="H572" s="42"/>
      <c r="I572" s="2" t="str">
        <f t="shared" si="236"/>
        <v/>
      </c>
      <c r="J572" s="54" t="str">
        <f t="shared" si="223"/>
        <v/>
      </c>
      <c r="K572" s="55" t="str">
        <f t="shared" si="237"/>
        <v/>
      </c>
      <c r="L572" s="63" t="str">
        <f t="shared" si="238"/>
        <v/>
      </c>
      <c r="M572" s="96" t="str">
        <f t="shared" si="224"/>
        <v/>
      </c>
      <c r="N572" s="96" t="str">
        <f>IF(A572="","",IF(A572=Expiry,0,EXP(-q*Q572)*_xlfn.NORM.S.DIST(Y572,0)/(sigma*SQRT(Q572))*I572*Mult/100))</f>
        <v/>
      </c>
      <c r="O572" s="96" t="str">
        <f>IF(A572="","",IF(A572=Expiry,0,D572*E572*E572*EXP(-q*Q572)*_xlfn.NORM.S.DIST(Y572,0)*SQRT(Q572)/100))</f>
        <v/>
      </c>
      <c r="P572" s="69" t="str">
        <f>IF(A572="","",IF(A572=Expiry,0,AK572*I572*Mult*((-EXP(-q*Q572)*E572*_xlfn.NORM.S.DIST(Y572,0)*sigma/(2*SQRT(Q572))-r_dom*K*EXP(-r_dom*Q572)*_xlfn.NORM.S.DIST(Z572,1)+q*E572*EXP(-q*Q572)*_xlfn.NORM.S.DIST(Y572,1))/365)))</f>
        <v/>
      </c>
      <c r="Q572" s="83" t="str">
        <f t="shared" si="239"/>
        <v/>
      </c>
      <c r="R572" s="38"/>
      <c r="S572" s="68" t="str">
        <f t="shared" si="240"/>
        <v/>
      </c>
      <c r="T572" s="69" t="str">
        <f t="shared" si="241"/>
        <v/>
      </c>
      <c r="U572" s="70" t="str">
        <f t="shared" si="242"/>
        <v/>
      </c>
      <c r="V572" s="72" t="str">
        <f t="shared" si="243"/>
        <v/>
      </c>
      <c r="W572" s="2" t="str">
        <f t="shared" si="230"/>
        <v/>
      </c>
      <c r="X572" s="2" t="str">
        <f t="shared" si="225"/>
        <v/>
      </c>
      <c r="Y572" s="35" t="str">
        <f t="shared" ca="1" si="244"/>
        <v/>
      </c>
      <c r="Z572" s="36" t="str">
        <f t="shared" ca="1" si="245"/>
        <v/>
      </c>
      <c r="AA572" s="70" t="str">
        <f t="shared" si="246"/>
        <v/>
      </c>
      <c r="AB572" s="2"/>
      <c r="AC572" s="94" t="str">
        <f t="shared" si="226"/>
        <v/>
      </c>
      <c r="AD572" s="95" t="str">
        <f t="shared" si="227"/>
        <v/>
      </c>
      <c r="AE572" s="96" t="str">
        <f t="shared" si="228"/>
        <v/>
      </c>
      <c r="AF572" s="124" t="str">
        <f t="shared" si="229"/>
        <v/>
      </c>
      <c r="AG572" s="2"/>
      <c r="AH572" s="2"/>
      <c r="AI572" s="2"/>
      <c r="AJ572" s="2"/>
      <c r="AK572" s="2"/>
      <c r="AL572" s="2"/>
    </row>
    <row r="573" spans="1:38" x14ac:dyDescent="0.2">
      <c r="A573" s="45"/>
      <c r="B573" s="43" t="str">
        <f t="shared" si="232"/>
        <v/>
      </c>
      <c r="C573" s="96" t="str">
        <f t="shared" si="231"/>
        <v/>
      </c>
      <c r="D573" s="44" t="str">
        <f t="shared" si="233"/>
        <v/>
      </c>
      <c r="E573" s="52"/>
      <c r="F573" s="63" t="str">
        <f t="shared" si="234"/>
        <v/>
      </c>
      <c r="G573" s="56" t="str">
        <f t="shared" si="235"/>
        <v/>
      </c>
      <c r="H573" s="42"/>
      <c r="I573" s="2" t="str">
        <f t="shared" si="236"/>
        <v/>
      </c>
      <c r="J573" s="54" t="str">
        <f t="shared" si="223"/>
        <v/>
      </c>
      <c r="K573" s="55" t="str">
        <f t="shared" si="237"/>
        <v/>
      </c>
      <c r="L573" s="63" t="str">
        <f t="shared" si="238"/>
        <v/>
      </c>
      <c r="M573" s="96" t="str">
        <f t="shared" si="224"/>
        <v/>
      </c>
      <c r="N573" s="96" t="str">
        <f>IF(A573="","",IF(A573=Expiry,0,EXP(-q*Q573)*_xlfn.NORM.S.DIST(Y573,0)/(sigma*SQRT(Q573))*I573*Mult/100))</f>
        <v/>
      </c>
      <c r="O573" s="96" t="str">
        <f>IF(A573="","",IF(A573=Expiry,0,D573*E573*E573*EXP(-q*Q573)*_xlfn.NORM.S.DIST(Y573,0)*SQRT(Q573)/100))</f>
        <v/>
      </c>
      <c r="P573" s="69" t="str">
        <f>IF(A573="","",IF(A573=Expiry,0,AK573*I573*Mult*((-EXP(-q*Q573)*E573*_xlfn.NORM.S.DIST(Y573,0)*sigma/(2*SQRT(Q573))-r_dom*K*EXP(-r_dom*Q573)*_xlfn.NORM.S.DIST(Z573,1)+q*E573*EXP(-q*Q573)*_xlfn.NORM.S.DIST(Y573,1))/365)))</f>
        <v/>
      </c>
      <c r="Q573" s="83" t="str">
        <f t="shared" si="239"/>
        <v/>
      </c>
      <c r="R573" s="38"/>
      <c r="S573" s="68" t="str">
        <f t="shared" si="240"/>
        <v/>
      </c>
      <c r="T573" s="69" t="str">
        <f t="shared" si="241"/>
        <v/>
      </c>
      <c r="U573" s="70" t="str">
        <f t="shared" si="242"/>
        <v/>
      </c>
      <c r="V573" s="72" t="str">
        <f t="shared" si="243"/>
        <v/>
      </c>
      <c r="W573" s="2" t="str">
        <f t="shared" si="230"/>
        <v/>
      </c>
      <c r="X573" s="2" t="str">
        <f t="shared" si="225"/>
        <v/>
      </c>
      <c r="Y573" s="35" t="str">
        <f t="shared" ca="1" si="244"/>
        <v/>
      </c>
      <c r="Z573" s="36" t="str">
        <f t="shared" ca="1" si="245"/>
        <v/>
      </c>
      <c r="AA573" s="70" t="str">
        <f t="shared" si="246"/>
        <v/>
      </c>
      <c r="AB573" s="2"/>
      <c r="AC573" s="94" t="str">
        <f t="shared" si="226"/>
        <v/>
      </c>
      <c r="AD573" s="95" t="str">
        <f t="shared" si="227"/>
        <v/>
      </c>
      <c r="AE573" s="96" t="str">
        <f t="shared" si="228"/>
        <v/>
      </c>
      <c r="AF573" s="124" t="str">
        <f t="shared" si="229"/>
        <v/>
      </c>
      <c r="AG573" s="2"/>
      <c r="AH573" s="2"/>
      <c r="AI573" s="2"/>
      <c r="AJ573" s="2"/>
      <c r="AK573" s="2"/>
      <c r="AL573" s="2"/>
    </row>
    <row r="574" spans="1:38" x14ac:dyDescent="0.2">
      <c r="A574" s="45"/>
      <c r="B574" s="43" t="str">
        <f t="shared" si="232"/>
        <v/>
      </c>
      <c r="C574" s="96" t="str">
        <f t="shared" si="231"/>
        <v/>
      </c>
      <c r="D574" s="44" t="str">
        <f t="shared" si="233"/>
        <v/>
      </c>
      <c r="E574" s="52"/>
      <c r="F574" s="63" t="str">
        <f t="shared" si="234"/>
        <v/>
      </c>
      <c r="G574" s="56" t="str">
        <f t="shared" si="235"/>
        <v/>
      </c>
      <c r="H574" s="42"/>
      <c r="I574" s="2" t="str">
        <f t="shared" si="236"/>
        <v/>
      </c>
      <c r="J574" s="54" t="str">
        <f t="shared" si="223"/>
        <v/>
      </c>
      <c r="K574" s="55" t="str">
        <f t="shared" si="237"/>
        <v/>
      </c>
      <c r="L574" s="63" t="str">
        <f t="shared" si="238"/>
        <v/>
      </c>
      <c r="M574" s="96" t="str">
        <f t="shared" si="224"/>
        <v/>
      </c>
      <c r="N574" s="96" t="str">
        <f>IF(A574="","",IF(A574=Expiry,0,EXP(-q*Q574)*_xlfn.NORM.S.DIST(Y574,0)/(sigma*SQRT(Q574))*I574*Mult/100))</f>
        <v/>
      </c>
      <c r="O574" s="96" t="str">
        <f>IF(A574="","",IF(A574=Expiry,0,D574*E574*E574*EXP(-q*Q574)*_xlfn.NORM.S.DIST(Y574,0)*SQRT(Q574)/100))</f>
        <v/>
      </c>
      <c r="P574" s="69" t="str">
        <f>IF(A574="","",IF(A574=Expiry,0,AK574*I574*Mult*((-EXP(-q*Q574)*E574*_xlfn.NORM.S.DIST(Y574,0)*sigma/(2*SQRT(Q574))-r_dom*K*EXP(-r_dom*Q574)*_xlfn.NORM.S.DIST(Z574,1)+q*E574*EXP(-q*Q574)*_xlfn.NORM.S.DIST(Y574,1))/365)))</f>
        <v/>
      </c>
      <c r="Q574" s="83" t="str">
        <f t="shared" si="239"/>
        <v/>
      </c>
      <c r="R574" s="38"/>
      <c r="S574" s="68" t="str">
        <f t="shared" si="240"/>
        <v/>
      </c>
      <c r="T574" s="69" t="str">
        <f t="shared" si="241"/>
        <v/>
      </c>
      <c r="U574" s="70" t="str">
        <f t="shared" si="242"/>
        <v/>
      </c>
      <c r="V574" s="72" t="str">
        <f t="shared" si="243"/>
        <v/>
      </c>
      <c r="W574" s="2" t="str">
        <f t="shared" si="230"/>
        <v/>
      </c>
      <c r="X574" s="2" t="str">
        <f t="shared" si="225"/>
        <v/>
      </c>
      <c r="Y574" s="35" t="str">
        <f t="shared" ca="1" si="244"/>
        <v/>
      </c>
      <c r="Z574" s="36" t="str">
        <f t="shared" ca="1" si="245"/>
        <v/>
      </c>
      <c r="AA574" s="70" t="str">
        <f t="shared" si="246"/>
        <v/>
      </c>
      <c r="AB574" s="2"/>
      <c r="AC574" s="94" t="str">
        <f t="shared" si="226"/>
        <v/>
      </c>
      <c r="AD574" s="95" t="str">
        <f t="shared" si="227"/>
        <v/>
      </c>
      <c r="AE574" s="96" t="str">
        <f t="shared" si="228"/>
        <v/>
      </c>
      <c r="AF574" s="124" t="str">
        <f t="shared" si="229"/>
        <v/>
      </c>
      <c r="AG574" s="2"/>
      <c r="AH574" s="2"/>
      <c r="AI574" s="2"/>
      <c r="AJ574" s="2"/>
      <c r="AK574" s="2"/>
      <c r="AL574" s="2"/>
    </row>
    <row r="575" spans="1:38" x14ac:dyDescent="0.2">
      <c r="A575" s="45"/>
      <c r="B575" s="43" t="str">
        <f t="shared" si="232"/>
        <v/>
      </c>
      <c r="C575" s="96" t="str">
        <f t="shared" si="231"/>
        <v/>
      </c>
      <c r="D575" s="44" t="str">
        <f t="shared" si="233"/>
        <v/>
      </c>
      <c r="E575" s="52"/>
      <c r="F575" s="63" t="str">
        <f t="shared" si="234"/>
        <v/>
      </c>
      <c r="G575" s="56" t="str">
        <f t="shared" si="235"/>
        <v/>
      </c>
      <c r="H575" s="42"/>
      <c r="I575" s="2" t="str">
        <f t="shared" si="236"/>
        <v/>
      </c>
      <c r="J575" s="54" t="str">
        <f t="shared" si="223"/>
        <v/>
      </c>
      <c r="K575" s="55" t="str">
        <f t="shared" si="237"/>
        <v/>
      </c>
      <c r="L575" s="63" t="str">
        <f t="shared" si="238"/>
        <v/>
      </c>
      <c r="M575" s="96" t="str">
        <f t="shared" si="224"/>
        <v/>
      </c>
      <c r="N575" s="96" t="str">
        <f>IF(A575="","",IF(A575=Expiry,0,EXP(-q*Q575)*_xlfn.NORM.S.DIST(Y575,0)/(sigma*SQRT(Q575))*I575*Mult/100))</f>
        <v/>
      </c>
      <c r="O575" s="96" t="str">
        <f>IF(A575="","",IF(A575=Expiry,0,D575*E575*E575*EXP(-q*Q575)*_xlfn.NORM.S.DIST(Y575,0)*SQRT(Q575)/100))</f>
        <v/>
      </c>
      <c r="P575" s="69" t="str">
        <f>IF(A575="","",IF(A575=Expiry,0,AK575*I575*Mult*((-EXP(-q*Q575)*E575*_xlfn.NORM.S.DIST(Y575,0)*sigma/(2*SQRT(Q575))-r_dom*K*EXP(-r_dom*Q575)*_xlfn.NORM.S.DIST(Z575,1)+q*E575*EXP(-q*Q575)*_xlfn.NORM.S.DIST(Y575,1))/365)))</f>
        <v/>
      </c>
      <c r="Q575" s="83" t="str">
        <f t="shared" si="239"/>
        <v/>
      </c>
      <c r="R575" s="38"/>
      <c r="S575" s="68" t="str">
        <f t="shared" si="240"/>
        <v/>
      </c>
      <c r="T575" s="69" t="str">
        <f t="shared" si="241"/>
        <v/>
      </c>
      <c r="U575" s="70" t="str">
        <f t="shared" si="242"/>
        <v/>
      </c>
      <c r="V575" s="72" t="str">
        <f t="shared" si="243"/>
        <v/>
      </c>
      <c r="W575" s="2" t="str">
        <f t="shared" si="230"/>
        <v/>
      </c>
      <c r="X575" s="2" t="str">
        <f t="shared" si="225"/>
        <v/>
      </c>
      <c r="Y575" s="35" t="str">
        <f t="shared" ca="1" si="244"/>
        <v/>
      </c>
      <c r="Z575" s="36" t="str">
        <f t="shared" ca="1" si="245"/>
        <v/>
      </c>
      <c r="AA575" s="70" t="str">
        <f t="shared" si="246"/>
        <v/>
      </c>
      <c r="AB575" s="2"/>
      <c r="AC575" s="94" t="str">
        <f t="shared" si="226"/>
        <v/>
      </c>
      <c r="AD575" s="95" t="str">
        <f t="shared" si="227"/>
        <v/>
      </c>
      <c r="AE575" s="96" t="str">
        <f t="shared" si="228"/>
        <v/>
      </c>
      <c r="AF575" s="124" t="str">
        <f t="shared" si="229"/>
        <v/>
      </c>
      <c r="AG575" s="2"/>
      <c r="AH575" s="2"/>
      <c r="AI575" s="2"/>
      <c r="AJ575" s="2"/>
      <c r="AK575" s="2"/>
      <c r="AL575" s="2"/>
    </row>
    <row r="576" spans="1:38" x14ac:dyDescent="0.2">
      <c r="A576" s="45"/>
      <c r="B576" s="43" t="str">
        <f t="shared" si="232"/>
        <v/>
      </c>
      <c r="C576" s="96" t="str">
        <f t="shared" si="231"/>
        <v/>
      </c>
      <c r="D576" s="44" t="str">
        <f t="shared" si="233"/>
        <v/>
      </c>
      <c r="E576" s="52"/>
      <c r="F576" s="63" t="str">
        <f t="shared" si="234"/>
        <v/>
      </c>
      <c r="G576" s="56" t="str">
        <f t="shared" si="235"/>
        <v/>
      </c>
      <c r="H576" s="42"/>
      <c r="I576" s="2" t="str">
        <f t="shared" si="236"/>
        <v/>
      </c>
      <c r="J576" s="54" t="str">
        <f t="shared" si="223"/>
        <v/>
      </c>
      <c r="K576" s="55" t="str">
        <f t="shared" si="237"/>
        <v/>
      </c>
      <c r="L576" s="63" t="str">
        <f t="shared" si="238"/>
        <v/>
      </c>
      <c r="M576" s="96" t="str">
        <f t="shared" si="224"/>
        <v/>
      </c>
      <c r="N576" s="96" t="str">
        <f>IF(A576="","",IF(A576=Expiry,0,EXP(-q*Q576)*_xlfn.NORM.S.DIST(Y576,0)/(sigma*SQRT(Q576))*I576*Mult/100))</f>
        <v/>
      </c>
      <c r="O576" s="96" t="str">
        <f>IF(A576="","",IF(A576=Expiry,0,D576*E576*E576*EXP(-q*Q576)*_xlfn.NORM.S.DIST(Y576,0)*SQRT(Q576)/100))</f>
        <v/>
      </c>
      <c r="P576" s="69" t="str">
        <f>IF(A576="","",IF(A576=Expiry,0,AK576*I576*Mult*((-EXP(-q*Q576)*E576*_xlfn.NORM.S.DIST(Y576,0)*sigma/(2*SQRT(Q576))-r_dom*K*EXP(-r_dom*Q576)*_xlfn.NORM.S.DIST(Z576,1)+q*E576*EXP(-q*Q576)*_xlfn.NORM.S.DIST(Y576,1))/365)))</f>
        <v/>
      </c>
      <c r="Q576" s="83" t="str">
        <f t="shared" si="239"/>
        <v/>
      </c>
      <c r="R576" s="38"/>
      <c r="S576" s="68" t="str">
        <f t="shared" si="240"/>
        <v/>
      </c>
      <c r="T576" s="69" t="str">
        <f t="shared" si="241"/>
        <v/>
      </c>
      <c r="U576" s="70" t="str">
        <f t="shared" si="242"/>
        <v/>
      </c>
      <c r="V576" s="72" t="str">
        <f t="shared" si="243"/>
        <v/>
      </c>
      <c r="W576" s="2" t="str">
        <f t="shared" si="230"/>
        <v/>
      </c>
      <c r="X576" s="2" t="str">
        <f t="shared" si="225"/>
        <v/>
      </c>
      <c r="Y576" s="35" t="str">
        <f t="shared" ca="1" si="244"/>
        <v/>
      </c>
      <c r="Z576" s="36" t="str">
        <f t="shared" ca="1" si="245"/>
        <v/>
      </c>
      <c r="AA576" s="70" t="str">
        <f t="shared" si="246"/>
        <v/>
      </c>
      <c r="AB576" s="2"/>
      <c r="AC576" s="94" t="str">
        <f t="shared" si="226"/>
        <v/>
      </c>
      <c r="AD576" s="95" t="str">
        <f t="shared" si="227"/>
        <v/>
      </c>
      <c r="AE576" s="96" t="str">
        <f t="shared" si="228"/>
        <v/>
      </c>
      <c r="AF576" s="124" t="str">
        <f t="shared" si="229"/>
        <v/>
      </c>
      <c r="AG576" s="2"/>
      <c r="AH576" s="2"/>
      <c r="AI576" s="2"/>
      <c r="AJ576" s="2"/>
      <c r="AK576" s="2"/>
      <c r="AL576" s="2"/>
    </row>
    <row r="577" spans="1:38" x14ac:dyDescent="0.2">
      <c r="A577" s="45"/>
      <c r="B577" s="43" t="str">
        <f t="shared" si="232"/>
        <v/>
      </c>
      <c r="C577" s="96" t="str">
        <f t="shared" si="231"/>
        <v/>
      </c>
      <c r="D577" s="44" t="str">
        <f t="shared" si="233"/>
        <v/>
      </c>
      <c r="E577" s="52"/>
      <c r="F577" s="63" t="str">
        <f t="shared" si="234"/>
        <v/>
      </c>
      <c r="G577" s="56" t="str">
        <f t="shared" si="235"/>
        <v/>
      </c>
      <c r="H577" s="42"/>
      <c r="I577" s="2" t="str">
        <f t="shared" si="236"/>
        <v/>
      </c>
      <c r="J577" s="54" t="str">
        <f t="shared" si="223"/>
        <v/>
      </c>
      <c r="K577" s="55" t="str">
        <f t="shared" si="237"/>
        <v/>
      </c>
      <c r="L577" s="63" t="str">
        <f t="shared" si="238"/>
        <v/>
      </c>
      <c r="M577" s="96" t="str">
        <f t="shared" si="224"/>
        <v/>
      </c>
      <c r="N577" s="96" t="str">
        <f>IF(A577="","",IF(A577=Expiry,0,EXP(-q*Q577)*_xlfn.NORM.S.DIST(Y577,0)/(sigma*SQRT(Q577))*I577*Mult/100))</f>
        <v/>
      </c>
      <c r="O577" s="96" t="str">
        <f>IF(A577="","",IF(A577=Expiry,0,D577*E577*E577*EXP(-q*Q577)*_xlfn.NORM.S.DIST(Y577,0)*SQRT(Q577)/100))</f>
        <v/>
      </c>
      <c r="P577" s="69" t="str">
        <f>IF(A577="","",IF(A577=Expiry,0,AK577*I577*Mult*((-EXP(-q*Q577)*E577*_xlfn.NORM.S.DIST(Y577,0)*sigma/(2*SQRT(Q577))-r_dom*K*EXP(-r_dom*Q577)*_xlfn.NORM.S.DIST(Z577,1)+q*E577*EXP(-q*Q577)*_xlfn.NORM.S.DIST(Y577,1))/365)))</f>
        <v/>
      </c>
      <c r="Q577" s="83" t="str">
        <f t="shared" si="239"/>
        <v/>
      </c>
      <c r="R577" s="38"/>
      <c r="S577" s="68" t="str">
        <f t="shared" si="240"/>
        <v/>
      </c>
      <c r="T577" s="69" t="str">
        <f t="shared" si="241"/>
        <v/>
      </c>
      <c r="U577" s="70" t="str">
        <f t="shared" si="242"/>
        <v/>
      </c>
      <c r="V577" s="72" t="str">
        <f t="shared" si="243"/>
        <v/>
      </c>
      <c r="W577" s="2" t="str">
        <f t="shared" si="230"/>
        <v/>
      </c>
      <c r="X577" s="2" t="str">
        <f t="shared" si="225"/>
        <v/>
      </c>
      <c r="Y577" s="35" t="str">
        <f t="shared" ca="1" si="244"/>
        <v/>
      </c>
      <c r="Z577" s="36" t="str">
        <f t="shared" ca="1" si="245"/>
        <v/>
      </c>
      <c r="AA577" s="70" t="str">
        <f t="shared" si="246"/>
        <v/>
      </c>
      <c r="AB577" s="2"/>
      <c r="AC577" s="94" t="str">
        <f t="shared" si="226"/>
        <v/>
      </c>
      <c r="AD577" s="95" t="str">
        <f t="shared" si="227"/>
        <v/>
      </c>
      <c r="AE577" s="96" t="str">
        <f t="shared" si="228"/>
        <v/>
      </c>
      <c r="AF577" s="124" t="str">
        <f t="shared" si="229"/>
        <v/>
      </c>
      <c r="AG577" s="2"/>
      <c r="AH577" s="2"/>
      <c r="AI577" s="2"/>
      <c r="AJ577" s="2"/>
      <c r="AK577" s="2"/>
      <c r="AL577" s="2"/>
    </row>
    <row r="578" spans="1:38" x14ac:dyDescent="0.2">
      <c r="A578" s="45"/>
      <c r="B578" s="43" t="str">
        <f t="shared" si="232"/>
        <v/>
      </c>
      <c r="C578" s="96" t="str">
        <f t="shared" si="231"/>
        <v/>
      </c>
      <c r="D578" s="44" t="str">
        <f t="shared" si="233"/>
        <v/>
      </c>
      <c r="E578" s="52"/>
      <c r="F578" s="63" t="str">
        <f t="shared" si="234"/>
        <v/>
      </c>
      <c r="G578" s="56" t="str">
        <f t="shared" si="235"/>
        <v/>
      </c>
      <c r="H578" s="42"/>
      <c r="I578" s="2" t="str">
        <f t="shared" si="236"/>
        <v/>
      </c>
      <c r="J578" s="54" t="str">
        <f t="shared" si="223"/>
        <v/>
      </c>
      <c r="K578" s="55" t="str">
        <f t="shared" si="237"/>
        <v/>
      </c>
      <c r="L578" s="63" t="str">
        <f t="shared" si="238"/>
        <v/>
      </c>
      <c r="M578" s="96" t="str">
        <f t="shared" si="224"/>
        <v/>
      </c>
      <c r="N578" s="96" t="str">
        <f>IF(A578="","",IF(A578=Expiry,0,EXP(-q*Q578)*_xlfn.NORM.S.DIST(Y578,0)/(sigma*SQRT(Q578))*I578*Mult/100))</f>
        <v/>
      </c>
      <c r="O578" s="96" t="str">
        <f>IF(A578="","",IF(A578=Expiry,0,D578*E578*E578*EXP(-q*Q578)*_xlfn.NORM.S.DIST(Y578,0)*SQRT(Q578)/100))</f>
        <v/>
      </c>
      <c r="P578" s="69" t="str">
        <f>IF(A578="","",IF(A578=Expiry,0,AK578*I578*Mult*((-EXP(-q*Q578)*E578*_xlfn.NORM.S.DIST(Y578,0)*sigma/(2*SQRT(Q578))-r_dom*K*EXP(-r_dom*Q578)*_xlfn.NORM.S.DIST(Z578,1)+q*E578*EXP(-q*Q578)*_xlfn.NORM.S.DIST(Y578,1))/365)))</f>
        <v/>
      </c>
      <c r="Q578" s="83" t="str">
        <f t="shared" si="239"/>
        <v/>
      </c>
      <c r="R578" s="38"/>
      <c r="S578" s="68" t="str">
        <f t="shared" si="240"/>
        <v/>
      </c>
      <c r="T578" s="69" t="str">
        <f t="shared" si="241"/>
        <v/>
      </c>
      <c r="U578" s="70" t="str">
        <f t="shared" si="242"/>
        <v/>
      </c>
      <c r="V578" s="72" t="str">
        <f t="shared" si="243"/>
        <v/>
      </c>
      <c r="W578" s="2" t="str">
        <f t="shared" si="230"/>
        <v/>
      </c>
      <c r="X578" s="2" t="str">
        <f t="shared" si="225"/>
        <v/>
      </c>
      <c r="Y578" s="35" t="str">
        <f t="shared" ca="1" si="244"/>
        <v/>
      </c>
      <c r="Z578" s="36" t="str">
        <f t="shared" ca="1" si="245"/>
        <v/>
      </c>
      <c r="AA578" s="70" t="str">
        <f t="shared" si="246"/>
        <v/>
      </c>
      <c r="AB578" s="2"/>
      <c r="AC578" s="94" t="str">
        <f t="shared" si="226"/>
        <v/>
      </c>
      <c r="AD578" s="95" t="str">
        <f t="shared" si="227"/>
        <v/>
      </c>
      <c r="AE578" s="96" t="str">
        <f t="shared" si="228"/>
        <v/>
      </c>
      <c r="AF578" s="124" t="str">
        <f t="shared" si="229"/>
        <v/>
      </c>
      <c r="AG578" s="2"/>
      <c r="AH578" s="2"/>
      <c r="AI578" s="2"/>
      <c r="AJ578" s="2"/>
      <c r="AK578" s="2"/>
      <c r="AL578" s="2"/>
    </row>
    <row r="579" spans="1:38" x14ac:dyDescent="0.2">
      <c r="A579" s="45"/>
      <c r="B579" s="43" t="str">
        <f t="shared" si="232"/>
        <v/>
      </c>
      <c r="C579" s="96" t="str">
        <f t="shared" si="231"/>
        <v/>
      </c>
      <c r="D579" s="44" t="str">
        <f t="shared" si="233"/>
        <v/>
      </c>
      <c r="E579" s="52"/>
      <c r="F579" s="63" t="str">
        <f t="shared" si="234"/>
        <v/>
      </c>
      <c r="G579" s="56" t="str">
        <f t="shared" si="235"/>
        <v/>
      </c>
      <c r="H579" s="42"/>
      <c r="I579" s="2" t="str">
        <f t="shared" si="236"/>
        <v/>
      </c>
      <c r="J579" s="54" t="str">
        <f t="shared" si="223"/>
        <v/>
      </c>
      <c r="K579" s="55" t="str">
        <f t="shared" si="237"/>
        <v/>
      </c>
      <c r="L579" s="63" t="str">
        <f t="shared" si="238"/>
        <v/>
      </c>
      <c r="M579" s="96" t="str">
        <f t="shared" si="224"/>
        <v/>
      </c>
      <c r="N579" s="96" t="str">
        <f>IF(A579="","",IF(A579=Expiry,0,EXP(-q*Q579)*_xlfn.NORM.S.DIST(Y579,0)/(sigma*SQRT(Q579))*I579*Mult/100))</f>
        <v/>
      </c>
      <c r="O579" s="96" t="str">
        <f>IF(A579="","",IF(A579=Expiry,0,D579*E579*E579*EXP(-q*Q579)*_xlfn.NORM.S.DIST(Y579,0)*SQRT(Q579)/100))</f>
        <v/>
      </c>
      <c r="P579" s="69" t="str">
        <f>IF(A579="","",IF(A579=Expiry,0,AK579*I579*Mult*((-EXP(-q*Q579)*E579*_xlfn.NORM.S.DIST(Y579,0)*sigma/(2*SQRT(Q579))-r_dom*K*EXP(-r_dom*Q579)*_xlfn.NORM.S.DIST(Z579,1)+q*E579*EXP(-q*Q579)*_xlfn.NORM.S.DIST(Y579,1))/365)))</f>
        <v/>
      </c>
      <c r="Q579" s="83" t="str">
        <f t="shared" si="239"/>
        <v/>
      </c>
      <c r="R579" s="38"/>
      <c r="S579" s="68" t="str">
        <f t="shared" si="240"/>
        <v/>
      </c>
      <c r="T579" s="69" t="str">
        <f t="shared" si="241"/>
        <v/>
      </c>
      <c r="U579" s="70" t="str">
        <f t="shared" si="242"/>
        <v/>
      </c>
      <c r="V579" s="72" t="str">
        <f t="shared" si="243"/>
        <v/>
      </c>
      <c r="W579" s="2" t="str">
        <f t="shared" si="230"/>
        <v/>
      </c>
      <c r="X579" s="2" t="str">
        <f t="shared" si="225"/>
        <v/>
      </c>
      <c r="Y579" s="35" t="str">
        <f t="shared" ca="1" si="244"/>
        <v/>
      </c>
      <c r="Z579" s="36" t="str">
        <f t="shared" ca="1" si="245"/>
        <v/>
      </c>
      <c r="AA579" s="70" t="str">
        <f t="shared" si="246"/>
        <v/>
      </c>
      <c r="AB579" s="2"/>
      <c r="AC579" s="94" t="str">
        <f t="shared" si="226"/>
        <v/>
      </c>
      <c r="AD579" s="95" t="str">
        <f t="shared" si="227"/>
        <v/>
      </c>
      <c r="AE579" s="96" t="str">
        <f t="shared" si="228"/>
        <v/>
      </c>
      <c r="AF579" s="124" t="str">
        <f t="shared" si="229"/>
        <v/>
      </c>
      <c r="AG579" s="2"/>
      <c r="AH579" s="2"/>
      <c r="AI579" s="2"/>
      <c r="AJ579" s="2"/>
      <c r="AK579" s="2"/>
      <c r="AL579" s="2"/>
    </row>
    <row r="580" spans="1:38" x14ac:dyDescent="0.2">
      <c r="A580" s="45"/>
      <c r="B580" s="43" t="str">
        <f t="shared" si="232"/>
        <v/>
      </c>
      <c r="C580" s="96" t="str">
        <f t="shared" si="231"/>
        <v/>
      </c>
      <c r="D580" s="44" t="str">
        <f t="shared" si="233"/>
        <v/>
      </c>
      <c r="E580" s="52"/>
      <c r="F580" s="63" t="str">
        <f t="shared" si="234"/>
        <v/>
      </c>
      <c r="G580" s="56" t="str">
        <f t="shared" si="235"/>
        <v/>
      </c>
      <c r="H580" s="42"/>
      <c r="I580" s="2" t="str">
        <f t="shared" si="236"/>
        <v/>
      </c>
      <c r="J580" s="54" t="str">
        <f t="shared" si="223"/>
        <v/>
      </c>
      <c r="K580" s="55" t="str">
        <f t="shared" si="237"/>
        <v/>
      </c>
      <c r="L580" s="63" t="str">
        <f t="shared" si="238"/>
        <v/>
      </c>
      <c r="M580" s="96" t="str">
        <f t="shared" si="224"/>
        <v/>
      </c>
      <c r="N580" s="96" t="str">
        <f>IF(A580="","",IF(A580=Expiry,0,EXP(-q*Q580)*_xlfn.NORM.S.DIST(Y580,0)/(sigma*SQRT(Q580))*I580*Mult/100))</f>
        <v/>
      </c>
      <c r="O580" s="96" t="str">
        <f>IF(A580="","",IF(A580=Expiry,0,D580*E580*E580*EXP(-q*Q580)*_xlfn.NORM.S.DIST(Y580,0)*SQRT(Q580)/100))</f>
        <v/>
      </c>
      <c r="P580" s="69" t="str">
        <f>IF(A580="","",IF(A580=Expiry,0,AK580*I580*Mult*((-EXP(-q*Q580)*E580*_xlfn.NORM.S.DIST(Y580,0)*sigma/(2*SQRT(Q580))-r_dom*K*EXP(-r_dom*Q580)*_xlfn.NORM.S.DIST(Z580,1)+q*E580*EXP(-q*Q580)*_xlfn.NORM.S.DIST(Y580,1))/365)))</f>
        <v/>
      </c>
      <c r="Q580" s="83" t="str">
        <f t="shared" si="239"/>
        <v/>
      </c>
      <c r="R580" s="38"/>
      <c r="S580" s="68" t="str">
        <f t="shared" si="240"/>
        <v/>
      </c>
      <c r="T580" s="69" t="str">
        <f t="shared" si="241"/>
        <v/>
      </c>
      <c r="U580" s="70" t="str">
        <f t="shared" si="242"/>
        <v/>
      </c>
      <c r="V580" s="72" t="str">
        <f t="shared" si="243"/>
        <v/>
      </c>
      <c r="W580" s="2" t="str">
        <f t="shared" si="230"/>
        <v/>
      </c>
      <c r="X580" s="2" t="str">
        <f t="shared" si="225"/>
        <v/>
      </c>
      <c r="Y580" s="35" t="str">
        <f t="shared" ca="1" si="244"/>
        <v/>
      </c>
      <c r="Z580" s="36" t="str">
        <f t="shared" ca="1" si="245"/>
        <v/>
      </c>
      <c r="AA580" s="70" t="str">
        <f t="shared" si="246"/>
        <v/>
      </c>
      <c r="AB580" s="2"/>
      <c r="AC580" s="94" t="str">
        <f t="shared" si="226"/>
        <v/>
      </c>
      <c r="AD580" s="95" t="str">
        <f t="shared" si="227"/>
        <v/>
      </c>
      <c r="AE580" s="96" t="str">
        <f t="shared" si="228"/>
        <v/>
      </c>
      <c r="AF580" s="124" t="str">
        <f t="shared" si="229"/>
        <v/>
      </c>
      <c r="AG580" s="2"/>
      <c r="AH580" s="2"/>
      <c r="AI580" s="2"/>
      <c r="AJ580" s="2"/>
      <c r="AK580" s="2"/>
      <c r="AL580" s="2"/>
    </row>
    <row r="581" spans="1:38" x14ac:dyDescent="0.2">
      <c r="A581" s="45"/>
      <c r="B581" s="43" t="str">
        <f t="shared" si="232"/>
        <v/>
      </c>
      <c r="C581" s="96" t="str">
        <f t="shared" si="231"/>
        <v/>
      </c>
      <c r="D581" s="44" t="str">
        <f t="shared" si="233"/>
        <v/>
      </c>
      <c r="E581" s="52"/>
      <c r="F581" s="63" t="str">
        <f t="shared" si="234"/>
        <v/>
      </c>
      <c r="G581" s="56" t="str">
        <f t="shared" si="235"/>
        <v/>
      </c>
      <c r="H581" s="42"/>
      <c r="I581" s="2" t="str">
        <f t="shared" si="236"/>
        <v/>
      </c>
      <c r="J581" s="54" t="str">
        <f t="shared" si="223"/>
        <v/>
      </c>
      <c r="K581" s="55" t="str">
        <f t="shared" si="237"/>
        <v/>
      </c>
      <c r="L581" s="63" t="str">
        <f t="shared" si="238"/>
        <v/>
      </c>
      <c r="M581" s="96" t="str">
        <f t="shared" si="224"/>
        <v/>
      </c>
      <c r="N581" s="96" t="str">
        <f>IF(A581="","",IF(A581=Expiry,0,EXP(-q*Q581)*_xlfn.NORM.S.DIST(Y581,0)/(sigma*SQRT(Q581))*I581*Mult/100))</f>
        <v/>
      </c>
      <c r="O581" s="96" t="str">
        <f>IF(A581="","",IF(A581=Expiry,0,D581*E581*E581*EXP(-q*Q581)*_xlfn.NORM.S.DIST(Y581,0)*SQRT(Q581)/100))</f>
        <v/>
      </c>
      <c r="P581" s="69" t="str">
        <f>IF(A581="","",IF(A581=Expiry,0,AK581*I581*Mult*((-EXP(-q*Q581)*E581*_xlfn.NORM.S.DIST(Y581,0)*sigma/(2*SQRT(Q581))-r_dom*K*EXP(-r_dom*Q581)*_xlfn.NORM.S.DIST(Z581,1)+q*E581*EXP(-q*Q581)*_xlfn.NORM.S.DIST(Y581,1))/365)))</f>
        <v/>
      </c>
      <c r="Q581" s="83" t="str">
        <f t="shared" si="239"/>
        <v/>
      </c>
      <c r="R581" s="38"/>
      <c r="S581" s="68" t="str">
        <f t="shared" si="240"/>
        <v/>
      </c>
      <c r="T581" s="69" t="str">
        <f t="shared" si="241"/>
        <v/>
      </c>
      <c r="U581" s="70" t="str">
        <f t="shared" si="242"/>
        <v/>
      </c>
      <c r="V581" s="72" t="str">
        <f t="shared" si="243"/>
        <v/>
      </c>
      <c r="W581" s="2" t="str">
        <f t="shared" si="230"/>
        <v/>
      </c>
      <c r="X581" s="2" t="str">
        <f t="shared" si="225"/>
        <v/>
      </c>
      <c r="Y581" s="35" t="str">
        <f t="shared" ca="1" si="244"/>
        <v/>
      </c>
      <c r="Z581" s="36" t="str">
        <f t="shared" ca="1" si="245"/>
        <v/>
      </c>
      <c r="AA581" s="70" t="str">
        <f t="shared" si="246"/>
        <v/>
      </c>
      <c r="AB581" s="2"/>
      <c r="AC581" s="94" t="str">
        <f t="shared" si="226"/>
        <v/>
      </c>
      <c r="AD581" s="95" t="str">
        <f t="shared" si="227"/>
        <v/>
      </c>
      <c r="AE581" s="96" t="str">
        <f t="shared" si="228"/>
        <v/>
      </c>
      <c r="AF581" s="124" t="str">
        <f t="shared" si="229"/>
        <v/>
      </c>
      <c r="AG581" s="2"/>
      <c r="AH581" s="2"/>
      <c r="AI581" s="2"/>
      <c r="AJ581" s="2"/>
      <c r="AK581" s="2"/>
      <c r="AL581" s="2"/>
    </row>
    <row r="582" spans="1:38" x14ac:dyDescent="0.2">
      <c r="A582" s="45"/>
      <c r="B582" s="43" t="str">
        <f t="shared" si="232"/>
        <v/>
      </c>
      <c r="C582" s="96" t="str">
        <f t="shared" si="231"/>
        <v/>
      </c>
      <c r="D582" s="44" t="str">
        <f t="shared" si="233"/>
        <v/>
      </c>
      <c r="E582" s="52"/>
      <c r="F582" s="63" t="str">
        <f t="shared" si="234"/>
        <v/>
      </c>
      <c r="G582" s="56" t="str">
        <f t="shared" si="235"/>
        <v/>
      </c>
      <c r="H582" s="42"/>
      <c r="I582" s="2" t="str">
        <f t="shared" si="236"/>
        <v/>
      </c>
      <c r="J582" s="54" t="str">
        <f t="shared" si="223"/>
        <v/>
      </c>
      <c r="K582" s="55" t="str">
        <f t="shared" si="237"/>
        <v/>
      </c>
      <c r="L582" s="63" t="str">
        <f t="shared" si="238"/>
        <v/>
      </c>
      <c r="M582" s="96" t="str">
        <f t="shared" si="224"/>
        <v/>
      </c>
      <c r="N582" s="96" t="str">
        <f>IF(A582="","",IF(A582=Expiry,0,EXP(-q*Q582)*_xlfn.NORM.S.DIST(Y582,0)/(sigma*SQRT(Q582))*I582*Mult/100))</f>
        <v/>
      </c>
      <c r="O582" s="96" t="str">
        <f>IF(A582="","",IF(A582=Expiry,0,D582*E582*E582*EXP(-q*Q582)*_xlfn.NORM.S.DIST(Y582,0)*SQRT(Q582)/100))</f>
        <v/>
      </c>
      <c r="P582" s="69" t="str">
        <f>IF(A582="","",IF(A582=Expiry,0,AK582*I582*Mult*((-EXP(-q*Q582)*E582*_xlfn.NORM.S.DIST(Y582,0)*sigma/(2*SQRT(Q582))-r_dom*K*EXP(-r_dom*Q582)*_xlfn.NORM.S.DIST(Z582,1)+q*E582*EXP(-q*Q582)*_xlfn.NORM.S.DIST(Y582,1))/365)))</f>
        <v/>
      </c>
      <c r="Q582" s="83" t="str">
        <f t="shared" si="239"/>
        <v/>
      </c>
      <c r="R582" s="38"/>
      <c r="S582" s="68" t="str">
        <f t="shared" si="240"/>
        <v/>
      </c>
      <c r="T582" s="69" t="str">
        <f t="shared" si="241"/>
        <v/>
      </c>
      <c r="U582" s="70" t="str">
        <f t="shared" si="242"/>
        <v/>
      </c>
      <c r="V582" s="72" t="str">
        <f t="shared" si="243"/>
        <v/>
      </c>
      <c r="W582" s="2" t="str">
        <f t="shared" si="230"/>
        <v/>
      </c>
      <c r="X582" s="2" t="str">
        <f t="shared" si="225"/>
        <v/>
      </c>
      <c r="Y582" s="35" t="str">
        <f t="shared" ca="1" si="244"/>
        <v/>
      </c>
      <c r="Z582" s="36" t="str">
        <f t="shared" ca="1" si="245"/>
        <v/>
      </c>
      <c r="AA582" s="70" t="str">
        <f t="shared" si="246"/>
        <v/>
      </c>
      <c r="AB582" s="2"/>
      <c r="AC582" s="94" t="str">
        <f t="shared" si="226"/>
        <v/>
      </c>
      <c r="AD582" s="95" t="str">
        <f t="shared" si="227"/>
        <v/>
      </c>
      <c r="AE582" s="96" t="str">
        <f t="shared" si="228"/>
        <v/>
      </c>
      <c r="AF582" s="124" t="str">
        <f t="shared" si="229"/>
        <v/>
      </c>
      <c r="AG582" s="2"/>
      <c r="AH582" s="2"/>
      <c r="AI582" s="2"/>
      <c r="AJ582" s="2"/>
      <c r="AK582" s="2"/>
      <c r="AL582" s="2"/>
    </row>
    <row r="583" spans="1:38" x14ac:dyDescent="0.2">
      <c r="A583" s="45"/>
      <c r="B583" s="43" t="str">
        <f t="shared" si="232"/>
        <v/>
      </c>
      <c r="C583" s="96" t="str">
        <f t="shared" si="231"/>
        <v/>
      </c>
      <c r="D583" s="44" t="str">
        <f t="shared" si="233"/>
        <v/>
      </c>
      <c r="E583" s="52"/>
      <c r="F583" s="63" t="str">
        <f t="shared" si="234"/>
        <v/>
      </c>
      <c r="G583" s="56" t="str">
        <f t="shared" si="235"/>
        <v/>
      </c>
      <c r="H583" s="42"/>
      <c r="I583" s="2" t="str">
        <f t="shared" si="236"/>
        <v/>
      </c>
      <c r="J583" s="54" t="str">
        <f t="shared" si="223"/>
        <v/>
      </c>
      <c r="K583" s="55" t="str">
        <f t="shared" si="237"/>
        <v/>
      </c>
      <c r="L583" s="63" t="str">
        <f t="shared" si="238"/>
        <v/>
      </c>
      <c r="M583" s="96" t="str">
        <f t="shared" si="224"/>
        <v/>
      </c>
      <c r="N583" s="96" t="str">
        <f>IF(A583="","",IF(A583=Expiry,0,EXP(-q*Q583)*_xlfn.NORM.S.DIST(Y583,0)/(sigma*SQRT(Q583))*I583*Mult/100))</f>
        <v/>
      </c>
      <c r="O583" s="96" t="str">
        <f>IF(A583="","",IF(A583=Expiry,0,D583*E583*E583*EXP(-q*Q583)*_xlfn.NORM.S.DIST(Y583,0)*SQRT(Q583)/100))</f>
        <v/>
      </c>
      <c r="P583" s="69" t="str">
        <f>IF(A583="","",IF(A583=Expiry,0,AK583*I583*Mult*((-EXP(-q*Q583)*E583*_xlfn.NORM.S.DIST(Y583,0)*sigma/(2*SQRT(Q583))-r_dom*K*EXP(-r_dom*Q583)*_xlfn.NORM.S.DIST(Z583,1)+q*E583*EXP(-q*Q583)*_xlfn.NORM.S.DIST(Y583,1))/365)))</f>
        <v/>
      </c>
      <c r="Q583" s="83" t="str">
        <f t="shared" si="239"/>
        <v/>
      </c>
      <c r="R583" s="38"/>
      <c r="S583" s="68" t="str">
        <f t="shared" si="240"/>
        <v/>
      </c>
      <c r="T583" s="69" t="str">
        <f t="shared" si="241"/>
        <v/>
      </c>
      <c r="U583" s="70" t="str">
        <f t="shared" si="242"/>
        <v/>
      </c>
      <c r="V583" s="72" t="str">
        <f t="shared" si="243"/>
        <v/>
      </c>
      <c r="W583" s="2" t="str">
        <f t="shared" si="230"/>
        <v/>
      </c>
      <c r="X583" s="2" t="str">
        <f t="shared" si="225"/>
        <v/>
      </c>
      <c r="Y583" s="35" t="str">
        <f t="shared" ca="1" si="244"/>
        <v/>
      </c>
      <c r="Z583" s="36" t="str">
        <f t="shared" ca="1" si="245"/>
        <v/>
      </c>
      <c r="AA583" s="70" t="str">
        <f t="shared" si="246"/>
        <v/>
      </c>
      <c r="AB583" s="2"/>
      <c r="AC583" s="94" t="str">
        <f t="shared" si="226"/>
        <v/>
      </c>
      <c r="AD583" s="95" t="str">
        <f t="shared" si="227"/>
        <v/>
      </c>
      <c r="AE583" s="96" t="str">
        <f t="shared" si="228"/>
        <v/>
      </c>
      <c r="AF583" s="124" t="str">
        <f t="shared" si="229"/>
        <v/>
      </c>
      <c r="AG583" s="2"/>
      <c r="AH583" s="2"/>
      <c r="AI583" s="2"/>
      <c r="AJ583" s="2"/>
      <c r="AK583" s="2"/>
      <c r="AL583" s="2"/>
    </row>
    <row r="584" spans="1:38" x14ac:dyDescent="0.2">
      <c r="A584" s="45"/>
      <c r="B584" s="43" t="str">
        <f t="shared" si="232"/>
        <v/>
      </c>
      <c r="C584" s="96" t="str">
        <f t="shared" si="231"/>
        <v/>
      </c>
      <c r="D584" s="44" t="str">
        <f t="shared" si="233"/>
        <v/>
      </c>
      <c r="E584" s="52"/>
      <c r="F584" s="63" t="str">
        <f t="shared" si="234"/>
        <v/>
      </c>
      <c r="G584" s="56" t="str">
        <f t="shared" si="235"/>
        <v/>
      </c>
      <c r="H584" s="42"/>
      <c r="I584" s="2" t="str">
        <f t="shared" si="236"/>
        <v/>
      </c>
      <c r="J584" s="54" t="str">
        <f t="shared" si="223"/>
        <v/>
      </c>
      <c r="K584" s="55" t="str">
        <f t="shared" si="237"/>
        <v/>
      </c>
      <c r="L584" s="63" t="str">
        <f t="shared" si="238"/>
        <v/>
      </c>
      <c r="M584" s="96" t="str">
        <f t="shared" si="224"/>
        <v/>
      </c>
      <c r="N584" s="96" t="str">
        <f>IF(A584="","",IF(A584=Expiry,0,EXP(-q*Q584)*_xlfn.NORM.S.DIST(Y584,0)/(sigma*SQRT(Q584))*I584*Mult/100))</f>
        <v/>
      </c>
      <c r="O584" s="96" t="str">
        <f>IF(A584="","",IF(A584=Expiry,0,D584*E584*E584*EXP(-q*Q584)*_xlfn.NORM.S.DIST(Y584,0)*SQRT(Q584)/100))</f>
        <v/>
      </c>
      <c r="P584" s="69" t="str">
        <f>IF(A584="","",IF(A584=Expiry,0,AK584*I584*Mult*((-EXP(-q*Q584)*E584*_xlfn.NORM.S.DIST(Y584,0)*sigma/(2*SQRT(Q584))-r_dom*K*EXP(-r_dom*Q584)*_xlfn.NORM.S.DIST(Z584,1)+q*E584*EXP(-q*Q584)*_xlfn.NORM.S.DIST(Y584,1))/365)))</f>
        <v/>
      </c>
      <c r="Q584" s="83" t="str">
        <f t="shared" si="239"/>
        <v/>
      </c>
      <c r="R584" s="38"/>
      <c r="S584" s="68" t="str">
        <f t="shared" si="240"/>
        <v/>
      </c>
      <c r="T584" s="69" t="str">
        <f t="shared" si="241"/>
        <v/>
      </c>
      <c r="U584" s="70" t="str">
        <f t="shared" si="242"/>
        <v/>
      </c>
      <c r="V584" s="72" t="str">
        <f t="shared" si="243"/>
        <v/>
      </c>
      <c r="W584" s="2" t="str">
        <f t="shared" si="230"/>
        <v/>
      </c>
      <c r="X584" s="2" t="str">
        <f t="shared" si="225"/>
        <v/>
      </c>
      <c r="Y584" s="35" t="str">
        <f t="shared" ca="1" si="244"/>
        <v/>
      </c>
      <c r="Z584" s="36" t="str">
        <f t="shared" ca="1" si="245"/>
        <v/>
      </c>
      <c r="AA584" s="70" t="str">
        <f t="shared" si="246"/>
        <v/>
      </c>
      <c r="AB584" s="2"/>
      <c r="AC584" s="94" t="str">
        <f t="shared" si="226"/>
        <v/>
      </c>
      <c r="AD584" s="95" t="str">
        <f t="shared" si="227"/>
        <v/>
      </c>
      <c r="AE584" s="96" t="str">
        <f t="shared" si="228"/>
        <v/>
      </c>
      <c r="AF584" s="124" t="str">
        <f t="shared" si="229"/>
        <v/>
      </c>
      <c r="AG584" s="2"/>
      <c r="AH584" s="2"/>
      <c r="AI584" s="2"/>
      <c r="AJ584" s="2"/>
      <c r="AK584" s="2"/>
      <c r="AL584" s="2"/>
    </row>
    <row r="585" spans="1:38" x14ac:dyDescent="0.2">
      <c r="A585" s="45"/>
      <c r="B585" s="43" t="str">
        <f t="shared" si="232"/>
        <v/>
      </c>
      <c r="C585" s="96" t="str">
        <f t="shared" si="231"/>
        <v/>
      </c>
      <c r="D585" s="44" t="str">
        <f t="shared" si="233"/>
        <v/>
      </c>
      <c r="E585" s="52"/>
      <c r="F585" s="63" t="str">
        <f t="shared" si="234"/>
        <v/>
      </c>
      <c r="G585" s="56" t="str">
        <f t="shared" si="235"/>
        <v/>
      </c>
      <c r="H585" s="42"/>
      <c r="I585" s="2" t="str">
        <f t="shared" si="236"/>
        <v/>
      </c>
      <c r="J585" s="54" t="str">
        <f t="shared" si="223"/>
        <v/>
      </c>
      <c r="K585" s="55" t="str">
        <f t="shared" si="237"/>
        <v/>
      </c>
      <c r="L585" s="63" t="str">
        <f t="shared" si="238"/>
        <v/>
      </c>
      <c r="M585" s="96" t="str">
        <f t="shared" si="224"/>
        <v/>
      </c>
      <c r="N585" s="96" t="str">
        <f>IF(A585="","",IF(A585=Expiry,0,EXP(-q*Q585)*_xlfn.NORM.S.DIST(Y585,0)/(sigma*SQRT(Q585))*I585*Mult/100))</f>
        <v/>
      </c>
      <c r="O585" s="96" t="str">
        <f>IF(A585="","",IF(A585=Expiry,0,D585*E585*E585*EXP(-q*Q585)*_xlfn.NORM.S.DIST(Y585,0)*SQRT(Q585)/100))</f>
        <v/>
      </c>
      <c r="P585" s="69" t="str">
        <f>IF(A585="","",IF(A585=Expiry,0,AK585*I585*Mult*((-EXP(-q*Q585)*E585*_xlfn.NORM.S.DIST(Y585,0)*sigma/(2*SQRT(Q585))-r_dom*K*EXP(-r_dom*Q585)*_xlfn.NORM.S.DIST(Z585,1)+q*E585*EXP(-q*Q585)*_xlfn.NORM.S.DIST(Y585,1))/365)))</f>
        <v/>
      </c>
      <c r="Q585" s="83" t="str">
        <f t="shared" si="239"/>
        <v/>
      </c>
      <c r="R585" s="38"/>
      <c r="S585" s="68" t="str">
        <f t="shared" si="240"/>
        <v/>
      </c>
      <c r="T585" s="69" t="str">
        <f t="shared" si="241"/>
        <v/>
      </c>
      <c r="U585" s="70" t="str">
        <f t="shared" si="242"/>
        <v/>
      </c>
      <c r="V585" s="72" t="str">
        <f t="shared" si="243"/>
        <v/>
      </c>
      <c r="W585" s="2" t="str">
        <f t="shared" si="230"/>
        <v/>
      </c>
      <c r="X585" s="2" t="str">
        <f t="shared" si="225"/>
        <v/>
      </c>
      <c r="Y585" s="35" t="str">
        <f t="shared" ca="1" si="244"/>
        <v/>
      </c>
      <c r="Z585" s="36" t="str">
        <f t="shared" ca="1" si="245"/>
        <v/>
      </c>
      <c r="AA585" s="70" t="str">
        <f t="shared" si="246"/>
        <v/>
      </c>
      <c r="AB585" s="2"/>
      <c r="AC585" s="94" t="str">
        <f t="shared" si="226"/>
        <v/>
      </c>
      <c r="AD585" s="95" t="str">
        <f t="shared" si="227"/>
        <v/>
      </c>
      <c r="AE585" s="96" t="str">
        <f t="shared" si="228"/>
        <v/>
      </c>
      <c r="AF585" s="124" t="str">
        <f t="shared" si="229"/>
        <v/>
      </c>
      <c r="AG585" s="2"/>
      <c r="AH585" s="2"/>
      <c r="AI585" s="2"/>
      <c r="AJ585" s="2"/>
      <c r="AK585" s="2"/>
      <c r="AL585" s="2"/>
    </row>
    <row r="586" spans="1:38" x14ac:dyDescent="0.2">
      <c r="A586" s="45"/>
      <c r="B586" s="43" t="str">
        <f t="shared" si="232"/>
        <v/>
      </c>
      <c r="C586" s="96" t="str">
        <f t="shared" si="231"/>
        <v/>
      </c>
      <c r="D586" s="44" t="str">
        <f t="shared" si="233"/>
        <v/>
      </c>
      <c r="E586" s="52"/>
      <c r="F586" s="63" t="str">
        <f t="shared" si="234"/>
        <v/>
      </c>
      <c r="G586" s="56" t="str">
        <f t="shared" si="235"/>
        <v/>
      </c>
      <c r="H586" s="42"/>
      <c r="I586" s="2" t="str">
        <f t="shared" si="236"/>
        <v/>
      </c>
      <c r="J586" s="54" t="str">
        <f t="shared" si="223"/>
        <v/>
      </c>
      <c r="K586" s="55" t="str">
        <f t="shared" si="237"/>
        <v/>
      </c>
      <c r="L586" s="63" t="str">
        <f t="shared" si="238"/>
        <v/>
      </c>
      <c r="M586" s="96" t="str">
        <f t="shared" si="224"/>
        <v/>
      </c>
      <c r="N586" s="96" t="str">
        <f>IF(A586="","",IF(A586=Expiry,0,EXP(-q*Q586)*_xlfn.NORM.S.DIST(Y586,0)/(sigma*SQRT(Q586))*I586*Mult/100))</f>
        <v/>
      </c>
      <c r="O586" s="96" t="str">
        <f>IF(A586="","",IF(A586=Expiry,0,D586*E586*E586*EXP(-q*Q586)*_xlfn.NORM.S.DIST(Y586,0)*SQRT(Q586)/100))</f>
        <v/>
      </c>
      <c r="P586" s="69" t="str">
        <f>IF(A586="","",IF(A586=Expiry,0,AK586*I586*Mult*((-EXP(-q*Q586)*E586*_xlfn.NORM.S.DIST(Y586,0)*sigma/(2*SQRT(Q586))-r_dom*K*EXP(-r_dom*Q586)*_xlfn.NORM.S.DIST(Z586,1)+q*E586*EXP(-q*Q586)*_xlfn.NORM.S.DIST(Y586,1))/365)))</f>
        <v/>
      </c>
      <c r="Q586" s="83" t="str">
        <f t="shared" si="239"/>
        <v/>
      </c>
      <c r="R586" s="38"/>
      <c r="S586" s="68" t="str">
        <f t="shared" si="240"/>
        <v/>
      </c>
      <c r="T586" s="69" t="str">
        <f t="shared" si="241"/>
        <v/>
      </c>
      <c r="U586" s="70" t="str">
        <f t="shared" si="242"/>
        <v/>
      </c>
      <c r="V586" s="72" t="str">
        <f t="shared" si="243"/>
        <v/>
      </c>
      <c r="W586" s="2" t="str">
        <f t="shared" si="230"/>
        <v/>
      </c>
      <c r="X586" s="2" t="str">
        <f t="shared" si="225"/>
        <v/>
      </c>
      <c r="Y586" s="35" t="str">
        <f t="shared" ca="1" si="244"/>
        <v/>
      </c>
      <c r="Z586" s="36" t="str">
        <f t="shared" ca="1" si="245"/>
        <v/>
      </c>
      <c r="AA586" s="70" t="str">
        <f t="shared" si="246"/>
        <v/>
      </c>
      <c r="AB586" s="2"/>
      <c r="AC586" s="94" t="str">
        <f t="shared" si="226"/>
        <v/>
      </c>
      <c r="AD586" s="95" t="str">
        <f t="shared" si="227"/>
        <v/>
      </c>
      <c r="AE586" s="96" t="str">
        <f t="shared" si="228"/>
        <v/>
      </c>
      <c r="AF586" s="124" t="str">
        <f t="shared" si="229"/>
        <v/>
      </c>
      <c r="AG586" s="2"/>
      <c r="AH586" s="2"/>
      <c r="AI586" s="2"/>
      <c r="AJ586" s="2"/>
      <c r="AK586" s="2"/>
      <c r="AL586" s="2"/>
    </row>
    <row r="587" spans="1:38" x14ac:dyDescent="0.2">
      <c r="A587" s="45"/>
      <c r="B587" s="43" t="str">
        <f t="shared" si="232"/>
        <v/>
      </c>
      <c r="C587" s="96" t="str">
        <f t="shared" si="231"/>
        <v/>
      </c>
      <c r="D587" s="44" t="str">
        <f t="shared" si="233"/>
        <v/>
      </c>
      <c r="E587" s="52"/>
      <c r="F587" s="63" t="str">
        <f t="shared" si="234"/>
        <v/>
      </c>
      <c r="G587" s="56" t="str">
        <f t="shared" si="235"/>
        <v/>
      </c>
      <c r="H587" s="42"/>
      <c r="I587" s="2" t="str">
        <f t="shared" si="236"/>
        <v/>
      </c>
      <c r="J587" s="54" t="str">
        <f t="shared" si="223"/>
        <v/>
      </c>
      <c r="K587" s="55" t="str">
        <f t="shared" si="237"/>
        <v/>
      </c>
      <c r="L587" s="63" t="str">
        <f t="shared" si="238"/>
        <v/>
      </c>
      <c r="M587" s="96" t="str">
        <f t="shared" si="224"/>
        <v/>
      </c>
      <c r="N587" s="96" t="str">
        <f>IF(A587="","",IF(A587=Expiry,0,EXP(-q*Q587)*_xlfn.NORM.S.DIST(Y587,0)/(sigma*SQRT(Q587))*I587*Mult/100))</f>
        <v/>
      </c>
      <c r="O587" s="96" t="str">
        <f>IF(A587="","",IF(A587=Expiry,0,D587*E587*E587*EXP(-q*Q587)*_xlfn.NORM.S.DIST(Y587,0)*SQRT(Q587)/100))</f>
        <v/>
      </c>
      <c r="P587" s="69" t="str">
        <f>IF(A587="","",IF(A587=Expiry,0,AK587*I587*Mult*((-EXP(-q*Q587)*E587*_xlfn.NORM.S.DIST(Y587,0)*sigma/(2*SQRT(Q587))-r_dom*K*EXP(-r_dom*Q587)*_xlfn.NORM.S.DIST(Z587,1)+q*E587*EXP(-q*Q587)*_xlfn.NORM.S.DIST(Y587,1))/365)))</f>
        <v/>
      </c>
      <c r="Q587" s="83" t="str">
        <f t="shared" si="239"/>
        <v/>
      </c>
      <c r="R587" s="38"/>
      <c r="S587" s="68" t="str">
        <f t="shared" si="240"/>
        <v/>
      </c>
      <c r="T587" s="69" t="str">
        <f t="shared" si="241"/>
        <v/>
      </c>
      <c r="U587" s="70" t="str">
        <f t="shared" si="242"/>
        <v/>
      </c>
      <c r="V587" s="72" t="str">
        <f t="shared" si="243"/>
        <v/>
      </c>
      <c r="W587" s="2" t="str">
        <f t="shared" si="230"/>
        <v/>
      </c>
      <c r="X587" s="2" t="str">
        <f t="shared" si="225"/>
        <v/>
      </c>
      <c r="Y587" s="35" t="str">
        <f t="shared" ca="1" si="244"/>
        <v/>
      </c>
      <c r="Z587" s="36" t="str">
        <f t="shared" ca="1" si="245"/>
        <v/>
      </c>
      <c r="AA587" s="70" t="str">
        <f t="shared" si="246"/>
        <v/>
      </c>
      <c r="AB587" s="2"/>
      <c r="AC587" s="94" t="str">
        <f t="shared" si="226"/>
        <v/>
      </c>
      <c r="AD587" s="95" t="str">
        <f t="shared" si="227"/>
        <v/>
      </c>
      <c r="AE587" s="96" t="str">
        <f t="shared" si="228"/>
        <v/>
      </c>
      <c r="AF587" s="124" t="str">
        <f t="shared" si="229"/>
        <v/>
      </c>
      <c r="AG587" s="2"/>
      <c r="AH587" s="2"/>
      <c r="AI587" s="2"/>
      <c r="AJ587" s="2"/>
      <c r="AK587" s="2"/>
      <c r="AL587" s="2"/>
    </row>
    <row r="588" spans="1:38" x14ac:dyDescent="0.2">
      <c r="A588" s="45"/>
      <c r="B588" s="43" t="str">
        <f t="shared" si="232"/>
        <v/>
      </c>
      <c r="C588" s="96" t="str">
        <f t="shared" si="231"/>
        <v/>
      </c>
      <c r="D588" s="44" t="str">
        <f t="shared" si="233"/>
        <v/>
      </c>
      <c r="E588" s="52"/>
      <c r="F588" s="63" t="str">
        <f t="shared" si="234"/>
        <v/>
      </c>
      <c r="G588" s="56" t="str">
        <f t="shared" si="235"/>
        <v/>
      </c>
      <c r="H588" s="42"/>
      <c r="I588" s="2" t="str">
        <f t="shared" si="236"/>
        <v/>
      </c>
      <c r="J588" s="54" t="str">
        <f t="shared" si="223"/>
        <v/>
      </c>
      <c r="K588" s="55" t="str">
        <f t="shared" si="237"/>
        <v/>
      </c>
      <c r="L588" s="63" t="str">
        <f t="shared" si="238"/>
        <v/>
      </c>
      <c r="M588" s="96" t="str">
        <f t="shared" si="224"/>
        <v/>
      </c>
      <c r="N588" s="96" t="str">
        <f>IF(A588="","",IF(A588=Expiry,0,EXP(-q*Q588)*_xlfn.NORM.S.DIST(Y588,0)/(sigma*SQRT(Q588))*I588*Mult/100))</f>
        <v/>
      </c>
      <c r="O588" s="96" t="str">
        <f>IF(A588="","",IF(A588=Expiry,0,D588*E588*E588*EXP(-q*Q588)*_xlfn.NORM.S.DIST(Y588,0)*SQRT(Q588)/100))</f>
        <v/>
      </c>
      <c r="P588" s="69" t="str">
        <f>IF(A588="","",IF(A588=Expiry,0,AK588*I588*Mult*((-EXP(-q*Q588)*E588*_xlfn.NORM.S.DIST(Y588,0)*sigma/(2*SQRT(Q588))-r_dom*K*EXP(-r_dom*Q588)*_xlfn.NORM.S.DIST(Z588,1)+q*E588*EXP(-q*Q588)*_xlfn.NORM.S.DIST(Y588,1))/365)))</f>
        <v/>
      </c>
      <c r="Q588" s="83" t="str">
        <f t="shared" si="239"/>
        <v/>
      </c>
      <c r="R588" s="38"/>
      <c r="S588" s="68" t="str">
        <f t="shared" si="240"/>
        <v/>
      </c>
      <c r="T588" s="69" t="str">
        <f t="shared" si="241"/>
        <v/>
      </c>
      <c r="U588" s="70" t="str">
        <f t="shared" si="242"/>
        <v/>
      </c>
      <c r="V588" s="72" t="str">
        <f t="shared" si="243"/>
        <v/>
      </c>
      <c r="W588" s="2" t="str">
        <f t="shared" si="230"/>
        <v/>
      </c>
      <c r="X588" s="2" t="str">
        <f t="shared" si="225"/>
        <v/>
      </c>
      <c r="Y588" s="35" t="str">
        <f t="shared" ca="1" si="244"/>
        <v/>
      </c>
      <c r="Z588" s="36" t="str">
        <f t="shared" ca="1" si="245"/>
        <v/>
      </c>
      <c r="AA588" s="70" t="str">
        <f t="shared" si="246"/>
        <v/>
      </c>
      <c r="AB588" s="2"/>
      <c r="AC588" s="94" t="str">
        <f t="shared" si="226"/>
        <v/>
      </c>
      <c r="AD588" s="95" t="str">
        <f t="shared" si="227"/>
        <v/>
      </c>
      <c r="AE588" s="96" t="str">
        <f t="shared" si="228"/>
        <v/>
      </c>
      <c r="AF588" s="124" t="str">
        <f t="shared" si="229"/>
        <v/>
      </c>
      <c r="AG588" s="2"/>
      <c r="AH588" s="2"/>
      <c r="AI588" s="2"/>
      <c r="AJ588" s="2"/>
      <c r="AK588" s="2"/>
      <c r="AL588" s="2"/>
    </row>
    <row r="589" spans="1:38" x14ac:dyDescent="0.2">
      <c r="A589" s="45"/>
      <c r="B589" s="43" t="str">
        <f t="shared" si="232"/>
        <v/>
      </c>
      <c r="C589" s="96" t="str">
        <f t="shared" si="231"/>
        <v/>
      </c>
      <c r="D589" s="44" t="str">
        <f t="shared" si="233"/>
        <v/>
      </c>
      <c r="E589" s="52"/>
      <c r="F589" s="63" t="str">
        <f t="shared" si="234"/>
        <v/>
      </c>
      <c r="G589" s="56" t="str">
        <f t="shared" si="235"/>
        <v/>
      </c>
      <c r="H589" s="42"/>
      <c r="I589" s="2" t="str">
        <f t="shared" si="236"/>
        <v/>
      </c>
      <c r="J589" s="54" t="str">
        <f t="shared" si="223"/>
        <v/>
      </c>
      <c r="K589" s="55" t="str">
        <f t="shared" si="237"/>
        <v/>
      </c>
      <c r="L589" s="63" t="str">
        <f t="shared" si="238"/>
        <v/>
      </c>
      <c r="M589" s="96" t="str">
        <f t="shared" si="224"/>
        <v/>
      </c>
      <c r="N589" s="96" t="str">
        <f>IF(A589="","",IF(A589=Expiry,0,EXP(-q*Q589)*_xlfn.NORM.S.DIST(Y589,0)/(sigma*SQRT(Q589))*I589*Mult/100))</f>
        <v/>
      </c>
      <c r="O589" s="96" t="str">
        <f>IF(A589="","",IF(A589=Expiry,0,D589*E589*E589*EXP(-q*Q589)*_xlfn.NORM.S.DIST(Y589,0)*SQRT(Q589)/100))</f>
        <v/>
      </c>
      <c r="P589" s="69" t="str">
        <f>IF(A589="","",IF(A589=Expiry,0,AK589*I589*Mult*((-EXP(-q*Q589)*E589*_xlfn.NORM.S.DIST(Y589,0)*sigma/(2*SQRT(Q589))-r_dom*K*EXP(-r_dom*Q589)*_xlfn.NORM.S.DIST(Z589,1)+q*E589*EXP(-q*Q589)*_xlfn.NORM.S.DIST(Y589,1))/365)))</f>
        <v/>
      </c>
      <c r="Q589" s="83" t="str">
        <f t="shared" si="239"/>
        <v/>
      </c>
      <c r="R589" s="38"/>
      <c r="S589" s="68" t="str">
        <f t="shared" si="240"/>
        <v/>
      </c>
      <c r="T589" s="69" t="str">
        <f t="shared" si="241"/>
        <v/>
      </c>
      <c r="U589" s="70" t="str">
        <f t="shared" si="242"/>
        <v/>
      </c>
      <c r="V589" s="72" t="str">
        <f t="shared" si="243"/>
        <v/>
      </c>
      <c r="W589" s="2" t="str">
        <f t="shared" si="230"/>
        <v/>
      </c>
      <c r="X589" s="2" t="str">
        <f t="shared" si="225"/>
        <v/>
      </c>
      <c r="Y589" s="35" t="str">
        <f t="shared" ca="1" si="244"/>
        <v/>
      </c>
      <c r="Z589" s="36" t="str">
        <f t="shared" ca="1" si="245"/>
        <v/>
      </c>
      <c r="AA589" s="70" t="str">
        <f t="shared" si="246"/>
        <v/>
      </c>
      <c r="AB589" s="2"/>
      <c r="AC589" s="94" t="str">
        <f t="shared" si="226"/>
        <v/>
      </c>
      <c r="AD589" s="95" t="str">
        <f t="shared" si="227"/>
        <v/>
      </c>
      <c r="AE589" s="96" t="str">
        <f t="shared" si="228"/>
        <v/>
      </c>
      <c r="AF589" s="124" t="str">
        <f t="shared" si="229"/>
        <v/>
      </c>
      <c r="AG589" s="2"/>
      <c r="AH589" s="2"/>
      <c r="AI589" s="2"/>
      <c r="AJ589" s="2"/>
      <c r="AK589" s="2"/>
      <c r="AL589" s="2"/>
    </row>
    <row r="590" spans="1:38" x14ac:dyDescent="0.2">
      <c r="A590" s="45"/>
      <c r="B590" s="43" t="str">
        <f t="shared" si="232"/>
        <v/>
      </c>
      <c r="C590" s="96" t="str">
        <f t="shared" si="231"/>
        <v/>
      </c>
      <c r="D590" s="44" t="str">
        <f t="shared" si="233"/>
        <v/>
      </c>
      <c r="E590" s="52"/>
      <c r="F590" s="63" t="str">
        <f t="shared" si="234"/>
        <v/>
      </c>
      <c r="G590" s="56" t="str">
        <f t="shared" si="235"/>
        <v/>
      </c>
      <c r="H590" s="42"/>
      <c r="I590" s="2" t="str">
        <f t="shared" si="236"/>
        <v/>
      </c>
      <c r="J590" s="54" t="str">
        <f t="shared" si="223"/>
        <v/>
      </c>
      <c r="K590" s="55" t="str">
        <f t="shared" si="237"/>
        <v/>
      </c>
      <c r="L590" s="63" t="str">
        <f t="shared" si="238"/>
        <v/>
      </c>
      <c r="M590" s="96" t="str">
        <f t="shared" si="224"/>
        <v/>
      </c>
      <c r="N590" s="96" t="str">
        <f>IF(A590="","",IF(A590=Expiry,0,EXP(-q*Q590)*_xlfn.NORM.S.DIST(Y590,0)/(sigma*SQRT(Q590))*I590*Mult/100))</f>
        <v/>
      </c>
      <c r="O590" s="96" t="str">
        <f>IF(A590="","",IF(A590=Expiry,0,D590*E590*E590*EXP(-q*Q590)*_xlfn.NORM.S.DIST(Y590,0)*SQRT(Q590)/100))</f>
        <v/>
      </c>
      <c r="P590" s="69" t="str">
        <f>IF(A590="","",IF(A590=Expiry,0,AK590*I590*Mult*((-EXP(-q*Q590)*E590*_xlfn.NORM.S.DIST(Y590,0)*sigma/(2*SQRT(Q590))-r_dom*K*EXP(-r_dom*Q590)*_xlfn.NORM.S.DIST(Z590,1)+q*E590*EXP(-q*Q590)*_xlfn.NORM.S.DIST(Y590,1))/365)))</f>
        <v/>
      </c>
      <c r="Q590" s="83" t="str">
        <f t="shared" si="239"/>
        <v/>
      </c>
      <c r="R590" s="38"/>
      <c r="S590" s="68" t="str">
        <f t="shared" si="240"/>
        <v/>
      </c>
      <c r="T590" s="69" t="str">
        <f t="shared" si="241"/>
        <v/>
      </c>
      <c r="U590" s="70" t="str">
        <f t="shared" si="242"/>
        <v/>
      </c>
      <c r="V590" s="72" t="str">
        <f t="shared" si="243"/>
        <v/>
      </c>
      <c r="W590" s="2" t="str">
        <f t="shared" si="230"/>
        <v/>
      </c>
      <c r="X590" s="2" t="str">
        <f t="shared" si="225"/>
        <v/>
      </c>
      <c r="Y590" s="35" t="str">
        <f t="shared" ca="1" si="244"/>
        <v/>
      </c>
      <c r="Z590" s="36" t="str">
        <f t="shared" ca="1" si="245"/>
        <v/>
      </c>
      <c r="AA590" s="70" t="str">
        <f t="shared" si="246"/>
        <v/>
      </c>
      <c r="AB590" s="2"/>
      <c r="AC590" s="94" t="str">
        <f t="shared" si="226"/>
        <v/>
      </c>
      <c r="AD590" s="95" t="str">
        <f t="shared" si="227"/>
        <v/>
      </c>
      <c r="AE590" s="96" t="str">
        <f t="shared" si="228"/>
        <v/>
      </c>
      <c r="AF590" s="124" t="str">
        <f t="shared" si="229"/>
        <v/>
      </c>
      <c r="AG590" s="2"/>
      <c r="AH590" s="2"/>
      <c r="AI590" s="2"/>
      <c r="AJ590" s="2"/>
      <c r="AK590" s="2"/>
      <c r="AL590" s="2"/>
    </row>
    <row r="591" spans="1:38" x14ac:dyDescent="0.2">
      <c r="A591" s="45"/>
      <c r="B591" s="43" t="str">
        <f t="shared" si="232"/>
        <v/>
      </c>
      <c r="C591" s="96" t="str">
        <f t="shared" si="231"/>
        <v/>
      </c>
      <c r="D591" s="44" t="str">
        <f t="shared" si="233"/>
        <v/>
      </c>
      <c r="E591" s="52"/>
      <c r="F591" s="63" t="str">
        <f t="shared" si="234"/>
        <v/>
      </c>
      <c r="G591" s="56" t="str">
        <f t="shared" si="235"/>
        <v/>
      </c>
      <c r="H591" s="42"/>
      <c r="I591" s="2" t="str">
        <f t="shared" si="236"/>
        <v/>
      </c>
      <c r="J591" s="54" t="str">
        <f t="shared" si="223"/>
        <v/>
      </c>
      <c r="K591" s="55" t="str">
        <f t="shared" si="237"/>
        <v/>
      </c>
      <c r="L591" s="63" t="str">
        <f t="shared" si="238"/>
        <v/>
      </c>
      <c r="M591" s="96" t="str">
        <f t="shared" si="224"/>
        <v/>
      </c>
      <c r="N591" s="96" t="str">
        <f>IF(A591="","",IF(A591=Expiry,0,EXP(-q*Q591)*_xlfn.NORM.S.DIST(Y591,0)/(sigma*SQRT(Q591))*I591*Mult/100))</f>
        <v/>
      </c>
      <c r="O591" s="96" t="str">
        <f>IF(A591="","",IF(A591=Expiry,0,D591*E591*E591*EXP(-q*Q591)*_xlfn.NORM.S.DIST(Y591,0)*SQRT(Q591)/100))</f>
        <v/>
      </c>
      <c r="P591" s="69" t="str">
        <f>IF(A591="","",IF(A591=Expiry,0,AK591*I591*Mult*((-EXP(-q*Q591)*E591*_xlfn.NORM.S.DIST(Y591,0)*sigma/(2*SQRT(Q591))-r_dom*K*EXP(-r_dom*Q591)*_xlfn.NORM.S.DIST(Z591,1)+q*E591*EXP(-q*Q591)*_xlfn.NORM.S.DIST(Y591,1))/365)))</f>
        <v/>
      </c>
      <c r="Q591" s="83" t="str">
        <f t="shared" si="239"/>
        <v/>
      </c>
      <c r="R591" s="38"/>
      <c r="S591" s="68" t="str">
        <f t="shared" si="240"/>
        <v/>
      </c>
      <c r="T591" s="69" t="str">
        <f t="shared" si="241"/>
        <v/>
      </c>
      <c r="U591" s="70" t="str">
        <f t="shared" si="242"/>
        <v/>
      </c>
      <c r="V591" s="72" t="str">
        <f t="shared" si="243"/>
        <v/>
      </c>
      <c r="W591" s="2" t="str">
        <f t="shared" si="230"/>
        <v/>
      </c>
      <c r="X591" s="2" t="str">
        <f t="shared" si="225"/>
        <v/>
      </c>
      <c r="Y591" s="35" t="str">
        <f t="shared" ca="1" si="244"/>
        <v/>
      </c>
      <c r="Z591" s="36" t="str">
        <f t="shared" ca="1" si="245"/>
        <v/>
      </c>
      <c r="AA591" s="70" t="str">
        <f t="shared" si="246"/>
        <v/>
      </c>
      <c r="AB591" s="2"/>
      <c r="AC591" s="94" t="str">
        <f t="shared" si="226"/>
        <v/>
      </c>
      <c r="AD591" s="95" t="str">
        <f t="shared" si="227"/>
        <v/>
      </c>
      <c r="AE591" s="96" t="str">
        <f t="shared" si="228"/>
        <v/>
      </c>
      <c r="AF591" s="124" t="str">
        <f t="shared" si="229"/>
        <v/>
      </c>
      <c r="AG591" s="2"/>
      <c r="AH591" s="2"/>
      <c r="AI591" s="2"/>
      <c r="AJ591" s="2"/>
      <c r="AK591" s="2"/>
      <c r="AL591" s="2"/>
    </row>
    <row r="592" spans="1:38" x14ac:dyDescent="0.2">
      <c r="A592" s="45"/>
      <c r="B592" s="43" t="str">
        <f t="shared" si="232"/>
        <v/>
      </c>
      <c r="C592" s="96" t="str">
        <f t="shared" si="231"/>
        <v/>
      </c>
      <c r="D592" s="44" t="str">
        <f t="shared" si="233"/>
        <v/>
      </c>
      <c r="E592" s="52"/>
      <c r="F592" s="63" t="str">
        <f t="shared" si="234"/>
        <v/>
      </c>
      <c r="G592" s="56" t="str">
        <f t="shared" si="235"/>
        <v/>
      </c>
      <c r="H592" s="42"/>
      <c r="I592" s="2" t="str">
        <f t="shared" si="236"/>
        <v/>
      </c>
      <c r="J592" s="54" t="str">
        <f t="shared" si="223"/>
        <v/>
      </c>
      <c r="K592" s="55" t="str">
        <f t="shared" si="237"/>
        <v/>
      </c>
      <c r="L592" s="63" t="str">
        <f t="shared" si="238"/>
        <v/>
      </c>
      <c r="M592" s="96" t="str">
        <f t="shared" si="224"/>
        <v/>
      </c>
      <c r="N592" s="96" t="str">
        <f>IF(A592="","",IF(A592=Expiry,0,EXP(-q*Q592)*_xlfn.NORM.S.DIST(Y592,0)/(sigma*SQRT(Q592))*I592*Mult/100))</f>
        <v/>
      </c>
      <c r="O592" s="96" t="str">
        <f>IF(A592="","",IF(A592=Expiry,0,D592*E592*E592*EXP(-q*Q592)*_xlfn.NORM.S.DIST(Y592,0)*SQRT(Q592)/100))</f>
        <v/>
      </c>
      <c r="P592" s="69" t="str">
        <f>IF(A592="","",IF(A592=Expiry,0,AK592*I592*Mult*((-EXP(-q*Q592)*E592*_xlfn.NORM.S.DIST(Y592,0)*sigma/(2*SQRT(Q592))-r_dom*K*EXP(-r_dom*Q592)*_xlfn.NORM.S.DIST(Z592,1)+q*E592*EXP(-q*Q592)*_xlfn.NORM.S.DIST(Y592,1))/365)))</f>
        <v/>
      </c>
      <c r="Q592" s="83" t="str">
        <f t="shared" si="239"/>
        <v/>
      </c>
      <c r="R592" s="38"/>
      <c r="S592" s="68" t="str">
        <f t="shared" si="240"/>
        <v/>
      </c>
      <c r="T592" s="69" t="str">
        <f t="shared" si="241"/>
        <v/>
      </c>
      <c r="U592" s="70" t="str">
        <f t="shared" si="242"/>
        <v/>
      </c>
      <c r="V592" s="72" t="str">
        <f t="shared" si="243"/>
        <v/>
      </c>
      <c r="W592" s="2" t="str">
        <f t="shared" si="230"/>
        <v/>
      </c>
      <c r="X592" s="2" t="str">
        <f t="shared" si="225"/>
        <v/>
      </c>
      <c r="Y592" s="35" t="str">
        <f t="shared" ca="1" si="244"/>
        <v/>
      </c>
      <c r="Z592" s="36" t="str">
        <f t="shared" ca="1" si="245"/>
        <v/>
      </c>
      <c r="AA592" s="70" t="str">
        <f t="shared" si="246"/>
        <v/>
      </c>
      <c r="AB592" s="2"/>
      <c r="AC592" s="94" t="str">
        <f t="shared" si="226"/>
        <v/>
      </c>
      <c r="AD592" s="95" t="str">
        <f t="shared" si="227"/>
        <v/>
      </c>
      <c r="AE592" s="96" t="str">
        <f t="shared" si="228"/>
        <v/>
      </c>
      <c r="AF592" s="124" t="str">
        <f t="shared" si="229"/>
        <v/>
      </c>
      <c r="AG592" s="2"/>
      <c r="AH592" s="2"/>
      <c r="AI592" s="2"/>
      <c r="AJ592" s="2"/>
      <c r="AK592" s="2"/>
      <c r="AL592" s="2"/>
    </row>
    <row r="593" spans="1:38" x14ac:dyDescent="0.2">
      <c r="A593" s="45"/>
      <c r="B593" s="43" t="str">
        <f t="shared" si="232"/>
        <v/>
      </c>
      <c r="C593" s="96" t="str">
        <f t="shared" si="231"/>
        <v/>
      </c>
      <c r="D593" s="44" t="str">
        <f t="shared" si="233"/>
        <v/>
      </c>
      <c r="E593" s="52"/>
      <c r="F593" s="63" t="str">
        <f t="shared" si="234"/>
        <v/>
      </c>
      <c r="G593" s="56" t="str">
        <f t="shared" si="235"/>
        <v/>
      </c>
      <c r="H593" s="42"/>
      <c r="I593" s="2" t="str">
        <f t="shared" si="236"/>
        <v/>
      </c>
      <c r="J593" s="54" t="str">
        <f t="shared" si="223"/>
        <v/>
      </c>
      <c r="K593" s="55" t="str">
        <f t="shared" si="237"/>
        <v/>
      </c>
      <c r="L593" s="63" t="str">
        <f t="shared" si="238"/>
        <v/>
      </c>
      <c r="M593" s="96" t="str">
        <f t="shared" si="224"/>
        <v/>
      </c>
      <c r="N593" s="96" t="str">
        <f>IF(A593="","",IF(A593=Expiry,0,EXP(-q*Q593)*_xlfn.NORM.S.DIST(Y593,0)/(sigma*SQRT(Q593))*I593*Mult/100))</f>
        <v/>
      </c>
      <c r="O593" s="96" t="str">
        <f>IF(A593="","",IF(A593=Expiry,0,D593*E593*E593*EXP(-q*Q593)*_xlfn.NORM.S.DIST(Y593,0)*SQRT(Q593)/100))</f>
        <v/>
      </c>
      <c r="P593" s="69" t="str">
        <f>IF(A593="","",IF(A593=Expiry,0,AK593*I593*Mult*((-EXP(-q*Q593)*E593*_xlfn.NORM.S.DIST(Y593,0)*sigma/(2*SQRT(Q593))-r_dom*K*EXP(-r_dom*Q593)*_xlfn.NORM.S.DIST(Z593,1)+q*E593*EXP(-q*Q593)*_xlfn.NORM.S.DIST(Y593,1))/365)))</f>
        <v/>
      </c>
      <c r="Q593" s="83" t="str">
        <f t="shared" si="239"/>
        <v/>
      </c>
      <c r="R593" s="38"/>
      <c r="S593" s="68" t="str">
        <f t="shared" si="240"/>
        <v/>
      </c>
      <c r="T593" s="69" t="str">
        <f t="shared" si="241"/>
        <v/>
      </c>
      <c r="U593" s="70" t="str">
        <f t="shared" si="242"/>
        <v/>
      </c>
      <c r="V593" s="72" t="str">
        <f t="shared" si="243"/>
        <v/>
      </c>
      <c r="W593" s="2" t="str">
        <f t="shared" si="230"/>
        <v/>
      </c>
      <c r="X593" s="2" t="str">
        <f t="shared" si="225"/>
        <v/>
      </c>
      <c r="Y593" s="35" t="str">
        <f t="shared" ca="1" si="244"/>
        <v/>
      </c>
      <c r="Z593" s="36" t="str">
        <f t="shared" ca="1" si="245"/>
        <v/>
      </c>
      <c r="AA593" s="70" t="str">
        <f t="shared" si="246"/>
        <v/>
      </c>
      <c r="AB593" s="2"/>
      <c r="AC593" s="94" t="str">
        <f t="shared" si="226"/>
        <v/>
      </c>
      <c r="AD593" s="95" t="str">
        <f t="shared" si="227"/>
        <v/>
      </c>
      <c r="AE593" s="96" t="str">
        <f t="shared" si="228"/>
        <v/>
      </c>
      <c r="AF593" s="124" t="str">
        <f t="shared" si="229"/>
        <v/>
      </c>
      <c r="AG593" s="2"/>
      <c r="AH593" s="2"/>
      <c r="AI593" s="2"/>
      <c r="AJ593" s="2"/>
      <c r="AK593" s="2"/>
      <c r="AL593" s="2"/>
    </row>
    <row r="594" spans="1:38" x14ac:dyDescent="0.2">
      <c r="A594" s="45"/>
      <c r="B594" s="43" t="str">
        <f t="shared" si="232"/>
        <v/>
      </c>
      <c r="C594" s="96" t="str">
        <f t="shared" si="231"/>
        <v/>
      </c>
      <c r="D594" s="44" t="str">
        <f t="shared" si="233"/>
        <v/>
      </c>
      <c r="E594" s="52"/>
      <c r="F594" s="63" t="str">
        <f t="shared" si="234"/>
        <v/>
      </c>
      <c r="G594" s="56" t="str">
        <f t="shared" si="235"/>
        <v/>
      </c>
      <c r="H594" s="42"/>
      <c r="I594" s="2" t="str">
        <f t="shared" si="236"/>
        <v/>
      </c>
      <c r="J594" s="54" t="str">
        <f t="shared" si="223"/>
        <v/>
      </c>
      <c r="K594" s="55" t="str">
        <f t="shared" si="237"/>
        <v/>
      </c>
      <c r="L594" s="63" t="str">
        <f t="shared" si="238"/>
        <v/>
      </c>
      <c r="M594" s="96" t="str">
        <f t="shared" si="224"/>
        <v/>
      </c>
      <c r="N594" s="96" t="str">
        <f>IF(A594="","",IF(A594=Expiry,0,EXP(-q*Q594)*_xlfn.NORM.S.DIST(Y594,0)/(sigma*SQRT(Q594))*I594*Mult/100))</f>
        <v/>
      </c>
      <c r="O594" s="96" t="str">
        <f>IF(A594="","",IF(A594=Expiry,0,D594*E594*E594*EXP(-q*Q594)*_xlfn.NORM.S.DIST(Y594,0)*SQRT(Q594)/100))</f>
        <v/>
      </c>
      <c r="P594" s="69" t="str">
        <f>IF(A594="","",IF(A594=Expiry,0,AK594*I594*Mult*((-EXP(-q*Q594)*E594*_xlfn.NORM.S.DIST(Y594,0)*sigma/(2*SQRT(Q594))-r_dom*K*EXP(-r_dom*Q594)*_xlfn.NORM.S.DIST(Z594,1)+q*E594*EXP(-q*Q594)*_xlfn.NORM.S.DIST(Y594,1))/365)))</f>
        <v/>
      </c>
      <c r="Q594" s="83" t="str">
        <f t="shared" si="239"/>
        <v/>
      </c>
      <c r="R594" s="38"/>
      <c r="S594" s="68" t="str">
        <f t="shared" si="240"/>
        <v/>
      </c>
      <c r="T594" s="69" t="str">
        <f t="shared" si="241"/>
        <v/>
      </c>
      <c r="U594" s="70" t="str">
        <f t="shared" si="242"/>
        <v/>
      </c>
      <c r="V594" s="72" t="str">
        <f t="shared" si="243"/>
        <v/>
      </c>
      <c r="W594" s="2" t="str">
        <f t="shared" si="230"/>
        <v/>
      </c>
      <c r="X594" s="2" t="str">
        <f t="shared" si="225"/>
        <v/>
      </c>
      <c r="Y594" s="35" t="str">
        <f t="shared" ca="1" si="244"/>
        <v/>
      </c>
      <c r="Z594" s="36" t="str">
        <f t="shared" ca="1" si="245"/>
        <v/>
      </c>
      <c r="AA594" s="70" t="str">
        <f t="shared" si="246"/>
        <v/>
      </c>
      <c r="AB594" s="2"/>
      <c r="AC594" s="94" t="str">
        <f t="shared" si="226"/>
        <v/>
      </c>
      <c r="AD594" s="95" t="str">
        <f t="shared" si="227"/>
        <v/>
      </c>
      <c r="AE594" s="96" t="str">
        <f t="shared" si="228"/>
        <v/>
      </c>
      <c r="AF594" s="124" t="str">
        <f t="shared" si="229"/>
        <v/>
      </c>
      <c r="AG594" s="2"/>
      <c r="AH594" s="2"/>
      <c r="AI594" s="2"/>
      <c r="AJ594" s="2"/>
      <c r="AK594" s="2"/>
      <c r="AL594" s="2"/>
    </row>
    <row r="595" spans="1:38" x14ac:dyDescent="0.2">
      <c r="A595" s="45"/>
      <c r="B595" s="43" t="str">
        <f t="shared" si="232"/>
        <v/>
      </c>
      <c r="C595" s="96" t="str">
        <f t="shared" si="231"/>
        <v/>
      </c>
      <c r="D595" s="44" t="str">
        <f t="shared" si="233"/>
        <v/>
      </c>
      <c r="E595" s="52"/>
      <c r="F595" s="63" t="str">
        <f t="shared" si="234"/>
        <v/>
      </c>
      <c r="G595" s="56" t="str">
        <f t="shared" si="235"/>
        <v/>
      </c>
      <c r="H595" s="42"/>
      <c r="I595" s="2" t="str">
        <f t="shared" si="236"/>
        <v/>
      </c>
      <c r="J595" s="54" t="str">
        <f t="shared" si="223"/>
        <v/>
      </c>
      <c r="K595" s="55" t="str">
        <f t="shared" si="237"/>
        <v/>
      </c>
      <c r="L595" s="63" t="str">
        <f t="shared" si="238"/>
        <v/>
      </c>
      <c r="M595" s="96" t="str">
        <f t="shared" si="224"/>
        <v/>
      </c>
      <c r="N595" s="96" t="str">
        <f>IF(A595="","",IF(A595=Expiry,0,EXP(-q*Q595)*_xlfn.NORM.S.DIST(Y595,0)/(sigma*SQRT(Q595))*I595*Mult/100))</f>
        <v/>
      </c>
      <c r="O595" s="96" t="str">
        <f>IF(A595="","",IF(A595=Expiry,0,D595*E595*E595*EXP(-q*Q595)*_xlfn.NORM.S.DIST(Y595,0)*SQRT(Q595)/100))</f>
        <v/>
      </c>
      <c r="P595" s="69" t="str">
        <f>IF(A595="","",IF(A595=Expiry,0,AK595*I595*Mult*((-EXP(-q*Q595)*E595*_xlfn.NORM.S.DIST(Y595,0)*sigma/(2*SQRT(Q595))-r_dom*K*EXP(-r_dom*Q595)*_xlfn.NORM.S.DIST(Z595,1)+q*E595*EXP(-q*Q595)*_xlfn.NORM.S.DIST(Y595,1))/365)))</f>
        <v/>
      </c>
      <c r="Q595" s="83" t="str">
        <f t="shared" si="239"/>
        <v/>
      </c>
      <c r="R595" s="38"/>
      <c r="S595" s="68" t="str">
        <f t="shared" si="240"/>
        <v/>
      </c>
      <c r="T595" s="69" t="str">
        <f t="shared" si="241"/>
        <v/>
      </c>
      <c r="U595" s="70" t="str">
        <f t="shared" si="242"/>
        <v/>
      </c>
      <c r="V595" s="72" t="str">
        <f t="shared" si="243"/>
        <v/>
      </c>
      <c r="W595" s="2" t="str">
        <f t="shared" si="230"/>
        <v/>
      </c>
      <c r="X595" s="2" t="str">
        <f t="shared" si="225"/>
        <v/>
      </c>
      <c r="Y595" s="35" t="str">
        <f t="shared" ca="1" si="244"/>
        <v/>
      </c>
      <c r="Z595" s="36" t="str">
        <f t="shared" ca="1" si="245"/>
        <v/>
      </c>
      <c r="AA595" s="70" t="str">
        <f t="shared" si="246"/>
        <v/>
      </c>
      <c r="AB595" s="2"/>
      <c r="AC595" s="94" t="str">
        <f t="shared" si="226"/>
        <v/>
      </c>
      <c r="AD595" s="95" t="str">
        <f t="shared" si="227"/>
        <v/>
      </c>
      <c r="AE595" s="96" t="str">
        <f t="shared" si="228"/>
        <v/>
      </c>
      <c r="AF595" s="124" t="str">
        <f t="shared" si="229"/>
        <v/>
      </c>
      <c r="AG595" s="2"/>
      <c r="AH595" s="2"/>
      <c r="AI595" s="2"/>
      <c r="AJ595" s="2"/>
      <c r="AK595" s="2"/>
      <c r="AL595" s="2"/>
    </row>
    <row r="596" spans="1:38" x14ac:dyDescent="0.2">
      <c r="A596" s="45"/>
      <c r="B596" s="43" t="str">
        <f t="shared" si="232"/>
        <v/>
      </c>
      <c r="C596" s="96" t="str">
        <f t="shared" si="231"/>
        <v/>
      </c>
      <c r="D596" s="44" t="str">
        <f t="shared" si="233"/>
        <v/>
      </c>
      <c r="E596" s="52"/>
      <c r="F596" s="63" t="str">
        <f t="shared" si="234"/>
        <v/>
      </c>
      <c r="G596" s="56" t="str">
        <f t="shared" si="235"/>
        <v/>
      </c>
      <c r="H596" s="42"/>
      <c r="I596" s="2" t="str">
        <f t="shared" si="236"/>
        <v/>
      </c>
      <c r="J596" s="54" t="str">
        <f t="shared" si="223"/>
        <v/>
      </c>
      <c r="K596" s="55" t="str">
        <f t="shared" si="237"/>
        <v/>
      </c>
      <c r="L596" s="63" t="str">
        <f t="shared" si="238"/>
        <v/>
      </c>
      <c r="M596" s="96" t="str">
        <f t="shared" si="224"/>
        <v/>
      </c>
      <c r="N596" s="96" t="str">
        <f>IF(A596="","",IF(A596=Expiry,0,EXP(-q*Q596)*_xlfn.NORM.S.DIST(Y596,0)/(sigma*SQRT(Q596))*I596*Mult/100))</f>
        <v/>
      </c>
      <c r="O596" s="96" t="str">
        <f>IF(A596="","",IF(A596=Expiry,0,D596*E596*E596*EXP(-q*Q596)*_xlfn.NORM.S.DIST(Y596,0)*SQRT(Q596)/100))</f>
        <v/>
      </c>
      <c r="P596" s="69" t="str">
        <f>IF(A596="","",IF(A596=Expiry,0,AK596*I596*Mult*((-EXP(-q*Q596)*E596*_xlfn.NORM.S.DIST(Y596,0)*sigma/(2*SQRT(Q596))-r_dom*K*EXP(-r_dom*Q596)*_xlfn.NORM.S.DIST(Z596,1)+q*E596*EXP(-q*Q596)*_xlfn.NORM.S.DIST(Y596,1))/365)))</f>
        <v/>
      </c>
      <c r="Q596" s="83" t="str">
        <f t="shared" si="239"/>
        <v/>
      </c>
      <c r="R596" s="38"/>
      <c r="S596" s="68" t="str">
        <f t="shared" si="240"/>
        <v/>
      </c>
      <c r="T596" s="69" t="str">
        <f t="shared" si="241"/>
        <v/>
      </c>
      <c r="U596" s="70" t="str">
        <f t="shared" si="242"/>
        <v/>
      </c>
      <c r="V596" s="72" t="str">
        <f t="shared" si="243"/>
        <v/>
      </c>
      <c r="W596" s="2" t="str">
        <f t="shared" si="230"/>
        <v/>
      </c>
      <c r="X596" s="2" t="str">
        <f t="shared" si="225"/>
        <v/>
      </c>
      <c r="Y596" s="35" t="str">
        <f t="shared" ca="1" si="244"/>
        <v/>
      </c>
      <c r="Z596" s="36" t="str">
        <f t="shared" ca="1" si="245"/>
        <v/>
      </c>
      <c r="AA596" s="70" t="str">
        <f t="shared" si="246"/>
        <v/>
      </c>
      <c r="AB596" s="2"/>
      <c r="AC596" s="94" t="str">
        <f t="shared" si="226"/>
        <v/>
      </c>
      <c r="AD596" s="95" t="str">
        <f t="shared" si="227"/>
        <v/>
      </c>
      <c r="AE596" s="96" t="str">
        <f t="shared" si="228"/>
        <v/>
      </c>
      <c r="AF596" s="124" t="str">
        <f t="shared" si="229"/>
        <v/>
      </c>
      <c r="AG596" s="2"/>
      <c r="AH596" s="2"/>
      <c r="AI596" s="2"/>
      <c r="AJ596" s="2"/>
      <c r="AK596" s="2"/>
      <c r="AL596" s="2"/>
    </row>
    <row r="597" spans="1:38" x14ac:dyDescent="0.2">
      <c r="A597" s="45"/>
      <c r="B597" s="43" t="str">
        <f t="shared" si="232"/>
        <v/>
      </c>
      <c r="C597" s="96" t="str">
        <f t="shared" si="231"/>
        <v/>
      </c>
      <c r="D597" s="44" t="str">
        <f t="shared" si="233"/>
        <v/>
      </c>
      <c r="E597" s="52"/>
      <c r="F597" s="63" t="str">
        <f t="shared" si="234"/>
        <v/>
      </c>
      <c r="G597" s="56" t="str">
        <f t="shared" si="235"/>
        <v/>
      </c>
      <c r="H597" s="42"/>
      <c r="I597" s="2" t="str">
        <f t="shared" si="236"/>
        <v/>
      </c>
      <c r="J597" s="54" t="str">
        <f t="shared" si="223"/>
        <v/>
      </c>
      <c r="K597" s="55" t="str">
        <f t="shared" si="237"/>
        <v/>
      </c>
      <c r="L597" s="63" t="str">
        <f t="shared" si="238"/>
        <v/>
      </c>
      <c r="M597" s="96" t="str">
        <f t="shared" si="224"/>
        <v/>
      </c>
      <c r="N597" s="96" t="str">
        <f>IF(A597="","",IF(A597=Expiry,0,EXP(-q*Q597)*_xlfn.NORM.S.DIST(Y597,0)/(sigma*SQRT(Q597))*I597*Mult/100))</f>
        <v/>
      </c>
      <c r="O597" s="96" t="str">
        <f>IF(A597="","",IF(A597=Expiry,0,D597*E597*E597*EXP(-q*Q597)*_xlfn.NORM.S.DIST(Y597,0)*SQRT(Q597)/100))</f>
        <v/>
      </c>
      <c r="P597" s="69" t="str">
        <f>IF(A597="","",IF(A597=Expiry,0,AK597*I597*Mult*((-EXP(-q*Q597)*E597*_xlfn.NORM.S.DIST(Y597,0)*sigma/(2*SQRT(Q597))-r_dom*K*EXP(-r_dom*Q597)*_xlfn.NORM.S.DIST(Z597,1)+q*E597*EXP(-q*Q597)*_xlfn.NORM.S.DIST(Y597,1))/365)))</f>
        <v/>
      </c>
      <c r="Q597" s="83" t="str">
        <f t="shared" si="239"/>
        <v/>
      </c>
      <c r="R597" s="38"/>
      <c r="S597" s="68" t="str">
        <f t="shared" si="240"/>
        <v/>
      </c>
      <c r="T597" s="69" t="str">
        <f t="shared" si="241"/>
        <v/>
      </c>
      <c r="U597" s="70" t="str">
        <f t="shared" si="242"/>
        <v/>
      </c>
      <c r="V597" s="72" t="str">
        <f t="shared" si="243"/>
        <v/>
      </c>
      <c r="W597" s="2" t="str">
        <f t="shared" si="230"/>
        <v/>
      </c>
      <c r="X597" s="2" t="str">
        <f t="shared" si="225"/>
        <v/>
      </c>
      <c r="Y597" s="35" t="str">
        <f t="shared" ca="1" si="244"/>
        <v/>
      </c>
      <c r="Z597" s="36" t="str">
        <f t="shared" ca="1" si="245"/>
        <v/>
      </c>
      <c r="AA597" s="70" t="str">
        <f t="shared" si="246"/>
        <v/>
      </c>
      <c r="AB597" s="2"/>
      <c r="AC597" s="94" t="str">
        <f t="shared" si="226"/>
        <v/>
      </c>
      <c r="AD597" s="95" t="str">
        <f t="shared" si="227"/>
        <v/>
      </c>
      <c r="AE597" s="96" t="str">
        <f t="shared" si="228"/>
        <v/>
      </c>
      <c r="AF597" s="124" t="str">
        <f t="shared" si="229"/>
        <v/>
      </c>
      <c r="AG597" s="2"/>
      <c r="AH597" s="2"/>
      <c r="AI597" s="2"/>
      <c r="AJ597" s="2"/>
      <c r="AK597" s="2"/>
      <c r="AL597" s="2"/>
    </row>
    <row r="598" spans="1:38" x14ac:dyDescent="0.2">
      <c r="A598" s="45"/>
      <c r="B598" s="43" t="str">
        <f t="shared" si="232"/>
        <v/>
      </c>
      <c r="C598" s="96" t="str">
        <f t="shared" si="231"/>
        <v/>
      </c>
      <c r="D598" s="44" t="str">
        <f t="shared" si="233"/>
        <v/>
      </c>
      <c r="E598" s="52"/>
      <c r="F598" s="63" t="str">
        <f t="shared" si="234"/>
        <v/>
      </c>
      <c r="G598" s="56" t="str">
        <f t="shared" si="235"/>
        <v/>
      </c>
      <c r="H598" s="42"/>
      <c r="I598" s="2" t="str">
        <f t="shared" si="236"/>
        <v/>
      </c>
      <c r="J598" s="54" t="str">
        <f t="shared" si="223"/>
        <v/>
      </c>
      <c r="K598" s="55" t="str">
        <f t="shared" si="237"/>
        <v/>
      </c>
      <c r="L598" s="63" t="str">
        <f t="shared" si="238"/>
        <v/>
      </c>
      <c r="M598" s="96" t="str">
        <f t="shared" si="224"/>
        <v/>
      </c>
      <c r="N598" s="96" t="str">
        <f>IF(A598="","",IF(A598=Expiry,0,EXP(-q*Q598)*_xlfn.NORM.S.DIST(Y598,0)/(sigma*SQRT(Q598))*I598*Mult/100))</f>
        <v/>
      </c>
      <c r="O598" s="96" t="str">
        <f>IF(A598="","",IF(A598=Expiry,0,D598*E598*E598*EXP(-q*Q598)*_xlfn.NORM.S.DIST(Y598,0)*SQRT(Q598)/100))</f>
        <v/>
      </c>
      <c r="P598" s="69" t="str">
        <f>IF(A598="","",IF(A598=Expiry,0,AK598*I598*Mult*((-EXP(-q*Q598)*E598*_xlfn.NORM.S.DIST(Y598,0)*sigma/(2*SQRT(Q598))-r_dom*K*EXP(-r_dom*Q598)*_xlfn.NORM.S.DIST(Z598,1)+q*E598*EXP(-q*Q598)*_xlfn.NORM.S.DIST(Y598,1))/365)))</f>
        <v/>
      </c>
      <c r="Q598" s="83" t="str">
        <f t="shared" si="239"/>
        <v/>
      </c>
      <c r="R598" s="38"/>
      <c r="S598" s="68" t="str">
        <f t="shared" si="240"/>
        <v/>
      </c>
      <c r="T598" s="69" t="str">
        <f t="shared" si="241"/>
        <v/>
      </c>
      <c r="U598" s="70" t="str">
        <f t="shared" si="242"/>
        <v/>
      </c>
      <c r="V598" s="72" t="str">
        <f t="shared" si="243"/>
        <v/>
      </c>
      <c r="W598" s="2" t="str">
        <f t="shared" si="230"/>
        <v/>
      </c>
      <c r="X598" s="2" t="str">
        <f t="shared" si="225"/>
        <v/>
      </c>
      <c r="Y598" s="35" t="str">
        <f t="shared" ca="1" si="244"/>
        <v/>
      </c>
      <c r="Z598" s="36" t="str">
        <f t="shared" ca="1" si="245"/>
        <v/>
      </c>
      <c r="AA598" s="70" t="str">
        <f t="shared" si="246"/>
        <v/>
      </c>
      <c r="AB598" s="2"/>
      <c r="AC598" s="94" t="str">
        <f t="shared" si="226"/>
        <v/>
      </c>
      <c r="AD598" s="95" t="str">
        <f t="shared" si="227"/>
        <v/>
      </c>
      <c r="AE598" s="96" t="str">
        <f t="shared" si="228"/>
        <v/>
      </c>
      <c r="AF598" s="124" t="str">
        <f t="shared" si="229"/>
        <v/>
      </c>
      <c r="AG598" s="2"/>
      <c r="AH598" s="2"/>
      <c r="AI598" s="2"/>
      <c r="AJ598" s="2"/>
      <c r="AK598" s="2"/>
      <c r="AL598" s="2"/>
    </row>
    <row r="599" spans="1:38" x14ac:dyDescent="0.2">
      <c r="A599" s="45"/>
      <c r="B599" s="43" t="str">
        <f t="shared" si="232"/>
        <v/>
      </c>
      <c r="C599" s="96" t="str">
        <f t="shared" si="231"/>
        <v/>
      </c>
      <c r="D599" s="44" t="str">
        <f t="shared" si="233"/>
        <v/>
      </c>
      <c r="E599" s="52"/>
      <c r="F599" s="63" t="str">
        <f t="shared" si="234"/>
        <v/>
      </c>
      <c r="G599" s="56" t="str">
        <f t="shared" si="235"/>
        <v/>
      </c>
      <c r="H599" s="42"/>
      <c r="I599" s="2" t="str">
        <f t="shared" si="236"/>
        <v/>
      </c>
      <c r="J599" s="54" t="str">
        <f t="shared" si="223"/>
        <v/>
      </c>
      <c r="K599" s="55" t="str">
        <f t="shared" si="237"/>
        <v/>
      </c>
      <c r="L599" s="63" t="str">
        <f t="shared" si="238"/>
        <v/>
      </c>
      <c r="M599" s="96" t="str">
        <f t="shared" si="224"/>
        <v/>
      </c>
      <c r="N599" s="96" t="str">
        <f>IF(A599="","",IF(A599=Expiry,0,EXP(-q*Q599)*_xlfn.NORM.S.DIST(Y599,0)/(sigma*SQRT(Q599))*I599*Mult/100))</f>
        <v/>
      </c>
      <c r="O599" s="96" t="str">
        <f>IF(A599="","",IF(A599=Expiry,0,D599*E599*E599*EXP(-q*Q599)*_xlfn.NORM.S.DIST(Y599,0)*SQRT(Q599)/100))</f>
        <v/>
      </c>
      <c r="P599" s="69" t="str">
        <f>IF(A599="","",IF(A599=Expiry,0,AK599*I599*Mult*((-EXP(-q*Q599)*E599*_xlfn.NORM.S.DIST(Y599,0)*sigma/(2*SQRT(Q599))-r_dom*K*EXP(-r_dom*Q599)*_xlfn.NORM.S.DIST(Z599,1)+q*E599*EXP(-q*Q599)*_xlfn.NORM.S.DIST(Y599,1))/365)))</f>
        <v/>
      </c>
      <c r="Q599" s="83" t="str">
        <f t="shared" si="239"/>
        <v/>
      </c>
      <c r="R599" s="38"/>
      <c r="S599" s="68" t="str">
        <f t="shared" si="240"/>
        <v/>
      </c>
      <c r="T599" s="69" t="str">
        <f t="shared" si="241"/>
        <v/>
      </c>
      <c r="U599" s="70" t="str">
        <f t="shared" si="242"/>
        <v/>
      </c>
      <c r="V599" s="72" t="str">
        <f t="shared" si="243"/>
        <v/>
      </c>
      <c r="W599" s="2" t="str">
        <f t="shared" si="230"/>
        <v/>
      </c>
      <c r="X599" s="2" t="str">
        <f t="shared" si="225"/>
        <v/>
      </c>
      <c r="Y599" s="35" t="str">
        <f t="shared" ca="1" si="244"/>
        <v/>
      </c>
      <c r="Z599" s="36" t="str">
        <f t="shared" ca="1" si="245"/>
        <v/>
      </c>
      <c r="AA599" s="70" t="str">
        <f t="shared" si="246"/>
        <v/>
      </c>
      <c r="AB599" s="2"/>
      <c r="AC599" s="94" t="str">
        <f t="shared" si="226"/>
        <v/>
      </c>
      <c r="AD599" s="95" t="str">
        <f t="shared" si="227"/>
        <v/>
      </c>
      <c r="AE599" s="96" t="str">
        <f t="shared" si="228"/>
        <v/>
      </c>
      <c r="AF599" s="124" t="str">
        <f t="shared" si="229"/>
        <v/>
      </c>
      <c r="AG599" s="2"/>
      <c r="AH599" s="2"/>
      <c r="AI599" s="2"/>
      <c r="AJ599" s="2"/>
      <c r="AK599" s="2"/>
      <c r="AL599" s="2"/>
    </row>
    <row r="600" spans="1:38" x14ac:dyDescent="0.2">
      <c r="A600" s="45"/>
      <c r="B600" s="43" t="str">
        <f t="shared" si="232"/>
        <v/>
      </c>
      <c r="C600" s="96" t="str">
        <f t="shared" si="231"/>
        <v/>
      </c>
      <c r="D600" s="44" t="str">
        <f t="shared" si="233"/>
        <v/>
      </c>
      <c r="E600" s="52"/>
      <c r="F600" s="63" t="str">
        <f t="shared" si="234"/>
        <v/>
      </c>
      <c r="G600" s="56" t="str">
        <f t="shared" si="235"/>
        <v/>
      </c>
      <c r="H600" s="42"/>
      <c r="I600" s="2" t="str">
        <f t="shared" si="236"/>
        <v/>
      </c>
      <c r="J600" s="54" t="str">
        <f t="shared" si="223"/>
        <v/>
      </c>
      <c r="K600" s="55" t="str">
        <f t="shared" si="237"/>
        <v/>
      </c>
      <c r="L600" s="63" t="str">
        <f t="shared" si="238"/>
        <v/>
      </c>
      <c r="M600" s="96" t="str">
        <f t="shared" si="224"/>
        <v/>
      </c>
      <c r="N600" s="96" t="str">
        <f>IF(A600="","",IF(A600=Expiry,0,EXP(-q*Q600)*_xlfn.NORM.S.DIST(Y600,0)/(sigma*SQRT(Q600))*I600*Mult/100))</f>
        <v/>
      </c>
      <c r="O600" s="96" t="str">
        <f>IF(A600="","",IF(A600=Expiry,0,D600*E600*E600*EXP(-q*Q600)*_xlfn.NORM.S.DIST(Y600,0)*SQRT(Q600)/100))</f>
        <v/>
      </c>
      <c r="P600" s="69" t="str">
        <f>IF(A600="","",IF(A600=Expiry,0,AK600*I600*Mult*((-EXP(-q*Q600)*E600*_xlfn.NORM.S.DIST(Y600,0)*sigma/(2*SQRT(Q600))-r_dom*K*EXP(-r_dom*Q600)*_xlfn.NORM.S.DIST(Z600,1)+q*E600*EXP(-q*Q600)*_xlfn.NORM.S.DIST(Y600,1))/365)))</f>
        <v/>
      </c>
      <c r="Q600" s="83" t="str">
        <f t="shared" si="239"/>
        <v/>
      </c>
      <c r="R600" s="38"/>
      <c r="S600" s="68" t="str">
        <f t="shared" si="240"/>
        <v/>
      </c>
      <c r="T600" s="69" t="str">
        <f t="shared" si="241"/>
        <v/>
      </c>
      <c r="U600" s="70" t="str">
        <f t="shared" si="242"/>
        <v/>
      </c>
      <c r="V600" s="72" t="str">
        <f t="shared" si="243"/>
        <v/>
      </c>
      <c r="W600" s="2" t="str">
        <f t="shared" si="230"/>
        <v/>
      </c>
      <c r="X600" s="2" t="str">
        <f t="shared" si="225"/>
        <v/>
      </c>
      <c r="Y600" s="35" t="str">
        <f t="shared" ca="1" si="244"/>
        <v/>
      </c>
      <c r="Z600" s="36" t="str">
        <f t="shared" ca="1" si="245"/>
        <v/>
      </c>
      <c r="AA600" s="70" t="str">
        <f t="shared" si="246"/>
        <v/>
      </c>
      <c r="AB600" s="2"/>
      <c r="AC600" s="94" t="str">
        <f t="shared" si="226"/>
        <v/>
      </c>
      <c r="AD600" s="95" t="str">
        <f t="shared" si="227"/>
        <v/>
      </c>
      <c r="AE600" s="96" t="str">
        <f t="shared" si="228"/>
        <v/>
      </c>
      <c r="AF600" s="124" t="str">
        <f t="shared" si="229"/>
        <v/>
      </c>
      <c r="AG600" s="2"/>
      <c r="AH600" s="2"/>
      <c r="AI600" s="2"/>
      <c r="AJ600" s="2"/>
      <c r="AK600" s="2"/>
      <c r="AL600" s="2"/>
    </row>
    <row r="601" spans="1:38" x14ac:dyDescent="0.2">
      <c r="A601" s="45"/>
      <c r="B601" s="43" t="str">
        <f t="shared" si="232"/>
        <v/>
      </c>
      <c r="C601" s="96" t="str">
        <f t="shared" si="231"/>
        <v/>
      </c>
      <c r="D601" s="44" t="str">
        <f t="shared" si="233"/>
        <v/>
      </c>
      <c r="E601" s="52"/>
      <c r="F601" s="63" t="str">
        <f t="shared" si="234"/>
        <v/>
      </c>
      <c r="G601" s="56" t="str">
        <f t="shared" si="235"/>
        <v/>
      </c>
      <c r="H601" s="42"/>
      <c r="I601" s="2" t="str">
        <f t="shared" si="236"/>
        <v/>
      </c>
      <c r="J601" s="54" t="str">
        <f t="shared" si="223"/>
        <v/>
      </c>
      <c r="K601" s="55" t="str">
        <f t="shared" si="237"/>
        <v/>
      </c>
      <c r="L601" s="63" t="str">
        <f t="shared" si="238"/>
        <v/>
      </c>
      <c r="M601" s="96" t="str">
        <f t="shared" si="224"/>
        <v/>
      </c>
      <c r="N601" s="96" t="str">
        <f>IF(A601="","",IF(A601=Expiry,0,EXP(-q*Q601)*_xlfn.NORM.S.DIST(Y601,0)/(sigma*SQRT(Q601))*I601*Mult/100))</f>
        <v/>
      </c>
      <c r="O601" s="96" t="str">
        <f>IF(A601="","",IF(A601=Expiry,0,D601*E601*E601*EXP(-q*Q601)*_xlfn.NORM.S.DIST(Y601,0)*SQRT(Q601)/100))</f>
        <v/>
      </c>
      <c r="P601" s="69" t="str">
        <f>IF(A601="","",IF(A601=Expiry,0,AK601*I601*Mult*((-EXP(-q*Q601)*E601*_xlfn.NORM.S.DIST(Y601,0)*sigma/(2*SQRT(Q601))-r_dom*K*EXP(-r_dom*Q601)*_xlfn.NORM.S.DIST(Z601,1)+q*E601*EXP(-q*Q601)*_xlfn.NORM.S.DIST(Y601,1))/365)))</f>
        <v/>
      </c>
      <c r="Q601" s="83" t="str">
        <f t="shared" si="239"/>
        <v/>
      </c>
      <c r="R601" s="38"/>
      <c r="S601" s="68" t="str">
        <f t="shared" si="240"/>
        <v/>
      </c>
      <c r="T601" s="69" t="str">
        <f t="shared" si="241"/>
        <v/>
      </c>
      <c r="U601" s="70" t="str">
        <f t="shared" si="242"/>
        <v/>
      </c>
      <c r="V601" s="72" t="str">
        <f t="shared" si="243"/>
        <v/>
      </c>
      <c r="W601" s="2" t="str">
        <f t="shared" si="230"/>
        <v/>
      </c>
      <c r="X601" s="2" t="str">
        <f t="shared" si="225"/>
        <v/>
      </c>
      <c r="Y601" s="35" t="str">
        <f t="shared" ca="1" si="244"/>
        <v/>
      </c>
      <c r="Z601" s="36" t="str">
        <f t="shared" ca="1" si="245"/>
        <v/>
      </c>
      <c r="AA601" s="70" t="str">
        <f t="shared" si="246"/>
        <v/>
      </c>
      <c r="AB601" s="2"/>
      <c r="AC601" s="94" t="str">
        <f t="shared" si="226"/>
        <v/>
      </c>
      <c r="AD601" s="95" t="str">
        <f t="shared" si="227"/>
        <v/>
      </c>
      <c r="AE601" s="96" t="str">
        <f t="shared" si="228"/>
        <v/>
      </c>
      <c r="AF601" s="124" t="str">
        <f t="shared" si="229"/>
        <v/>
      </c>
      <c r="AG601" s="2"/>
      <c r="AH601" s="2"/>
      <c r="AI601" s="2"/>
      <c r="AJ601" s="2"/>
      <c r="AK601" s="2"/>
      <c r="AL601" s="2"/>
    </row>
    <row r="602" spans="1:38" x14ac:dyDescent="0.2">
      <c r="A602" s="45"/>
      <c r="B602" s="43" t="str">
        <f t="shared" si="232"/>
        <v/>
      </c>
      <c r="C602" s="96" t="str">
        <f t="shared" si="231"/>
        <v/>
      </c>
      <c r="D602" s="44" t="str">
        <f t="shared" si="233"/>
        <v/>
      </c>
      <c r="E602" s="52"/>
      <c r="F602" s="63" t="str">
        <f t="shared" si="234"/>
        <v/>
      </c>
      <c r="G602" s="56" t="str">
        <f t="shared" si="235"/>
        <v/>
      </c>
      <c r="H602" s="42"/>
      <c r="I602" s="2" t="str">
        <f t="shared" si="236"/>
        <v/>
      </c>
      <c r="J602" s="54" t="str">
        <f t="shared" si="223"/>
        <v/>
      </c>
      <c r="K602" s="55" t="str">
        <f t="shared" si="237"/>
        <v/>
      </c>
      <c r="L602" s="63" t="str">
        <f t="shared" si="238"/>
        <v/>
      </c>
      <c r="M602" s="96" t="str">
        <f t="shared" si="224"/>
        <v/>
      </c>
      <c r="N602" s="96" t="str">
        <f>IF(A602="","",IF(A602=Expiry,0,EXP(-q*Q602)*_xlfn.NORM.S.DIST(Y602,0)/(sigma*SQRT(Q602))*I602*Mult/100))</f>
        <v/>
      </c>
      <c r="O602" s="96" t="str">
        <f>IF(A602="","",IF(A602=Expiry,0,D602*E602*E602*EXP(-q*Q602)*_xlfn.NORM.S.DIST(Y602,0)*SQRT(Q602)/100))</f>
        <v/>
      </c>
      <c r="P602" s="69" t="str">
        <f>IF(A602="","",IF(A602=Expiry,0,AK602*I602*Mult*((-EXP(-q*Q602)*E602*_xlfn.NORM.S.DIST(Y602,0)*sigma/(2*SQRT(Q602))-r_dom*K*EXP(-r_dom*Q602)*_xlfn.NORM.S.DIST(Z602,1)+q*E602*EXP(-q*Q602)*_xlfn.NORM.S.DIST(Y602,1))/365)))</f>
        <v/>
      </c>
      <c r="Q602" s="83" t="str">
        <f t="shared" si="239"/>
        <v/>
      </c>
      <c r="R602" s="38"/>
      <c r="S602" s="68" t="str">
        <f t="shared" si="240"/>
        <v/>
      </c>
      <c r="T602" s="69" t="str">
        <f t="shared" si="241"/>
        <v/>
      </c>
      <c r="U602" s="70" t="str">
        <f t="shared" si="242"/>
        <v/>
      </c>
      <c r="V602" s="72" t="str">
        <f t="shared" si="243"/>
        <v/>
      </c>
      <c r="W602" s="2" t="str">
        <f t="shared" si="230"/>
        <v/>
      </c>
      <c r="X602" s="2" t="str">
        <f t="shared" si="225"/>
        <v/>
      </c>
      <c r="Y602" s="35" t="str">
        <f t="shared" ca="1" si="244"/>
        <v/>
      </c>
      <c r="Z602" s="36" t="str">
        <f t="shared" ca="1" si="245"/>
        <v/>
      </c>
      <c r="AA602" s="70" t="str">
        <f t="shared" si="246"/>
        <v/>
      </c>
      <c r="AB602" s="2"/>
      <c r="AC602" s="94" t="str">
        <f t="shared" si="226"/>
        <v/>
      </c>
      <c r="AD602" s="95" t="str">
        <f t="shared" si="227"/>
        <v/>
      </c>
      <c r="AE602" s="96" t="str">
        <f t="shared" si="228"/>
        <v/>
      </c>
      <c r="AF602" s="124" t="str">
        <f t="shared" si="229"/>
        <v/>
      </c>
      <c r="AG602" s="2"/>
      <c r="AH602" s="2"/>
      <c r="AI602" s="2"/>
      <c r="AJ602" s="2"/>
      <c r="AK602" s="2"/>
      <c r="AL602" s="2"/>
    </row>
    <row r="603" spans="1:38" x14ac:dyDescent="0.2">
      <c r="A603" s="45"/>
      <c r="B603" s="43" t="str">
        <f t="shared" si="232"/>
        <v/>
      </c>
      <c r="C603" s="96" t="str">
        <f t="shared" si="231"/>
        <v/>
      </c>
      <c r="D603" s="44" t="str">
        <f t="shared" si="233"/>
        <v/>
      </c>
      <c r="E603" s="52"/>
      <c r="F603" s="63" t="str">
        <f t="shared" si="234"/>
        <v/>
      </c>
      <c r="G603" s="56" t="str">
        <f t="shared" si="235"/>
        <v/>
      </c>
      <c r="H603" s="42"/>
      <c r="I603" s="2" t="str">
        <f t="shared" si="236"/>
        <v/>
      </c>
      <c r="J603" s="54" t="str">
        <f t="shared" si="223"/>
        <v/>
      </c>
      <c r="K603" s="55" t="str">
        <f t="shared" si="237"/>
        <v/>
      </c>
      <c r="L603" s="63" t="str">
        <f t="shared" si="238"/>
        <v/>
      </c>
      <c r="M603" s="96" t="str">
        <f t="shared" si="224"/>
        <v/>
      </c>
      <c r="N603" s="96" t="str">
        <f>IF(A603="","",IF(A603=Expiry,0,EXP(-q*Q603)*_xlfn.NORM.S.DIST(Y603,0)/(sigma*SQRT(Q603))*I603*Mult/100))</f>
        <v/>
      </c>
      <c r="O603" s="96" t="str">
        <f>IF(A603="","",IF(A603=Expiry,0,D603*E603*E603*EXP(-q*Q603)*_xlfn.NORM.S.DIST(Y603,0)*SQRT(Q603)/100))</f>
        <v/>
      </c>
      <c r="P603" s="69" t="str">
        <f>IF(A603="","",IF(A603=Expiry,0,AK603*I603*Mult*((-EXP(-q*Q603)*E603*_xlfn.NORM.S.DIST(Y603,0)*sigma/(2*SQRT(Q603))-r_dom*K*EXP(-r_dom*Q603)*_xlfn.NORM.S.DIST(Z603,1)+q*E603*EXP(-q*Q603)*_xlfn.NORM.S.DIST(Y603,1))/365)))</f>
        <v/>
      </c>
      <c r="Q603" s="83" t="str">
        <f t="shared" si="239"/>
        <v/>
      </c>
      <c r="R603" s="38"/>
      <c r="S603" s="68" t="str">
        <f t="shared" si="240"/>
        <v/>
      </c>
      <c r="T603" s="69" t="str">
        <f t="shared" si="241"/>
        <v/>
      </c>
      <c r="U603" s="70" t="str">
        <f t="shared" si="242"/>
        <v/>
      </c>
      <c r="V603" s="72" t="str">
        <f t="shared" si="243"/>
        <v/>
      </c>
      <c r="W603" s="2" t="str">
        <f t="shared" si="230"/>
        <v/>
      </c>
      <c r="X603" s="2" t="str">
        <f t="shared" si="225"/>
        <v/>
      </c>
      <c r="Y603" s="35" t="str">
        <f t="shared" ca="1" si="244"/>
        <v/>
      </c>
      <c r="Z603" s="36" t="str">
        <f t="shared" ca="1" si="245"/>
        <v/>
      </c>
      <c r="AA603" s="70" t="str">
        <f t="shared" si="246"/>
        <v/>
      </c>
      <c r="AB603" s="2"/>
      <c r="AC603" s="94" t="str">
        <f t="shared" si="226"/>
        <v/>
      </c>
      <c r="AD603" s="95" t="str">
        <f t="shared" si="227"/>
        <v/>
      </c>
      <c r="AE603" s="96" t="str">
        <f t="shared" si="228"/>
        <v/>
      </c>
      <c r="AF603" s="124" t="str">
        <f t="shared" si="229"/>
        <v/>
      </c>
      <c r="AG603" s="2"/>
      <c r="AH603" s="2"/>
      <c r="AI603" s="2"/>
      <c r="AJ603" s="2"/>
      <c r="AK603" s="2"/>
      <c r="AL603" s="2"/>
    </row>
    <row r="604" spans="1:38" x14ac:dyDescent="0.2">
      <c r="A604" s="45"/>
      <c r="B604" s="43" t="str">
        <f t="shared" si="232"/>
        <v/>
      </c>
      <c r="C604" s="96" t="str">
        <f t="shared" si="231"/>
        <v/>
      </c>
      <c r="D604" s="44" t="str">
        <f t="shared" si="233"/>
        <v/>
      </c>
      <c r="E604" s="52"/>
      <c r="F604" s="63" t="str">
        <f t="shared" si="234"/>
        <v/>
      </c>
      <c r="G604" s="56" t="str">
        <f t="shared" si="235"/>
        <v/>
      </c>
      <c r="H604" s="42"/>
      <c r="I604" s="2" t="str">
        <f t="shared" si="236"/>
        <v/>
      </c>
      <c r="J604" s="54" t="str">
        <f t="shared" si="223"/>
        <v/>
      </c>
      <c r="K604" s="55" t="str">
        <f t="shared" si="237"/>
        <v/>
      </c>
      <c r="L604" s="63" t="str">
        <f t="shared" si="238"/>
        <v/>
      </c>
      <c r="M604" s="96" t="str">
        <f t="shared" si="224"/>
        <v/>
      </c>
      <c r="N604" s="96" t="str">
        <f>IF(A604="","",IF(A604=Expiry,0,EXP(-q*Q604)*_xlfn.NORM.S.DIST(Y604,0)/(sigma*SQRT(Q604))*I604*Mult/100))</f>
        <v/>
      </c>
      <c r="O604" s="96" t="str">
        <f>IF(A604="","",IF(A604=Expiry,0,D604*E604*E604*EXP(-q*Q604)*_xlfn.NORM.S.DIST(Y604,0)*SQRT(Q604)/100))</f>
        <v/>
      </c>
      <c r="P604" s="69" t="str">
        <f>IF(A604="","",IF(A604=Expiry,0,AK604*I604*Mult*((-EXP(-q*Q604)*E604*_xlfn.NORM.S.DIST(Y604,0)*sigma/(2*SQRT(Q604))-r_dom*K*EXP(-r_dom*Q604)*_xlfn.NORM.S.DIST(Z604,1)+q*E604*EXP(-q*Q604)*_xlfn.NORM.S.DIST(Y604,1))/365)))</f>
        <v/>
      </c>
      <c r="Q604" s="83" t="str">
        <f t="shared" si="239"/>
        <v/>
      </c>
      <c r="R604" s="38"/>
      <c r="S604" s="68" t="str">
        <f t="shared" si="240"/>
        <v/>
      </c>
      <c r="T604" s="69" t="str">
        <f t="shared" si="241"/>
        <v/>
      </c>
      <c r="U604" s="70" t="str">
        <f t="shared" si="242"/>
        <v/>
      </c>
      <c r="V604" s="72" t="str">
        <f t="shared" si="243"/>
        <v/>
      </c>
      <c r="W604" s="2" t="str">
        <f t="shared" si="230"/>
        <v/>
      </c>
      <c r="X604" s="2" t="str">
        <f t="shared" si="225"/>
        <v/>
      </c>
      <c r="Y604" s="35" t="str">
        <f t="shared" ca="1" si="244"/>
        <v/>
      </c>
      <c r="Z604" s="36" t="str">
        <f t="shared" ca="1" si="245"/>
        <v/>
      </c>
      <c r="AA604" s="70" t="str">
        <f t="shared" si="246"/>
        <v/>
      </c>
      <c r="AB604" s="2"/>
      <c r="AC604" s="94" t="str">
        <f t="shared" si="226"/>
        <v/>
      </c>
      <c r="AD604" s="95" t="str">
        <f t="shared" si="227"/>
        <v/>
      </c>
      <c r="AE604" s="96" t="str">
        <f t="shared" si="228"/>
        <v/>
      </c>
      <c r="AF604" s="124" t="str">
        <f t="shared" si="229"/>
        <v/>
      </c>
      <c r="AG604" s="2"/>
      <c r="AH604" s="2"/>
      <c r="AI604" s="2"/>
      <c r="AJ604" s="2"/>
      <c r="AK604" s="2"/>
      <c r="AL604" s="2"/>
    </row>
    <row r="605" spans="1:38" x14ac:dyDescent="0.2">
      <c r="A605" s="45"/>
      <c r="B605" s="43" t="str">
        <f t="shared" si="232"/>
        <v/>
      </c>
      <c r="C605" s="96" t="str">
        <f t="shared" si="231"/>
        <v/>
      </c>
      <c r="D605" s="44" t="str">
        <f t="shared" si="233"/>
        <v/>
      </c>
      <c r="E605" s="52"/>
      <c r="F605" s="63" t="str">
        <f t="shared" si="234"/>
        <v/>
      </c>
      <c r="G605" s="56" t="str">
        <f t="shared" si="235"/>
        <v/>
      </c>
      <c r="H605" s="42"/>
      <c r="I605" s="2" t="str">
        <f t="shared" si="236"/>
        <v/>
      </c>
      <c r="J605" s="54" t="str">
        <f t="shared" si="223"/>
        <v/>
      </c>
      <c r="K605" s="55" t="str">
        <f t="shared" si="237"/>
        <v/>
      </c>
      <c r="L605" s="63" t="str">
        <f t="shared" si="238"/>
        <v/>
      </c>
      <c r="M605" s="96" t="str">
        <f t="shared" si="224"/>
        <v/>
      </c>
      <c r="N605" s="96" t="str">
        <f>IF(A605="","",IF(A605=Expiry,0,EXP(-q*Q605)*_xlfn.NORM.S.DIST(Y605,0)/(sigma*SQRT(Q605))*I605*Mult/100))</f>
        <v/>
      </c>
      <c r="O605" s="96" t="str">
        <f>IF(A605="","",IF(A605=Expiry,0,D605*E605*E605*EXP(-q*Q605)*_xlfn.NORM.S.DIST(Y605,0)*SQRT(Q605)/100))</f>
        <v/>
      </c>
      <c r="P605" s="69" t="str">
        <f>IF(A605="","",IF(A605=Expiry,0,AK605*I605*Mult*((-EXP(-q*Q605)*E605*_xlfn.NORM.S.DIST(Y605,0)*sigma/(2*SQRT(Q605))-r_dom*K*EXP(-r_dom*Q605)*_xlfn.NORM.S.DIST(Z605,1)+q*E605*EXP(-q*Q605)*_xlfn.NORM.S.DIST(Y605,1))/365)))</f>
        <v/>
      </c>
      <c r="Q605" s="83" t="str">
        <f t="shared" si="239"/>
        <v/>
      </c>
      <c r="R605" s="38"/>
      <c r="S605" s="68" t="str">
        <f t="shared" si="240"/>
        <v/>
      </c>
      <c r="T605" s="69" t="str">
        <f t="shared" si="241"/>
        <v/>
      </c>
      <c r="U605" s="70" t="str">
        <f t="shared" si="242"/>
        <v/>
      </c>
      <c r="V605" s="72" t="str">
        <f t="shared" si="243"/>
        <v/>
      </c>
      <c r="W605" s="2" t="str">
        <f t="shared" si="230"/>
        <v/>
      </c>
      <c r="X605" s="2" t="str">
        <f t="shared" si="225"/>
        <v/>
      </c>
      <c r="Y605" s="35" t="str">
        <f t="shared" ca="1" si="244"/>
        <v/>
      </c>
      <c r="Z605" s="36" t="str">
        <f t="shared" ca="1" si="245"/>
        <v/>
      </c>
      <c r="AA605" s="70" t="str">
        <f t="shared" si="246"/>
        <v/>
      </c>
      <c r="AB605" s="2"/>
      <c r="AC605" s="94" t="str">
        <f t="shared" si="226"/>
        <v/>
      </c>
      <c r="AD605" s="95" t="str">
        <f t="shared" si="227"/>
        <v/>
      </c>
      <c r="AE605" s="96" t="str">
        <f t="shared" si="228"/>
        <v/>
      </c>
      <c r="AF605" s="124" t="str">
        <f t="shared" si="229"/>
        <v/>
      </c>
      <c r="AG605" s="2"/>
      <c r="AH605" s="2"/>
      <c r="AI605" s="2"/>
      <c r="AJ605" s="2"/>
      <c r="AK605" s="2"/>
      <c r="AL605" s="2"/>
    </row>
    <row r="606" spans="1:38" x14ac:dyDescent="0.2">
      <c r="A606" s="45"/>
      <c r="B606" s="43" t="str">
        <f t="shared" si="232"/>
        <v/>
      </c>
      <c r="C606" s="96" t="str">
        <f t="shared" si="231"/>
        <v/>
      </c>
      <c r="D606" s="44" t="str">
        <f t="shared" si="233"/>
        <v/>
      </c>
      <c r="E606" s="52"/>
      <c r="F606" s="63" t="str">
        <f t="shared" si="234"/>
        <v/>
      </c>
      <c r="G606" s="56" t="str">
        <f t="shared" si="235"/>
        <v/>
      </c>
      <c r="H606" s="42"/>
      <c r="I606" s="2" t="str">
        <f t="shared" si="236"/>
        <v/>
      </c>
      <c r="J606" s="54" t="str">
        <f t="shared" si="223"/>
        <v/>
      </c>
      <c r="K606" s="55" t="str">
        <f t="shared" si="237"/>
        <v/>
      </c>
      <c r="L606" s="63" t="str">
        <f t="shared" si="238"/>
        <v/>
      </c>
      <c r="M606" s="96" t="str">
        <f t="shared" si="224"/>
        <v/>
      </c>
      <c r="N606" s="96" t="str">
        <f>IF(A606="","",IF(A606=Expiry,0,EXP(-q*Q606)*_xlfn.NORM.S.DIST(Y606,0)/(sigma*SQRT(Q606))*I606*Mult/100))</f>
        <v/>
      </c>
      <c r="O606" s="96" t="str">
        <f>IF(A606="","",IF(A606=Expiry,0,D606*E606*E606*EXP(-q*Q606)*_xlfn.NORM.S.DIST(Y606,0)*SQRT(Q606)/100))</f>
        <v/>
      </c>
      <c r="P606" s="69" t="str">
        <f>IF(A606="","",IF(A606=Expiry,0,AK606*I606*Mult*((-EXP(-q*Q606)*E606*_xlfn.NORM.S.DIST(Y606,0)*sigma/(2*SQRT(Q606))-r_dom*K*EXP(-r_dom*Q606)*_xlfn.NORM.S.DIST(Z606,1)+q*E606*EXP(-q*Q606)*_xlfn.NORM.S.DIST(Y606,1))/365)))</f>
        <v/>
      </c>
      <c r="Q606" s="83" t="str">
        <f t="shared" si="239"/>
        <v/>
      </c>
      <c r="R606" s="38"/>
      <c r="S606" s="68" t="str">
        <f t="shared" si="240"/>
        <v/>
      </c>
      <c r="T606" s="69" t="str">
        <f t="shared" si="241"/>
        <v/>
      </c>
      <c r="U606" s="70" t="str">
        <f t="shared" si="242"/>
        <v/>
      </c>
      <c r="V606" s="72" t="str">
        <f t="shared" si="243"/>
        <v/>
      </c>
      <c r="W606" s="2" t="str">
        <f t="shared" si="230"/>
        <v/>
      </c>
      <c r="X606" s="2" t="str">
        <f t="shared" si="225"/>
        <v/>
      </c>
      <c r="Y606" s="35" t="str">
        <f t="shared" ca="1" si="244"/>
        <v/>
      </c>
      <c r="Z606" s="36" t="str">
        <f t="shared" ca="1" si="245"/>
        <v/>
      </c>
      <c r="AA606" s="70" t="str">
        <f t="shared" si="246"/>
        <v/>
      </c>
      <c r="AB606" s="2"/>
      <c r="AC606" s="94" t="str">
        <f t="shared" si="226"/>
        <v/>
      </c>
      <c r="AD606" s="95" t="str">
        <f t="shared" si="227"/>
        <v/>
      </c>
      <c r="AE606" s="96" t="str">
        <f t="shared" si="228"/>
        <v/>
      </c>
      <c r="AF606" s="124" t="str">
        <f t="shared" si="229"/>
        <v/>
      </c>
      <c r="AG606" s="2"/>
      <c r="AH606" s="2"/>
      <c r="AI606" s="2"/>
      <c r="AJ606" s="2"/>
      <c r="AK606" s="2"/>
      <c r="AL606" s="2"/>
    </row>
    <row r="607" spans="1:38" x14ac:dyDescent="0.2">
      <c r="A607" s="45"/>
      <c r="B607" s="43" t="str">
        <f t="shared" si="232"/>
        <v/>
      </c>
      <c r="C607" s="96" t="str">
        <f t="shared" si="231"/>
        <v/>
      </c>
      <c r="D607" s="44" t="str">
        <f t="shared" si="233"/>
        <v/>
      </c>
      <c r="E607" s="52"/>
      <c r="F607" s="63" t="str">
        <f t="shared" si="234"/>
        <v/>
      </c>
      <c r="G607" s="56" t="str">
        <f t="shared" si="235"/>
        <v/>
      </c>
      <c r="H607" s="42"/>
      <c r="I607" s="2" t="str">
        <f t="shared" si="236"/>
        <v/>
      </c>
      <c r="J607" s="54" t="str">
        <f t="shared" si="223"/>
        <v/>
      </c>
      <c r="K607" s="55" t="str">
        <f t="shared" si="237"/>
        <v/>
      </c>
      <c r="L607" s="63" t="str">
        <f t="shared" si="238"/>
        <v/>
      </c>
      <c r="M607" s="96" t="str">
        <f t="shared" si="224"/>
        <v/>
      </c>
      <c r="N607" s="96" t="str">
        <f>IF(A607="","",IF(A607=Expiry,0,EXP(-q*Q607)*_xlfn.NORM.S.DIST(Y607,0)/(sigma*SQRT(Q607))*I607*Mult/100))</f>
        <v/>
      </c>
      <c r="O607" s="96" t="str">
        <f>IF(A607="","",IF(A607=Expiry,0,D607*E607*E607*EXP(-q*Q607)*_xlfn.NORM.S.DIST(Y607,0)*SQRT(Q607)/100))</f>
        <v/>
      </c>
      <c r="P607" s="69" t="str">
        <f>IF(A607="","",IF(A607=Expiry,0,AK607*I607*Mult*((-EXP(-q*Q607)*E607*_xlfn.NORM.S.DIST(Y607,0)*sigma/(2*SQRT(Q607))-r_dom*K*EXP(-r_dom*Q607)*_xlfn.NORM.S.DIST(Z607,1)+q*E607*EXP(-q*Q607)*_xlfn.NORM.S.DIST(Y607,1))/365)))</f>
        <v/>
      </c>
      <c r="Q607" s="83" t="str">
        <f t="shared" si="239"/>
        <v/>
      </c>
      <c r="R607" s="38"/>
      <c r="S607" s="68" t="str">
        <f t="shared" si="240"/>
        <v/>
      </c>
      <c r="T607" s="69" t="str">
        <f t="shared" si="241"/>
        <v/>
      </c>
      <c r="U607" s="70" t="str">
        <f t="shared" si="242"/>
        <v/>
      </c>
      <c r="V607" s="72" t="str">
        <f t="shared" si="243"/>
        <v/>
      </c>
      <c r="W607" s="2" t="str">
        <f t="shared" si="230"/>
        <v/>
      </c>
      <c r="X607" s="2" t="str">
        <f t="shared" si="225"/>
        <v/>
      </c>
      <c r="Y607" s="35" t="str">
        <f t="shared" ca="1" si="244"/>
        <v/>
      </c>
      <c r="Z607" s="36" t="str">
        <f t="shared" ca="1" si="245"/>
        <v/>
      </c>
      <c r="AA607" s="70" t="str">
        <f t="shared" si="246"/>
        <v/>
      </c>
      <c r="AB607" s="2"/>
      <c r="AC607" s="94" t="str">
        <f t="shared" si="226"/>
        <v/>
      </c>
      <c r="AD607" s="95" t="str">
        <f t="shared" si="227"/>
        <v/>
      </c>
      <c r="AE607" s="96" t="str">
        <f t="shared" si="228"/>
        <v/>
      </c>
      <c r="AF607" s="124" t="str">
        <f t="shared" si="229"/>
        <v/>
      </c>
      <c r="AG607" s="2"/>
      <c r="AH607" s="2"/>
      <c r="AI607" s="2"/>
      <c r="AJ607" s="2"/>
      <c r="AK607" s="2"/>
      <c r="AL607" s="2"/>
    </row>
    <row r="608" spans="1:38" x14ac:dyDescent="0.2">
      <c r="A608" s="45"/>
      <c r="B608" s="43" t="str">
        <f t="shared" si="232"/>
        <v/>
      </c>
      <c r="C608" s="96" t="str">
        <f t="shared" si="231"/>
        <v/>
      </c>
      <c r="D608" s="44" t="str">
        <f t="shared" si="233"/>
        <v/>
      </c>
      <c r="E608" s="52"/>
      <c r="F608" s="63" t="str">
        <f t="shared" si="234"/>
        <v/>
      </c>
      <c r="G608" s="56" t="str">
        <f t="shared" si="235"/>
        <v/>
      </c>
      <c r="H608" s="42"/>
      <c r="I608" s="2" t="str">
        <f t="shared" si="236"/>
        <v/>
      </c>
      <c r="J608" s="54" t="str">
        <f t="shared" si="223"/>
        <v/>
      </c>
      <c r="K608" s="55" t="str">
        <f t="shared" si="237"/>
        <v/>
      </c>
      <c r="L608" s="63" t="str">
        <f t="shared" si="238"/>
        <v/>
      </c>
      <c r="M608" s="96" t="str">
        <f t="shared" si="224"/>
        <v/>
      </c>
      <c r="N608" s="96" t="str">
        <f>IF(A608="","",IF(A608=Expiry,0,EXP(-q*Q608)*_xlfn.NORM.S.DIST(Y608,0)/(sigma*SQRT(Q608))*I608*Mult/100))</f>
        <v/>
      </c>
      <c r="O608" s="96" t="str">
        <f>IF(A608="","",IF(A608=Expiry,0,D608*E608*E608*EXP(-q*Q608)*_xlfn.NORM.S.DIST(Y608,0)*SQRT(Q608)/100))</f>
        <v/>
      </c>
      <c r="P608" s="69" t="str">
        <f>IF(A608="","",IF(A608=Expiry,0,AK608*I608*Mult*((-EXP(-q*Q608)*E608*_xlfn.NORM.S.DIST(Y608,0)*sigma/(2*SQRT(Q608))-r_dom*K*EXP(-r_dom*Q608)*_xlfn.NORM.S.DIST(Z608,1)+q*E608*EXP(-q*Q608)*_xlfn.NORM.S.DIST(Y608,1))/365)))</f>
        <v/>
      </c>
      <c r="Q608" s="83" t="str">
        <f t="shared" si="239"/>
        <v/>
      </c>
      <c r="R608" s="38"/>
      <c r="S608" s="68" t="str">
        <f t="shared" si="240"/>
        <v/>
      </c>
      <c r="T608" s="69" t="str">
        <f t="shared" si="241"/>
        <v/>
      </c>
      <c r="U608" s="70" t="str">
        <f t="shared" si="242"/>
        <v/>
      </c>
      <c r="V608" s="72" t="str">
        <f t="shared" si="243"/>
        <v/>
      </c>
      <c r="W608" s="2" t="str">
        <f t="shared" si="230"/>
        <v/>
      </c>
      <c r="X608" s="2" t="str">
        <f t="shared" si="225"/>
        <v/>
      </c>
      <c r="Y608" s="35" t="str">
        <f t="shared" ca="1" si="244"/>
        <v/>
      </c>
      <c r="Z608" s="36" t="str">
        <f t="shared" ca="1" si="245"/>
        <v/>
      </c>
      <c r="AA608" s="70" t="str">
        <f t="shared" si="246"/>
        <v/>
      </c>
      <c r="AB608" s="2"/>
      <c r="AC608" s="94" t="str">
        <f t="shared" si="226"/>
        <v/>
      </c>
      <c r="AD608" s="95" t="str">
        <f t="shared" si="227"/>
        <v/>
      </c>
      <c r="AE608" s="96" t="str">
        <f t="shared" si="228"/>
        <v/>
      </c>
      <c r="AF608" s="124" t="str">
        <f t="shared" si="229"/>
        <v/>
      </c>
      <c r="AG608" s="2"/>
      <c r="AH608" s="2"/>
      <c r="AI608" s="2"/>
      <c r="AJ608" s="2"/>
      <c r="AK608" s="2"/>
      <c r="AL608" s="2"/>
    </row>
    <row r="609" spans="1:38" x14ac:dyDescent="0.2">
      <c r="A609" s="45"/>
      <c r="B609" s="43" t="str">
        <f t="shared" si="232"/>
        <v/>
      </c>
      <c r="C609" s="96" t="str">
        <f t="shared" si="231"/>
        <v/>
      </c>
      <c r="D609" s="44" t="str">
        <f t="shared" si="233"/>
        <v/>
      </c>
      <c r="E609" s="52"/>
      <c r="F609" s="63" t="str">
        <f t="shared" si="234"/>
        <v/>
      </c>
      <c r="G609" s="56" t="str">
        <f t="shared" si="235"/>
        <v/>
      </c>
      <c r="H609" s="42"/>
      <c r="I609" s="2" t="str">
        <f t="shared" si="236"/>
        <v/>
      </c>
      <c r="J609" s="54" t="str">
        <f t="shared" si="223"/>
        <v/>
      </c>
      <c r="K609" s="55" t="str">
        <f t="shared" si="237"/>
        <v/>
      </c>
      <c r="L609" s="63" t="str">
        <f t="shared" si="238"/>
        <v/>
      </c>
      <c r="M609" s="96" t="str">
        <f t="shared" si="224"/>
        <v/>
      </c>
      <c r="N609" s="96" t="str">
        <f>IF(A609="","",IF(A609=Expiry,0,EXP(-q*Q609)*_xlfn.NORM.S.DIST(Y609,0)/(sigma*SQRT(Q609))*I609*Mult/100))</f>
        <v/>
      </c>
      <c r="O609" s="96" t="str">
        <f>IF(A609="","",IF(A609=Expiry,0,D609*E609*E609*EXP(-q*Q609)*_xlfn.NORM.S.DIST(Y609,0)*SQRT(Q609)/100))</f>
        <v/>
      </c>
      <c r="P609" s="69" t="str">
        <f>IF(A609="","",IF(A609=Expiry,0,AK609*I609*Mult*((-EXP(-q*Q609)*E609*_xlfn.NORM.S.DIST(Y609,0)*sigma/(2*SQRT(Q609))-r_dom*K*EXP(-r_dom*Q609)*_xlfn.NORM.S.DIST(Z609,1)+q*E609*EXP(-q*Q609)*_xlfn.NORM.S.DIST(Y609,1))/365)))</f>
        <v/>
      </c>
      <c r="Q609" s="83" t="str">
        <f t="shared" si="239"/>
        <v/>
      </c>
      <c r="R609" s="38"/>
      <c r="S609" s="68" t="str">
        <f t="shared" si="240"/>
        <v/>
      </c>
      <c r="T609" s="69" t="str">
        <f t="shared" si="241"/>
        <v/>
      </c>
      <c r="U609" s="70" t="str">
        <f t="shared" si="242"/>
        <v/>
      </c>
      <c r="V609" s="72" t="str">
        <f t="shared" si="243"/>
        <v/>
      </c>
      <c r="W609" s="2" t="str">
        <f t="shared" si="230"/>
        <v/>
      </c>
      <c r="X609" s="2" t="str">
        <f t="shared" si="225"/>
        <v/>
      </c>
      <c r="Y609" s="35" t="str">
        <f t="shared" ca="1" si="244"/>
        <v/>
      </c>
      <c r="Z609" s="36" t="str">
        <f t="shared" ca="1" si="245"/>
        <v/>
      </c>
      <c r="AA609" s="70" t="str">
        <f t="shared" si="246"/>
        <v/>
      </c>
      <c r="AB609" s="2"/>
      <c r="AC609" s="94" t="str">
        <f t="shared" si="226"/>
        <v/>
      </c>
      <c r="AD609" s="95" t="str">
        <f t="shared" si="227"/>
        <v/>
      </c>
      <c r="AE609" s="96" t="str">
        <f t="shared" si="228"/>
        <v/>
      </c>
      <c r="AF609" s="124" t="str">
        <f t="shared" si="229"/>
        <v/>
      </c>
      <c r="AG609" s="2"/>
      <c r="AH609" s="2"/>
      <c r="AI609" s="2"/>
      <c r="AJ609" s="2"/>
      <c r="AK609" s="2"/>
      <c r="AL609" s="2"/>
    </row>
    <row r="610" spans="1:38" x14ac:dyDescent="0.2">
      <c r="A610" s="45"/>
      <c r="B610" s="43" t="str">
        <f t="shared" si="232"/>
        <v/>
      </c>
      <c r="C610" s="96" t="str">
        <f t="shared" si="231"/>
        <v/>
      </c>
      <c r="D610" s="44" t="str">
        <f t="shared" si="233"/>
        <v/>
      </c>
      <c r="E610" s="52"/>
      <c r="F610" s="63" t="str">
        <f t="shared" si="234"/>
        <v/>
      </c>
      <c r="G610" s="56" t="str">
        <f t="shared" si="235"/>
        <v/>
      </c>
      <c r="H610" s="42"/>
      <c r="I610" s="2" t="str">
        <f t="shared" si="236"/>
        <v/>
      </c>
      <c r="J610" s="54" t="str">
        <f t="shared" si="223"/>
        <v/>
      </c>
      <c r="K610" s="55" t="str">
        <f t="shared" si="237"/>
        <v/>
      </c>
      <c r="L610" s="63" t="str">
        <f t="shared" si="238"/>
        <v/>
      </c>
      <c r="M610" s="96" t="str">
        <f t="shared" si="224"/>
        <v/>
      </c>
      <c r="N610" s="96" t="str">
        <f>IF(A610="","",IF(A610=Expiry,0,EXP(-q*Q610)*_xlfn.NORM.S.DIST(Y610,0)/(sigma*SQRT(Q610))*I610*Mult/100))</f>
        <v/>
      </c>
      <c r="O610" s="96" t="str">
        <f>IF(A610="","",IF(A610=Expiry,0,D610*E610*E610*EXP(-q*Q610)*_xlfn.NORM.S.DIST(Y610,0)*SQRT(Q610)/100))</f>
        <v/>
      </c>
      <c r="P610" s="69" t="str">
        <f>IF(A610="","",IF(A610=Expiry,0,AK610*I610*Mult*((-EXP(-q*Q610)*E610*_xlfn.NORM.S.DIST(Y610,0)*sigma/(2*SQRT(Q610))-r_dom*K*EXP(-r_dom*Q610)*_xlfn.NORM.S.DIST(Z610,1)+q*E610*EXP(-q*Q610)*_xlfn.NORM.S.DIST(Y610,1))/365)))</f>
        <v/>
      </c>
      <c r="Q610" s="83" t="str">
        <f t="shared" si="239"/>
        <v/>
      </c>
      <c r="R610" s="38"/>
      <c r="S610" s="68" t="str">
        <f t="shared" si="240"/>
        <v/>
      </c>
      <c r="T610" s="69" t="str">
        <f t="shared" si="241"/>
        <v/>
      </c>
      <c r="U610" s="70" t="str">
        <f t="shared" si="242"/>
        <v/>
      </c>
      <c r="V610" s="72" t="str">
        <f t="shared" si="243"/>
        <v/>
      </c>
      <c r="W610" s="2" t="str">
        <f t="shared" si="230"/>
        <v/>
      </c>
      <c r="X610" s="2" t="str">
        <f t="shared" si="225"/>
        <v/>
      </c>
      <c r="Y610" s="35" t="str">
        <f t="shared" ca="1" si="244"/>
        <v/>
      </c>
      <c r="Z610" s="36" t="str">
        <f t="shared" ca="1" si="245"/>
        <v/>
      </c>
      <c r="AA610" s="70" t="str">
        <f t="shared" si="246"/>
        <v/>
      </c>
      <c r="AB610" s="2"/>
      <c r="AC610" s="94" t="str">
        <f t="shared" si="226"/>
        <v/>
      </c>
      <c r="AD610" s="95" t="str">
        <f t="shared" si="227"/>
        <v/>
      </c>
      <c r="AE610" s="96" t="str">
        <f t="shared" si="228"/>
        <v/>
      </c>
      <c r="AF610" s="124" t="str">
        <f t="shared" si="229"/>
        <v/>
      </c>
      <c r="AG610" s="2"/>
      <c r="AH610" s="2"/>
      <c r="AI610" s="2"/>
      <c r="AJ610" s="2"/>
      <c r="AK610" s="2"/>
      <c r="AL610" s="2"/>
    </row>
    <row r="611" spans="1:38" x14ac:dyDescent="0.2">
      <c r="A611" s="45"/>
      <c r="B611" s="43" t="str">
        <f t="shared" si="232"/>
        <v/>
      </c>
      <c r="C611" s="96" t="str">
        <f t="shared" si="231"/>
        <v/>
      </c>
      <c r="D611" s="44" t="str">
        <f t="shared" si="233"/>
        <v/>
      </c>
      <c r="E611" s="52"/>
      <c r="F611" s="63" t="str">
        <f t="shared" si="234"/>
        <v/>
      </c>
      <c r="G611" s="56" t="str">
        <f t="shared" si="235"/>
        <v/>
      </c>
      <c r="H611" s="42"/>
      <c r="I611" s="2" t="str">
        <f t="shared" si="236"/>
        <v/>
      </c>
      <c r="J611" s="54" t="str">
        <f t="shared" si="223"/>
        <v/>
      </c>
      <c r="K611" s="55" t="str">
        <f t="shared" si="237"/>
        <v/>
      </c>
      <c r="L611" s="63" t="str">
        <f t="shared" si="238"/>
        <v/>
      </c>
      <c r="M611" s="96" t="str">
        <f t="shared" si="224"/>
        <v/>
      </c>
      <c r="N611" s="96" t="str">
        <f>IF(A611="","",IF(A611=Expiry,0,EXP(-q*Q611)*_xlfn.NORM.S.DIST(Y611,0)/(sigma*SQRT(Q611))*I611*Mult/100))</f>
        <v/>
      </c>
      <c r="O611" s="96" t="str">
        <f>IF(A611="","",IF(A611=Expiry,0,D611*E611*E611*EXP(-q*Q611)*_xlfn.NORM.S.DIST(Y611,0)*SQRT(Q611)/100))</f>
        <v/>
      </c>
      <c r="P611" s="69" t="str">
        <f>IF(A611="","",IF(A611=Expiry,0,AK611*I611*Mult*((-EXP(-q*Q611)*E611*_xlfn.NORM.S.DIST(Y611,0)*sigma/(2*SQRT(Q611))-r_dom*K*EXP(-r_dom*Q611)*_xlfn.NORM.S.DIST(Z611,1)+q*E611*EXP(-q*Q611)*_xlfn.NORM.S.DIST(Y611,1))/365)))</f>
        <v/>
      </c>
      <c r="Q611" s="83" t="str">
        <f t="shared" si="239"/>
        <v/>
      </c>
      <c r="R611" s="38"/>
      <c r="S611" s="68" t="str">
        <f t="shared" si="240"/>
        <v/>
      </c>
      <c r="T611" s="69" t="str">
        <f t="shared" si="241"/>
        <v/>
      </c>
      <c r="U611" s="70" t="str">
        <f t="shared" si="242"/>
        <v/>
      </c>
      <c r="V611" s="72" t="str">
        <f t="shared" si="243"/>
        <v/>
      </c>
      <c r="W611" s="2" t="str">
        <f t="shared" si="230"/>
        <v/>
      </c>
      <c r="X611" s="2" t="str">
        <f t="shared" si="225"/>
        <v/>
      </c>
      <c r="Y611" s="35" t="str">
        <f t="shared" ca="1" si="244"/>
        <v/>
      </c>
      <c r="Z611" s="36" t="str">
        <f t="shared" ca="1" si="245"/>
        <v/>
      </c>
      <c r="AA611" s="70" t="str">
        <f t="shared" si="246"/>
        <v/>
      </c>
      <c r="AB611" s="2"/>
      <c r="AC611" s="94" t="str">
        <f t="shared" si="226"/>
        <v/>
      </c>
      <c r="AD611" s="95" t="str">
        <f t="shared" si="227"/>
        <v/>
      </c>
      <c r="AE611" s="96" t="str">
        <f t="shared" si="228"/>
        <v/>
      </c>
      <c r="AF611" s="124" t="str">
        <f t="shared" si="229"/>
        <v/>
      </c>
      <c r="AG611" s="2"/>
      <c r="AH611" s="2"/>
      <c r="AI611" s="2"/>
      <c r="AJ611" s="2"/>
      <c r="AK611" s="2"/>
      <c r="AL611" s="2"/>
    </row>
    <row r="612" spans="1:38" x14ac:dyDescent="0.2">
      <c r="A612" s="45"/>
      <c r="B612" s="43" t="str">
        <f t="shared" si="232"/>
        <v/>
      </c>
      <c r="C612" s="96" t="str">
        <f t="shared" si="231"/>
        <v/>
      </c>
      <c r="D612" s="44" t="str">
        <f t="shared" si="233"/>
        <v/>
      </c>
      <c r="E612" s="52"/>
      <c r="F612" s="63" t="str">
        <f t="shared" si="234"/>
        <v/>
      </c>
      <c r="G612" s="56" t="str">
        <f t="shared" si="235"/>
        <v/>
      </c>
      <c r="H612" s="42"/>
      <c r="I612" s="2" t="str">
        <f t="shared" si="236"/>
        <v/>
      </c>
      <c r="J612" s="54" t="str">
        <f t="shared" ref="J612:J675" si="247">IF(CorP="C",AC612,AD612)</f>
        <v/>
      </c>
      <c r="K612" s="55" t="str">
        <f t="shared" si="237"/>
        <v/>
      </c>
      <c r="L612" s="63" t="str">
        <f t="shared" si="238"/>
        <v/>
      </c>
      <c r="M612" s="96" t="str">
        <f t="shared" ref="M612:M675" si="248">IF(CorP="C",AE612,AF612)</f>
        <v/>
      </c>
      <c r="N612" s="96" t="str">
        <f>IF(A612="","",IF(A612=Expiry,0,EXP(-q*Q612)*_xlfn.NORM.S.DIST(Y612,0)/(sigma*SQRT(Q612))*I612*Mult/100))</f>
        <v/>
      </c>
      <c r="O612" s="96" t="str">
        <f>IF(A612="","",IF(A612=Expiry,0,D612*E612*E612*EXP(-q*Q612)*_xlfn.NORM.S.DIST(Y612,0)*SQRT(Q612)/100))</f>
        <v/>
      </c>
      <c r="P612" s="69" t="str">
        <f>IF(A612="","",IF(A612=Expiry,0,AK612*I612*Mult*((-EXP(-q*Q612)*E612*_xlfn.NORM.S.DIST(Y612,0)*sigma/(2*SQRT(Q612))-r_dom*K*EXP(-r_dom*Q612)*_xlfn.NORM.S.DIST(Z612,1)+q*E612*EXP(-q*Q612)*_xlfn.NORM.S.DIST(Y612,1))/365)))</f>
        <v/>
      </c>
      <c r="Q612" s="83" t="str">
        <f t="shared" si="239"/>
        <v/>
      </c>
      <c r="R612" s="38"/>
      <c r="S612" s="68" t="str">
        <f t="shared" si="240"/>
        <v/>
      </c>
      <c r="T612" s="69" t="str">
        <f t="shared" si="241"/>
        <v/>
      </c>
      <c r="U612" s="70" t="str">
        <f t="shared" si="242"/>
        <v/>
      </c>
      <c r="V612" s="72" t="str">
        <f t="shared" si="243"/>
        <v/>
      </c>
      <c r="W612" s="2" t="str">
        <f t="shared" si="230"/>
        <v/>
      </c>
      <c r="X612" s="2" t="str">
        <f t="shared" ref="X612:X675" si="249">IF(A612="","",K)</f>
        <v/>
      </c>
      <c r="Y612" s="35" t="str">
        <f t="shared" ca="1" si="244"/>
        <v/>
      </c>
      <c r="Z612" s="36" t="str">
        <f t="shared" ca="1" si="245"/>
        <v/>
      </c>
      <c r="AA612" s="70" t="str">
        <f t="shared" si="246"/>
        <v/>
      </c>
      <c r="AB612" s="2"/>
      <c r="AC612" s="94" t="str">
        <f t="shared" ref="AC612:AC675" si="250">IF(A612="","",IF(A612=Expiry,MAX(E612-K,0),E612*EXP(-q*Q612)*_xlfn.NORM.S.DIST(Y612,1)-K*EXP(-r_dom*Q612)*_xlfn.NORM.S.DIST(Z612,1)))</f>
        <v/>
      </c>
      <c r="AD612" s="95" t="str">
        <f t="shared" ref="AD612:AD675" si="251">IF(A612="","",IF(A612=Expiry,MAX(K-E612,0),K*EXP(-r_dom*Q612)*_xlfn.NORM.S.DIST(-Z612,1)-E612*EXP(-q*Q612)*_xlfn.NORM.S.DIST(-Y612,1)))</f>
        <v/>
      </c>
      <c r="AE612" s="96" t="str">
        <f t="shared" ref="AE612:AE675" si="252">IF(A612="","",I612*Mult*IF(A612=Expiry,IF(E612&gt;K,1,0),EXP(-q*Q612)*_xlfn.NORM.S.DIST(Y612,1)))</f>
        <v/>
      </c>
      <c r="AF612" s="124" t="str">
        <f t="shared" ref="AF612:AF675" si="253">IF(A612="","",I612*Mult*IF(A612=Expiry,IF(E612&lt;K,-1,0),-EXP(-q*Q612)*_xlfn.NORM.S.DIST(-Y612,1)))</f>
        <v/>
      </c>
      <c r="AG612" s="2"/>
      <c r="AH612" s="2"/>
      <c r="AI612" s="2"/>
      <c r="AJ612" s="2"/>
      <c r="AK612" s="2"/>
      <c r="AL612" s="2"/>
    </row>
    <row r="613" spans="1:38" x14ac:dyDescent="0.2">
      <c r="A613" s="45"/>
      <c r="B613" s="43" t="str">
        <f t="shared" si="232"/>
        <v/>
      </c>
      <c r="C613" s="96" t="str">
        <f t="shared" si="231"/>
        <v/>
      </c>
      <c r="D613" s="44" t="str">
        <f t="shared" si="233"/>
        <v/>
      </c>
      <c r="E613" s="52"/>
      <c r="F613" s="63" t="str">
        <f t="shared" si="234"/>
        <v/>
      </c>
      <c r="G613" s="56" t="str">
        <f t="shared" si="235"/>
        <v/>
      </c>
      <c r="H613" s="42"/>
      <c r="I613" s="2" t="str">
        <f t="shared" si="236"/>
        <v/>
      </c>
      <c r="J613" s="54" t="str">
        <f t="shared" si="247"/>
        <v/>
      </c>
      <c r="K613" s="55" t="str">
        <f t="shared" si="237"/>
        <v/>
      </c>
      <c r="L613" s="63" t="str">
        <f t="shared" si="238"/>
        <v/>
      </c>
      <c r="M613" s="96" t="str">
        <f t="shared" si="248"/>
        <v/>
      </c>
      <c r="N613" s="96" t="str">
        <f>IF(A613="","",IF(A613=Expiry,0,EXP(-q*Q613)*_xlfn.NORM.S.DIST(Y613,0)/(sigma*SQRT(Q613))*I613*Mult/100))</f>
        <v/>
      </c>
      <c r="O613" s="96" t="str">
        <f>IF(A613="","",IF(A613=Expiry,0,D613*E613*E613*EXP(-q*Q613)*_xlfn.NORM.S.DIST(Y613,0)*SQRT(Q613)/100))</f>
        <v/>
      </c>
      <c r="P613" s="69" t="str">
        <f>IF(A613="","",IF(A613=Expiry,0,AK613*I613*Mult*((-EXP(-q*Q613)*E613*_xlfn.NORM.S.DIST(Y613,0)*sigma/(2*SQRT(Q613))-r_dom*K*EXP(-r_dom*Q613)*_xlfn.NORM.S.DIST(Z613,1)+q*E613*EXP(-q*Q613)*_xlfn.NORM.S.DIST(Y613,1))/365)))</f>
        <v/>
      </c>
      <c r="Q613" s="83" t="str">
        <f t="shared" si="239"/>
        <v/>
      </c>
      <c r="R613" s="38"/>
      <c r="S613" s="68" t="str">
        <f t="shared" si="240"/>
        <v/>
      </c>
      <c r="T613" s="69" t="str">
        <f t="shared" si="241"/>
        <v/>
      </c>
      <c r="U613" s="70" t="str">
        <f t="shared" si="242"/>
        <v/>
      </c>
      <c r="V613" s="72" t="str">
        <f t="shared" si="243"/>
        <v/>
      </c>
      <c r="W613" s="2" t="str">
        <f t="shared" ref="W613:W676" si="254">IF(A613="","",100)</f>
        <v/>
      </c>
      <c r="X613" s="2" t="str">
        <f t="shared" si="249"/>
        <v/>
      </c>
      <c r="Y613" s="35" t="str">
        <f t="shared" ca="1" si="244"/>
        <v/>
      </c>
      <c r="Z613" s="36" t="str">
        <f t="shared" ca="1" si="245"/>
        <v/>
      </c>
      <c r="AA613" s="70" t="str">
        <f t="shared" si="246"/>
        <v/>
      </c>
      <c r="AB613" s="2"/>
      <c r="AC613" s="94" t="str">
        <f t="shared" si="250"/>
        <v/>
      </c>
      <c r="AD613" s="95" t="str">
        <f t="shared" si="251"/>
        <v/>
      </c>
      <c r="AE613" s="96" t="str">
        <f t="shared" si="252"/>
        <v/>
      </c>
      <c r="AF613" s="124" t="str">
        <f t="shared" si="253"/>
        <v/>
      </c>
      <c r="AG613" s="2"/>
      <c r="AH613" s="2"/>
      <c r="AI613" s="2"/>
      <c r="AJ613" s="2"/>
      <c r="AK613" s="2"/>
      <c r="AL613" s="2"/>
    </row>
    <row r="614" spans="1:38" x14ac:dyDescent="0.2">
      <c r="A614" s="45"/>
      <c r="B614" s="43" t="str">
        <f t="shared" si="232"/>
        <v/>
      </c>
      <c r="C614" s="96" t="str">
        <f t="shared" ref="C614:C677" si="255">IF(A614="","",C613+B614)</f>
        <v/>
      </c>
      <c r="D614" s="44" t="str">
        <f t="shared" si="233"/>
        <v/>
      </c>
      <c r="E614" s="52"/>
      <c r="F614" s="63" t="str">
        <f t="shared" si="234"/>
        <v/>
      </c>
      <c r="G614" s="56" t="str">
        <f t="shared" si="235"/>
        <v/>
      </c>
      <c r="H614" s="42"/>
      <c r="I614" s="2" t="str">
        <f t="shared" si="236"/>
        <v/>
      </c>
      <c r="J614" s="54" t="str">
        <f t="shared" si="247"/>
        <v/>
      </c>
      <c r="K614" s="55" t="str">
        <f t="shared" si="237"/>
        <v/>
      </c>
      <c r="L614" s="63" t="str">
        <f t="shared" si="238"/>
        <v/>
      </c>
      <c r="M614" s="96" t="str">
        <f t="shared" si="248"/>
        <v/>
      </c>
      <c r="N614" s="96" t="str">
        <f>IF(A614="","",IF(A614=Expiry,0,EXP(-q*Q614)*_xlfn.NORM.S.DIST(Y614,0)/(sigma*SQRT(Q614))*I614*Mult/100))</f>
        <v/>
      </c>
      <c r="O614" s="96" t="str">
        <f>IF(A614="","",IF(A614=Expiry,0,D614*E614*E614*EXP(-q*Q614)*_xlfn.NORM.S.DIST(Y614,0)*SQRT(Q614)/100))</f>
        <v/>
      </c>
      <c r="P614" s="69" t="str">
        <f>IF(A614="","",IF(A614=Expiry,0,AK614*I614*Mult*((-EXP(-q*Q614)*E614*_xlfn.NORM.S.DIST(Y614,0)*sigma/(2*SQRT(Q614))-r_dom*K*EXP(-r_dom*Q614)*_xlfn.NORM.S.DIST(Z614,1)+q*E614*EXP(-q*Q614)*_xlfn.NORM.S.DIST(Y614,1))/365)))</f>
        <v/>
      </c>
      <c r="Q614" s="83" t="str">
        <f t="shared" si="239"/>
        <v/>
      </c>
      <c r="R614" s="38"/>
      <c r="S614" s="68" t="str">
        <f t="shared" si="240"/>
        <v/>
      </c>
      <c r="T614" s="69" t="str">
        <f t="shared" si="241"/>
        <v/>
      </c>
      <c r="U614" s="70" t="str">
        <f t="shared" si="242"/>
        <v/>
      </c>
      <c r="V614" s="72" t="str">
        <f t="shared" si="243"/>
        <v/>
      </c>
      <c r="W614" s="2" t="str">
        <f t="shared" si="254"/>
        <v/>
      </c>
      <c r="X614" s="2" t="str">
        <f t="shared" si="249"/>
        <v/>
      </c>
      <c r="Y614" s="35" t="str">
        <f t="shared" ca="1" si="244"/>
        <v/>
      </c>
      <c r="Z614" s="36" t="str">
        <f t="shared" ca="1" si="245"/>
        <v/>
      </c>
      <c r="AA614" s="70" t="str">
        <f t="shared" si="246"/>
        <v/>
      </c>
      <c r="AB614" s="2"/>
      <c r="AC614" s="94" t="str">
        <f t="shared" si="250"/>
        <v/>
      </c>
      <c r="AD614" s="95" t="str">
        <f t="shared" si="251"/>
        <v/>
      </c>
      <c r="AE614" s="96" t="str">
        <f t="shared" si="252"/>
        <v/>
      </c>
      <c r="AF614" s="124" t="str">
        <f t="shared" si="253"/>
        <v/>
      </c>
      <c r="AG614" s="2"/>
      <c r="AH614" s="2"/>
      <c r="AI614" s="2"/>
      <c r="AJ614" s="2"/>
      <c r="AK614" s="2"/>
      <c r="AL614" s="2"/>
    </row>
    <row r="615" spans="1:38" x14ac:dyDescent="0.2">
      <c r="A615" s="45"/>
      <c r="B615" s="43" t="str">
        <f t="shared" si="232"/>
        <v/>
      </c>
      <c r="C615" s="96" t="str">
        <f t="shared" si="255"/>
        <v/>
      </c>
      <c r="D615" s="44" t="str">
        <f t="shared" si="233"/>
        <v/>
      </c>
      <c r="E615" s="52"/>
      <c r="F615" s="63" t="str">
        <f t="shared" si="234"/>
        <v/>
      </c>
      <c r="G615" s="56" t="str">
        <f t="shared" si="235"/>
        <v/>
      </c>
      <c r="H615" s="42"/>
      <c r="I615" s="2" t="str">
        <f t="shared" si="236"/>
        <v/>
      </c>
      <c r="J615" s="54" t="str">
        <f t="shared" si="247"/>
        <v/>
      </c>
      <c r="K615" s="55" t="str">
        <f t="shared" si="237"/>
        <v/>
      </c>
      <c r="L615" s="63" t="str">
        <f t="shared" si="238"/>
        <v/>
      </c>
      <c r="M615" s="96" t="str">
        <f t="shared" si="248"/>
        <v/>
      </c>
      <c r="N615" s="96" t="str">
        <f>IF(A615="","",IF(A615=Expiry,0,EXP(-q*Q615)*_xlfn.NORM.S.DIST(Y615,0)/(sigma*SQRT(Q615))*I615*Mult/100))</f>
        <v/>
      </c>
      <c r="O615" s="96" t="str">
        <f>IF(A615="","",IF(A615=Expiry,0,D615*E615*E615*EXP(-q*Q615)*_xlfn.NORM.S.DIST(Y615,0)*SQRT(Q615)/100))</f>
        <v/>
      </c>
      <c r="P615" s="69" t="str">
        <f>IF(A615="","",IF(A615=Expiry,0,AK615*I615*Mult*((-EXP(-q*Q615)*E615*_xlfn.NORM.S.DIST(Y615,0)*sigma/(2*SQRT(Q615))-r_dom*K*EXP(-r_dom*Q615)*_xlfn.NORM.S.DIST(Z615,1)+q*E615*EXP(-q*Q615)*_xlfn.NORM.S.DIST(Y615,1))/365)))</f>
        <v/>
      </c>
      <c r="Q615" s="83" t="str">
        <f t="shared" si="239"/>
        <v/>
      </c>
      <c r="R615" s="38"/>
      <c r="S615" s="68" t="str">
        <f t="shared" si="240"/>
        <v/>
      </c>
      <c r="T615" s="69" t="str">
        <f t="shared" si="241"/>
        <v/>
      </c>
      <c r="U615" s="70" t="str">
        <f t="shared" si="242"/>
        <v/>
      </c>
      <c r="V615" s="72" t="str">
        <f t="shared" si="243"/>
        <v/>
      </c>
      <c r="W615" s="2" t="str">
        <f t="shared" si="254"/>
        <v/>
      </c>
      <c r="X615" s="2" t="str">
        <f t="shared" si="249"/>
        <v/>
      </c>
      <c r="Y615" s="35" t="str">
        <f t="shared" ca="1" si="244"/>
        <v/>
      </c>
      <c r="Z615" s="36" t="str">
        <f t="shared" ca="1" si="245"/>
        <v/>
      </c>
      <c r="AA615" s="70" t="str">
        <f t="shared" si="246"/>
        <v/>
      </c>
      <c r="AB615" s="2"/>
      <c r="AC615" s="94" t="str">
        <f t="shared" si="250"/>
        <v/>
      </c>
      <c r="AD615" s="95" t="str">
        <f t="shared" si="251"/>
        <v/>
      </c>
      <c r="AE615" s="96" t="str">
        <f t="shared" si="252"/>
        <v/>
      </c>
      <c r="AF615" s="124" t="str">
        <f t="shared" si="253"/>
        <v/>
      </c>
      <c r="AG615" s="2"/>
      <c r="AH615" s="2"/>
      <c r="AI615" s="2"/>
      <c r="AJ615" s="2"/>
      <c r="AK615" s="2"/>
      <c r="AL615" s="2"/>
    </row>
    <row r="616" spans="1:38" x14ac:dyDescent="0.2">
      <c r="A616" s="45"/>
      <c r="B616" s="43" t="str">
        <f t="shared" si="232"/>
        <v/>
      </c>
      <c r="C616" s="96" t="str">
        <f t="shared" si="255"/>
        <v/>
      </c>
      <c r="D616" s="44" t="str">
        <f t="shared" si="233"/>
        <v/>
      </c>
      <c r="E616" s="52"/>
      <c r="F616" s="63" t="str">
        <f t="shared" si="234"/>
        <v/>
      </c>
      <c r="G616" s="56" t="str">
        <f t="shared" si="235"/>
        <v/>
      </c>
      <c r="H616" s="42"/>
      <c r="I616" s="2" t="str">
        <f t="shared" si="236"/>
        <v/>
      </c>
      <c r="J616" s="54" t="str">
        <f t="shared" si="247"/>
        <v/>
      </c>
      <c r="K616" s="55" t="str">
        <f t="shared" si="237"/>
        <v/>
      </c>
      <c r="L616" s="63" t="str">
        <f t="shared" si="238"/>
        <v/>
      </c>
      <c r="M616" s="96" t="str">
        <f t="shared" si="248"/>
        <v/>
      </c>
      <c r="N616" s="96" t="str">
        <f>IF(A616="","",IF(A616=Expiry,0,EXP(-q*Q616)*_xlfn.NORM.S.DIST(Y616,0)/(sigma*SQRT(Q616))*I616*Mult/100))</f>
        <v/>
      </c>
      <c r="O616" s="96" t="str">
        <f>IF(A616="","",IF(A616=Expiry,0,D616*E616*E616*EXP(-q*Q616)*_xlfn.NORM.S.DIST(Y616,0)*SQRT(Q616)/100))</f>
        <v/>
      </c>
      <c r="P616" s="69" t="str">
        <f>IF(A616="","",IF(A616=Expiry,0,AK616*I616*Mult*((-EXP(-q*Q616)*E616*_xlfn.NORM.S.DIST(Y616,0)*sigma/(2*SQRT(Q616))-r_dom*K*EXP(-r_dom*Q616)*_xlfn.NORM.S.DIST(Z616,1)+q*E616*EXP(-q*Q616)*_xlfn.NORM.S.DIST(Y616,1))/365)))</f>
        <v/>
      </c>
      <c r="Q616" s="83" t="str">
        <f t="shared" si="239"/>
        <v/>
      </c>
      <c r="R616" s="38"/>
      <c r="S616" s="68" t="str">
        <f t="shared" si="240"/>
        <v/>
      </c>
      <c r="T616" s="69" t="str">
        <f t="shared" si="241"/>
        <v/>
      </c>
      <c r="U616" s="70" t="str">
        <f t="shared" si="242"/>
        <v/>
      </c>
      <c r="V616" s="72" t="str">
        <f t="shared" si="243"/>
        <v/>
      </c>
      <c r="W616" s="2" t="str">
        <f t="shared" si="254"/>
        <v/>
      </c>
      <c r="X616" s="2" t="str">
        <f t="shared" si="249"/>
        <v/>
      </c>
      <c r="Y616" s="35" t="str">
        <f t="shared" ca="1" si="244"/>
        <v/>
      </c>
      <c r="Z616" s="36" t="str">
        <f t="shared" ca="1" si="245"/>
        <v/>
      </c>
      <c r="AA616" s="70" t="str">
        <f t="shared" si="246"/>
        <v/>
      </c>
      <c r="AB616" s="2"/>
      <c r="AC616" s="94" t="str">
        <f t="shared" si="250"/>
        <v/>
      </c>
      <c r="AD616" s="95" t="str">
        <f t="shared" si="251"/>
        <v/>
      </c>
      <c r="AE616" s="96" t="str">
        <f t="shared" si="252"/>
        <v/>
      </c>
      <c r="AF616" s="124" t="str">
        <f t="shared" si="253"/>
        <v/>
      </c>
      <c r="AG616" s="2"/>
      <c r="AH616" s="2"/>
      <c r="AI616" s="2"/>
      <c r="AJ616" s="2"/>
      <c r="AK616" s="2"/>
      <c r="AL616" s="2"/>
    </row>
    <row r="617" spans="1:38" x14ac:dyDescent="0.2">
      <c r="A617" s="45"/>
      <c r="B617" s="43" t="str">
        <f t="shared" si="232"/>
        <v/>
      </c>
      <c r="C617" s="96" t="str">
        <f t="shared" si="255"/>
        <v/>
      </c>
      <c r="D617" s="44" t="str">
        <f t="shared" si="233"/>
        <v/>
      </c>
      <c r="E617" s="52"/>
      <c r="F617" s="63" t="str">
        <f t="shared" si="234"/>
        <v/>
      </c>
      <c r="G617" s="56" t="str">
        <f t="shared" si="235"/>
        <v/>
      </c>
      <c r="H617" s="42"/>
      <c r="I617" s="2" t="str">
        <f t="shared" si="236"/>
        <v/>
      </c>
      <c r="J617" s="54" t="str">
        <f t="shared" si="247"/>
        <v/>
      </c>
      <c r="K617" s="55" t="str">
        <f t="shared" si="237"/>
        <v/>
      </c>
      <c r="L617" s="63" t="str">
        <f t="shared" si="238"/>
        <v/>
      </c>
      <c r="M617" s="96" t="str">
        <f t="shared" si="248"/>
        <v/>
      </c>
      <c r="N617" s="96" t="str">
        <f>IF(A617="","",IF(A617=Expiry,0,EXP(-q*Q617)*_xlfn.NORM.S.DIST(Y617,0)/(sigma*SQRT(Q617))*I617*Mult/100))</f>
        <v/>
      </c>
      <c r="O617" s="96" t="str">
        <f>IF(A617="","",IF(A617=Expiry,0,D617*E617*E617*EXP(-q*Q617)*_xlfn.NORM.S.DIST(Y617,0)*SQRT(Q617)/100))</f>
        <v/>
      </c>
      <c r="P617" s="69" t="str">
        <f>IF(A617="","",IF(A617=Expiry,0,AK617*I617*Mult*((-EXP(-q*Q617)*E617*_xlfn.NORM.S.DIST(Y617,0)*sigma/(2*SQRT(Q617))-r_dom*K*EXP(-r_dom*Q617)*_xlfn.NORM.S.DIST(Z617,1)+q*E617*EXP(-q*Q617)*_xlfn.NORM.S.DIST(Y617,1))/365)))</f>
        <v/>
      </c>
      <c r="Q617" s="83" t="str">
        <f t="shared" si="239"/>
        <v/>
      </c>
      <c r="R617" s="38"/>
      <c r="S617" s="68" t="str">
        <f t="shared" si="240"/>
        <v/>
      </c>
      <c r="T617" s="69" t="str">
        <f t="shared" si="241"/>
        <v/>
      </c>
      <c r="U617" s="70" t="str">
        <f t="shared" si="242"/>
        <v/>
      </c>
      <c r="V617" s="72" t="str">
        <f t="shared" si="243"/>
        <v/>
      </c>
      <c r="W617" s="2" t="str">
        <f t="shared" si="254"/>
        <v/>
      </c>
      <c r="X617" s="2" t="str">
        <f t="shared" si="249"/>
        <v/>
      </c>
      <c r="Y617" s="35" t="str">
        <f t="shared" ca="1" si="244"/>
        <v/>
      </c>
      <c r="Z617" s="36" t="str">
        <f t="shared" ca="1" si="245"/>
        <v/>
      </c>
      <c r="AA617" s="70" t="str">
        <f t="shared" si="246"/>
        <v/>
      </c>
      <c r="AB617" s="2"/>
      <c r="AC617" s="94" t="str">
        <f t="shared" si="250"/>
        <v/>
      </c>
      <c r="AD617" s="95" t="str">
        <f t="shared" si="251"/>
        <v/>
      </c>
      <c r="AE617" s="96" t="str">
        <f t="shared" si="252"/>
        <v/>
      </c>
      <c r="AF617" s="124" t="str">
        <f t="shared" si="253"/>
        <v/>
      </c>
      <c r="AG617" s="2"/>
      <c r="AH617" s="2"/>
      <c r="AI617" s="2"/>
      <c r="AJ617" s="2"/>
      <c r="AK617" s="2"/>
      <c r="AL617" s="2"/>
    </row>
    <row r="618" spans="1:38" x14ac:dyDescent="0.2">
      <c r="A618" s="45"/>
      <c r="B618" s="43" t="str">
        <f t="shared" si="232"/>
        <v/>
      </c>
      <c r="C618" s="96" t="str">
        <f t="shared" si="255"/>
        <v/>
      </c>
      <c r="D618" s="44" t="str">
        <f t="shared" si="233"/>
        <v/>
      </c>
      <c r="E618" s="52"/>
      <c r="F618" s="63" t="str">
        <f t="shared" si="234"/>
        <v/>
      </c>
      <c r="G618" s="56" t="str">
        <f t="shared" si="235"/>
        <v/>
      </c>
      <c r="H618" s="42"/>
      <c r="I618" s="2" t="str">
        <f t="shared" si="236"/>
        <v/>
      </c>
      <c r="J618" s="54" t="str">
        <f t="shared" si="247"/>
        <v/>
      </c>
      <c r="K618" s="55" t="str">
        <f t="shared" si="237"/>
        <v/>
      </c>
      <c r="L618" s="63" t="str">
        <f t="shared" si="238"/>
        <v/>
      </c>
      <c r="M618" s="96" t="str">
        <f t="shared" si="248"/>
        <v/>
      </c>
      <c r="N618" s="96" t="str">
        <f>IF(A618="","",IF(A618=Expiry,0,EXP(-q*Q618)*_xlfn.NORM.S.DIST(Y618,0)/(sigma*SQRT(Q618))*I618*Mult/100))</f>
        <v/>
      </c>
      <c r="O618" s="96" t="str">
        <f>IF(A618="","",IF(A618=Expiry,0,D618*E618*E618*EXP(-q*Q618)*_xlfn.NORM.S.DIST(Y618,0)*SQRT(Q618)/100))</f>
        <v/>
      </c>
      <c r="P618" s="69" t="str">
        <f>IF(A618="","",IF(A618=Expiry,0,AK618*I618*Mult*((-EXP(-q*Q618)*E618*_xlfn.NORM.S.DIST(Y618,0)*sigma/(2*SQRT(Q618))-r_dom*K*EXP(-r_dom*Q618)*_xlfn.NORM.S.DIST(Z618,1)+q*E618*EXP(-q*Q618)*_xlfn.NORM.S.DIST(Y618,1))/365)))</f>
        <v/>
      </c>
      <c r="Q618" s="83" t="str">
        <f t="shared" si="239"/>
        <v/>
      </c>
      <c r="R618" s="38"/>
      <c r="S618" s="68" t="str">
        <f t="shared" si="240"/>
        <v/>
      </c>
      <c r="T618" s="69" t="str">
        <f t="shared" si="241"/>
        <v/>
      </c>
      <c r="U618" s="70" t="str">
        <f t="shared" si="242"/>
        <v/>
      </c>
      <c r="V618" s="72" t="str">
        <f t="shared" si="243"/>
        <v/>
      </c>
      <c r="W618" s="2" t="str">
        <f t="shared" si="254"/>
        <v/>
      </c>
      <c r="X618" s="2" t="str">
        <f t="shared" si="249"/>
        <v/>
      </c>
      <c r="Y618" s="35" t="str">
        <f t="shared" ca="1" si="244"/>
        <v/>
      </c>
      <c r="Z618" s="36" t="str">
        <f t="shared" ca="1" si="245"/>
        <v/>
      </c>
      <c r="AA618" s="70" t="str">
        <f t="shared" si="246"/>
        <v/>
      </c>
      <c r="AB618" s="2"/>
      <c r="AC618" s="94" t="str">
        <f t="shared" si="250"/>
        <v/>
      </c>
      <c r="AD618" s="95" t="str">
        <f t="shared" si="251"/>
        <v/>
      </c>
      <c r="AE618" s="96" t="str">
        <f t="shared" si="252"/>
        <v/>
      </c>
      <c r="AF618" s="124" t="str">
        <f t="shared" si="253"/>
        <v/>
      </c>
      <c r="AG618" s="2"/>
      <c r="AH618" s="2"/>
      <c r="AI618" s="2"/>
      <c r="AJ618" s="2"/>
      <c r="AK618" s="2"/>
      <c r="AL618" s="2"/>
    </row>
    <row r="619" spans="1:38" x14ac:dyDescent="0.2">
      <c r="A619" s="45"/>
      <c r="B619" s="43" t="str">
        <f t="shared" si="232"/>
        <v/>
      </c>
      <c r="C619" s="96" t="str">
        <f t="shared" si="255"/>
        <v/>
      </c>
      <c r="D619" s="44" t="str">
        <f t="shared" si="233"/>
        <v/>
      </c>
      <c r="E619" s="52"/>
      <c r="F619" s="63" t="str">
        <f t="shared" si="234"/>
        <v/>
      </c>
      <c r="G619" s="56" t="str">
        <f t="shared" si="235"/>
        <v/>
      </c>
      <c r="H619" s="42"/>
      <c r="I619" s="2" t="str">
        <f t="shared" si="236"/>
        <v/>
      </c>
      <c r="J619" s="54" t="str">
        <f t="shared" si="247"/>
        <v/>
      </c>
      <c r="K619" s="55" t="str">
        <f t="shared" si="237"/>
        <v/>
      </c>
      <c r="L619" s="63" t="str">
        <f t="shared" si="238"/>
        <v/>
      </c>
      <c r="M619" s="96" t="str">
        <f t="shared" si="248"/>
        <v/>
      </c>
      <c r="N619" s="96" t="str">
        <f>IF(A619="","",IF(A619=Expiry,0,EXP(-q*Q619)*_xlfn.NORM.S.DIST(Y619,0)/(sigma*SQRT(Q619))*I619*Mult/100))</f>
        <v/>
      </c>
      <c r="O619" s="96" t="str">
        <f>IF(A619="","",IF(A619=Expiry,0,D619*E619*E619*EXP(-q*Q619)*_xlfn.NORM.S.DIST(Y619,0)*SQRT(Q619)/100))</f>
        <v/>
      </c>
      <c r="P619" s="69" t="str">
        <f>IF(A619="","",IF(A619=Expiry,0,AK619*I619*Mult*((-EXP(-q*Q619)*E619*_xlfn.NORM.S.DIST(Y619,0)*sigma/(2*SQRT(Q619))-r_dom*K*EXP(-r_dom*Q619)*_xlfn.NORM.S.DIST(Z619,1)+q*E619*EXP(-q*Q619)*_xlfn.NORM.S.DIST(Y619,1))/365)))</f>
        <v/>
      </c>
      <c r="Q619" s="83" t="str">
        <f t="shared" si="239"/>
        <v/>
      </c>
      <c r="R619" s="38"/>
      <c r="S619" s="68" t="str">
        <f t="shared" si="240"/>
        <v/>
      </c>
      <c r="T619" s="69" t="str">
        <f t="shared" si="241"/>
        <v/>
      </c>
      <c r="U619" s="70" t="str">
        <f t="shared" si="242"/>
        <v/>
      </c>
      <c r="V619" s="72" t="str">
        <f t="shared" si="243"/>
        <v/>
      </c>
      <c r="W619" s="2" t="str">
        <f t="shared" si="254"/>
        <v/>
      </c>
      <c r="X619" s="2" t="str">
        <f t="shared" si="249"/>
        <v/>
      </c>
      <c r="Y619" s="35" t="str">
        <f t="shared" ca="1" si="244"/>
        <v/>
      </c>
      <c r="Z619" s="36" t="str">
        <f t="shared" ca="1" si="245"/>
        <v/>
      </c>
      <c r="AA619" s="70" t="str">
        <f t="shared" si="246"/>
        <v/>
      </c>
      <c r="AB619" s="2"/>
      <c r="AC619" s="94" t="str">
        <f t="shared" si="250"/>
        <v/>
      </c>
      <c r="AD619" s="95" t="str">
        <f t="shared" si="251"/>
        <v/>
      </c>
      <c r="AE619" s="96" t="str">
        <f t="shared" si="252"/>
        <v/>
      </c>
      <c r="AF619" s="124" t="str">
        <f t="shared" si="253"/>
        <v/>
      </c>
      <c r="AG619" s="2"/>
      <c r="AH619" s="2"/>
      <c r="AI619" s="2"/>
      <c r="AJ619" s="2"/>
      <c r="AK619" s="2"/>
      <c r="AL619" s="2"/>
    </row>
    <row r="620" spans="1:38" x14ac:dyDescent="0.2">
      <c r="A620" s="45"/>
      <c r="B620" s="43" t="str">
        <f t="shared" si="232"/>
        <v/>
      </c>
      <c r="C620" s="96" t="str">
        <f t="shared" si="255"/>
        <v/>
      </c>
      <c r="D620" s="44" t="str">
        <f t="shared" si="233"/>
        <v/>
      </c>
      <c r="E620" s="52"/>
      <c r="F620" s="63" t="str">
        <f t="shared" si="234"/>
        <v/>
      </c>
      <c r="G620" s="56" t="str">
        <f t="shared" si="235"/>
        <v/>
      </c>
      <c r="H620" s="42"/>
      <c r="I620" s="2" t="str">
        <f t="shared" si="236"/>
        <v/>
      </c>
      <c r="J620" s="54" t="str">
        <f t="shared" si="247"/>
        <v/>
      </c>
      <c r="K620" s="55" t="str">
        <f t="shared" si="237"/>
        <v/>
      </c>
      <c r="L620" s="63" t="str">
        <f t="shared" si="238"/>
        <v/>
      </c>
      <c r="M620" s="96" t="str">
        <f t="shared" si="248"/>
        <v/>
      </c>
      <c r="N620" s="96" t="str">
        <f>IF(A620="","",IF(A620=Expiry,0,EXP(-q*Q620)*_xlfn.NORM.S.DIST(Y620,0)/(sigma*SQRT(Q620))*I620*Mult/100))</f>
        <v/>
      </c>
      <c r="O620" s="96" t="str">
        <f>IF(A620="","",IF(A620=Expiry,0,D620*E620*E620*EXP(-q*Q620)*_xlfn.NORM.S.DIST(Y620,0)*SQRT(Q620)/100))</f>
        <v/>
      </c>
      <c r="P620" s="69" t="str">
        <f>IF(A620="","",IF(A620=Expiry,0,AK620*I620*Mult*((-EXP(-q*Q620)*E620*_xlfn.NORM.S.DIST(Y620,0)*sigma/(2*SQRT(Q620))-r_dom*K*EXP(-r_dom*Q620)*_xlfn.NORM.S.DIST(Z620,1)+q*E620*EXP(-q*Q620)*_xlfn.NORM.S.DIST(Y620,1))/365)))</f>
        <v/>
      </c>
      <c r="Q620" s="83" t="str">
        <f t="shared" si="239"/>
        <v/>
      </c>
      <c r="R620" s="38"/>
      <c r="S620" s="68" t="str">
        <f t="shared" si="240"/>
        <v/>
      </c>
      <c r="T620" s="69" t="str">
        <f t="shared" si="241"/>
        <v/>
      </c>
      <c r="U620" s="70" t="str">
        <f t="shared" si="242"/>
        <v/>
      </c>
      <c r="V620" s="72" t="str">
        <f t="shared" si="243"/>
        <v/>
      </c>
      <c r="W620" s="2" t="str">
        <f t="shared" si="254"/>
        <v/>
      </c>
      <c r="X620" s="2" t="str">
        <f t="shared" si="249"/>
        <v/>
      </c>
      <c r="Y620" s="35" t="str">
        <f t="shared" ca="1" si="244"/>
        <v/>
      </c>
      <c r="Z620" s="36" t="str">
        <f t="shared" ca="1" si="245"/>
        <v/>
      </c>
      <c r="AA620" s="70" t="str">
        <f t="shared" si="246"/>
        <v/>
      </c>
      <c r="AB620" s="2"/>
      <c r="AC620" s="94" t="str">
        <f t="shared" si="250"/>
        <v/>
      </c>
      <c r="AD620" s="95" t="str">
        <f t="shared" si="251"/>
        <v/>
      </c>
      <c r="AE620" s="96" t="str">
        <f t="shared" si="252"/>
        <v/>
      </c>
      <c r="AF620" s="124" t="str">
        <f t="shared" si="253"/>
        <v/>
      </c>
      <c r="AG620" s="2"/>
      <c r="AH620" s="2"/>
      <c r="AI620" s="2"/>
      <c r="AJ620" s="2"/>
      <c r="AK620" s="2"/>
      <c r="AL620" s="2"/>
    </row>
    <row r="621" spans="1:38" x14ac:dyDescent="0.2">
      <c r="A621" s="45"/>
      <c r="B621" s="43" t="str">
        <f t="shared" si="232"/>
        <v/>
      </c>
      <c r="C621" s="96" t="str">
        <f t="shared" si="255"/>
        <v/>
      </c>
      <c r="D621" s="44" t="str">
        <f t="shared" si="233"/>
        <v/>
      </c>
      <c r="E621" s="52"/>
      <c r="F621" s="63" t="str">
        <f t="shared" si="234"/>
        <v/>
      </c>
      <c r="G621" s="56" t="str">
        <f t="shared" si="235"/>
        <v/>
      </c>
      <c r="H621" s="42"/>
      <c r="I621" s="2" t="str">
        <f t="shared" si="236"/>
        <v/>
      </c>
      <c r="J621" s="54" t="str">
        <f t="shared" si="247"/>
        <v/>
      </c>
      <c r="K621" s="55" t="str">
        <f t="shared" si="237"/>
        <v/>
      </c>
      <c r="L621" s="63" t="str">
        <f t="shared" si="238"/>
        <v/>
      </c>
      <c r="M621" s="96" t="str">
        <f t="shared" si="248"/>
        <v/>
      </c>
      <c r="N621" s="96" t="str">
        <f>IF(A621="","",IF(A621=Expiry,0,EXP(-q*Q621)*_xlfn.NORM.S.DIST(Y621,0)/(sigma*SQRT(Q621))*I621*Mult/100))</f>
        <v/>
      </c>
      <c r="O621" s="96" t="str">
        <f>IF(A621="","",IF(A621=Expiry,0,D621*E621*E621*EXP(-q*Q621)*_xlfn.NORM.S.DIST(Y621,0)*SQRT(Q621)/100))</f>
        <v/>
      </c>
      <c r="P621" s="69" t="str">
        <f>IF(A621="","",IF(A621=Expiry,0,AK621*I621*Mult*((-EXP(-q*Q621)*E621*_xlfn.NORM.S.DIST(Y621,0)*sigma/(2*SQRT(Q621))-r_dom*K*EXP(-r_dom*Q621)*_xlfn.NORM.S.DIST(Z621,1)+q*E621*EXP(-q*Q621)*_xlfn.NORM.S.DIST(Y621,1))/365)))</f>
        <v/>
      </c>
      <c r="Q621" s="83" t="str">
        <f t="shared" si="239"/>
        <v/>
      </c>
      <c r="R621" s="38"/>
      <c r="S621" s="68" t="str">
        <f t="shared" si="240"/>
        <v/>
      </c>
      <c r="T621" s="69" t="str">
        <f t="shared" si="241"/>
        <v/>
      </c>
      <c r="U621" s="70" t="str">
        <f t="shared" si="242"/>
        <v/>
      </c>
      <c r="V621" s="72" t="str">
        <f t="shared" si="243"/>
        <v/>
      </c>
      <c r="W621" s="2" t="str">
        <f t="shared" si="254"/>
        <v/>
      </c>
      <c r="X621" s="2" t="str">
        <f t="shared" si="249"/>
        <v/>
      </c>
      <c r="Y621" s="35" t="str">
        <f t="shared" ca="1" si="244"/>
        <v/>
      </c>
      <c r="Z621" s="36" t="str">
        <f t="shared" ca="1" si="245"/>
        <v/>
      </c>
      <c r="AA621" s="70" t="str">
        <f t="shared" si="246"/>
        <v/>
      </c>
      <c r="AB621" s="2"/>
      <c r="AC621" s="94" t="str">
        <f t="shared" si="250"/>
        <v/>
      </c>
      <c r="AD621" s="95" t="str">
        <f t="shared" si="251"/>
        <v/>
      </c>
      <c r="AE621" s="96" t="str">
        <f t="shared" si="252"/>
        <v/>
      </c>
      <c r="AF621" s="124" t="str">
        <f t="shared" si="253"/>
        <v/>
      </c>
      <c r="AG621" s="2"/>
      <c r="AH621" s="2"/>
      <c r="AI621" s="2"/>
      <c r="AJ621" s="2"/>
      <c r="AK621" s="2"/>
      <c r="AL621" s="2"/>
    </row>
    <row r="622" spans="1:38" x14ac:dyDescent="0.2">
      <c r="A622" s="45"/>
      <c r="B622" s="43" t="str">
        <f t="shared" si="232"/>
        <v/>
      </c>
      <c r="C622" s="96" t="str">
        <f t="shared" si="255"/>
        <v/>
      </c>
      <c r="D622" s="44" t="str">
        <f t="shared" si="233"/>
        <v/>
      </c>
      <c r="E622" s="52"/>
      <c r="F622" s="63" t="str">
        <f t="shared" si="234"/>
        <v/>
      </c>
      <c r="G622" s="56" t="str">
        <f t="shared" si="235"/>
        <v/>
      </c>
      <c r="H622" s="42"/>
      <c r="I622" s="2" t="str">
        <f t="shared" si="236"/>
        <v/>
      </c>
      <c r="J622" s="54" t="str">
        <f t="shared" si="247"/>
        <v/>
      </c>
      <c r="K622" s="55" t="str">
        <f t="shared" si="237"/>
        <v/>
      </c>
      <c r="L622" s="63" t="str">
        <f t="shared" si="238"/>
        <v/>
      </c>
      <c r="M622" s="96" t="str">
        <f t="shared" si="248"/>
        <v/>
      </c>
      <c r="N622" s="96" t="str">
        <f>IF(A622="","",IF(A622=Expiry,0,EXP(-q*Q622)*_xlfn.NORM.S.DIST(Y622,0)/(sigma*SQRT(Q622))*I622*Mult/100))</f>
        <v/>
      </c>
      <c r="O622" s="96" t="str">
        <f>IF(A622="","",IF(A622=Expiry,0,D622*E622*E622*EXP(-q*Q622)*_xlfn.NORM.S.DIST(Y622,0)*SQRT(Q622)/100))</f>
        <v/>
      </c>
      <c r="P622" s="69" t="str">
        <f>IF(A622="","",IF(A622=Expiry,0,AK622*I622*Mult*((-EXP(-q*Q622)*E622*_xlfn.NORM.S.DIST(Y622,0)*sigma/(2*SQRT(Q622))-r_dom*K*EXP(-r_dom*Q622)*_xlfn.NORM.S.DIST(Z622,1)+q*E622*EXP(-q*Q622)*_xlfn.NORM.S.DIST(Y622,1))/365)))</f>
        <v/>
      </c>
      <c r="Q622" s="83" t="str">
        <f t="shared" si="239"/>
        <v/>
      </c>
      <c r="R622" s="38"/>
      <c r="S622" s="68" t="str">
        <f t="shared" si="240"/>
        <v/>
      </c>
      <c r="T622" s="69" t="str">
        <f t="shared" si="241"/>
        <v/>
      </c>
      <c r="U622" s="70" t="str">
        <f t="shared" si="242"/>
        <v/>
      </c>
      <c r="V622" s="72" t="str">
        <f t="shared" si="243"/>
        <v/>
      </c>
      <c r="W622" s="2" t="str">
        <f t="shared" si="254"/>
        <v/>
      </c>
      <c r="X622" s="2" t="str">
        <f t="shared" si="249"/>
        <v/>
      </c>
      <c r="Y622" s="35" t="str">
        <f t="shared" ca="1" si="244"/>
        <v/>
      </c>
      <c r="Z622" s="36" t="str">
        <f t="shared" ca="1" si="245"/>
        <v/>
      </c>
      <c r="AA622" s="70" t="str">
        <f t="shared" si="246"/>
        <v/>
      </c>
      <c r="AB622" s="2"/>
      <c r="AC622" s="94" t="str">
        <f t="shared" si="250"/>
        <v/>
      </c>
      <c r="AD622" s="95" t="str">
        <f t="shared" si="251"/>
        <v/>
      </c>
      <c r="AE622" s="96" t="str">
        <f t="shared" si="252"/>
        <v/>
      </c>
      <c r="AF622" s="124" t="str">
        <f t="shared" si="253"/>
        <v/>
      </c>
      <c r="AG622" s="2"/>
      <c r="AH622" s="2"/>
      <c r="AI622" s="2"/>
      <c r="AJ622" s="2"/>
      <c r="AK622" s="2"/>
      <c r="AL622" s="2"/>
    </row>
    <row r="623" spans="1:38" x14ac:dyDescent="0.2">
      <c r="A623" s="45"/>
      <c r="B623" s="43" t="str">
        <f t="shared" si="232"/>
        <v/>
      </c>
      <c r="C623" s="96" t="str">
        <f t="shared" si="255"/>
        <v/>
      </c>
      <c r="D623" s="44" t="str">
        <f t="shared" si="233"/>
        <v/>
      </c>
      <c r="E623" s="52"/>
      <c r="F623" s="63" t="str">
        <f t="shared" si="234"/>
        <v/>
      </c>
      <c r="G623" s="56" t="str">
        <f t="shared" si="235"/>
        <v/>
      </c>
      <c r="H623" s="42"/>
      <c r="I623" s="2" t="str">
        <f t="shared" si="236"/>
        <v/>
      </c>
      <c r="J623" s="54" t="str">
        <f t="shared" si="247"/>
        <v/>
      </c>
      <c r="K623" s="55" t="str">
        <f t="shared" si="237"/>
        <v/>
      </c>
      <c r="L623" s="63" t="str">
        <f t="shared" si="238"/>
        <v/>
      </c>
      <c r="M623" s="96" t="str">
        <f t="shared" si="248"/>
        <v/>
      </c>
      <c r="N623" s="96" t="str">
        <f>IF(A623="","",IF(A623=Expiry,0,EXP(-q*Q623)*_xlfn.NORM.S.DIST(Y623,0)/(sigma*SQRT(Q623))*I623*Mult/100))</f>
        <v/>
      </c>
      <c r="O623" s="96" t="str">
        <f>IF(A623="","",IF(A623=Expiry,0,D623*E623*E623*EXP(-q*Q623)*_xlfn.NORM.S.DIST(Y623,0)*SQRT(Q623)/100))</f>
        <v/>
      </c>
      <c r="P623" s="69" t="str">
        <f>IF(A623="","",IF(A623=Expiry,0,AK623*I623*Mult*((-EXP(-q*Q623)*E623*_xlfn.NORM.S.DIST(Y623,0)*sigma/(2*SQRT(Q623))-r_dom*K*EXP(-r_dom*Q623)*_xlfn.NORM.S.DIST(Z623,1)+q*E623*EXP(-q*Q623)*_xlfn.NORM.S.DIST(Y623,1))/365)))</f>
        <v/>
      </c>
      <c r="Q623" s="83" t="str">
        <f t="shared" si="239"/>
        <v/>
      </c>
      <c r="R623" s="38"/>
      <c r="S623" s="68" t="str">
        <f t="shared" si="240"/>
        <v/>
      </c>
      <c r="T623" s="69" t="str">
        <f t="shared" si="241"/>
        <v/>
      </c>
      <c r="U623" s="70" t="str">
        <f t="shared" si="242"/>
        <v/>
      </c>
      <c r="V623" s="72" t="str">
        <f t="shared" si="243"/>
        <v/>
      </c>
      <c r="W623" s="2" t="str">
        <f t="shared" si="254"/>
        <v/>
      </c>
      <c r="X623" s="2" t="str">
        <f t="shared" si="249"/>
        <v/>
      </c>
      <c r="Y623" s="35" t="str">
        <f t="shared" ca="1" si="244"/>
        <v/>
      </c>
      <c r="Z623" s="36" t="str">
        <f t="shared" ca="1" si="245"/>
        <v/>
      </c>
      <c r="AA623" s="70" t="str">
        <f t="shared" si="246"/>
        <v/>
      </c>
      <c r="AB623" s="2"/>
      <c r="AC623" s="94" t="str">
        <f t="shared" si="250"/>
        <v/>
      </c>
      <c r="AD623" s="95" t="str">
        <f t="shared" si="251"/>
        <v/>
      </c>
      <c r="AE623" s="96" t="str">
        <f t="shared" si="252"/>
        <v/>
      </c>
      <c r="AF623" s="124" t="str">
        <f t="shared" si="253"/>
        <v/>
      </c>
      <c r="AG623" s="2"/>
      <c r="AH623" s="2"/>
      <c r="AI623" s="2"/>
      <c r="AJ623" s="2"/>
      <c r="AK623" s="2"/>
      <c r="AL623" s="2"/>
    </row>
    <row r="624" spans="1:38" x14ac:dyDescent="0.2">
      <c r="A624" s="45"/>
      <c r="B624" s="43" t="str">
        <f t="shared" si="232"/>
        <v/>
      </c>
      <c r="C624" s="96" t="str">
        <f t="shared" si="255"/>
        <v/>
      </c>
      <c r="D624" s="44" t="str">
        <f t="shared" si="233"/>
        <v/>
      </c>
      <c r="E624" s="52"/>
      <c r="F624" s="63" t="str">
        <f t="shared" si="234"/>
        <v/>
      </c>
      <c r="G624" s="56" t="str">
        <f t="shared" si="235"/>
        <v/>
      </c>
      <c r="H624" s="42"/>
      <c r="I624" s="2" t="str">
        <f t="shared" si="236"/>
        <v/>
      </c>
      <c r="J624" s="54" t="str">
        <f t="shared" si="247"/>
        <v/>
      </c>
      <c r="K624" s="55" t="str">
        <f t="shared" si="237"/>
        <v/>
      </c>
      <c r="L624" s="63" t="str">
        <f t="shared" si="238"/>
        <v/>
      </c>
      <c r="M624" s="96" t="str">
        <f t="shared" si="248"/>
        <v/>
      </c>
      <c r="N624" s="96" t="str">
        <f>IF(A624="","",IF(A624=Expiry,0,EXP(-q*Q624)*_xlfn.NORM.S.DIST(Y624,0)/(sigma*SQRT(Q624))*I624*Mult/100))</f>
        <v/>
      </c>
      <c r="O624" s="96" t="str">
        <f>IF(A624="","",IF(A624=Expiry,0,D624*E624*E624*EXP(-q*Q624)*_xlfn.NORM.S.DIST(Y624,0)*SQRT(Q624)/100))</f>
        <v/>
      </c>
      <c r="P624" s="69" t="str">
        <f>IF(A624="","",IF(A624=Expiry,0,AK624*I624*Mult*((-EXP(-q*Q624)*E624*_xlfn.NORM.S.DIST(Y624,0)*sigma/(2*SQRT(Q624))-r_dom*K*EXP(-r_dom*Q624)*_xlfn.NORM.S.DIST(Z624,1)+q*E624*EXP(-q*Q624)*_xlfn.NORM.S.DIST(Y624,1))/365)))</f>
        <v/>
      </c>
      <c r="Q624" s="83" t="str">
        <f t="shared" si="239"/>
        <v/>
      </c>
      <c r="R624" s="38"/>
      <c r="S624" s="68" t="str">
        <f t="shared" si="240"/>
        <v/>
      </c>
      <c r="T624" s="69" t="str">
        <f t="shared" si="241"/>
        <v/>
      </c>
      <c r="U624" s="70" t="str">
        <f t="shared" si="242"/>
        <v/>
      </c>
      <c r="V624" s="72" t="str">
        <f t="shared" si="243"/>
        <v/>
      </c>
      <c r="W624" s="2" t="str">
        <f t="shared" si="254"/>
        <v/>
      </c>
      <c r="X624" s="2" t="str">
        <f t="shared" si="249"/>
        <v/>
      </c>
      <c r="Y624" s="35" t="str">
        <f t="shared" ca="1" si="244"/>
        <v/>
      </c>
      <c r="Z624" s="36" t="str">
        <f t="shared" ca="1" si="245"/>
        <v/>
      </c>
      <c r="AA624" s="70" t="str">
        <f t="shared" si="246"/>
        <v/>
      </c>
      <c r="AB624" s="2"/>
      <c r="AC624" s="94" t="str">
        <f t="shared" si="250"/>
        <v/>
      </c>
      <c r="AD624" s="95" t="str">
        <f t="shared" si="251"/>
        <v/>
      </c>
      <c r="AE624" s="96" t="str">
        <f t="shared" si="252"/>
        <v/>
      </c>
      <c r="AF624" s="124" t="str">
        <f t="shared" si="253"/>
        <v/>
      </c>
      <c r="AG624" s="2"/>
      <c r="AH624" s="2"/>
      <c r="AI624" s="2"/>
      <c r="AJ624" s="2"/>
      <c r="AK624" s="2"/>
      <c r="AL624" s="2"/>
    </row>
    <row r="625" spans="1:38" x14ac:dyDescent="0.2">
      <c r="A625" s="45"/>
      <c r="B625" s="43" t="str">
        <f t="shared" si="232"/>
        <v/>
      </c>
      <c r="C625" s="96" t="str">
        <f t="shared" si="255"/>
        <v/>
      </c>
      <c r="D625" s="44" t="str">
        <f t="shared" si="233"/>
        <v/>
      </c>
      <c r="E625" s="52"/>
      <c r="F625" s="63" t="str">
        <f t="shared" si="234"/>
        <v/>
      </c>
      <c r="G625" s="56" t="str">
        <f t="shared" si="235"/>
        <v/>
      </c>
      <c r="H625" s="42"/>
      <c r="I625" s="2" t="str">
        <f t="shared" si="236"/>
        <v/>
      </c>
      <c r="J625" s="54" t="str">
        <f t="shared" si="247"/>
        <v/>
      </c>
      <c r="K625" s="55" t="str">
        <f t="shared" si="237"/>
        <v/>
      </c>
      <c r="L625" s="63" t="str">
        <f t="shared" si="238"/>
        <v/>
      </c>
      <c r="M625" s="96" t="str">
        <f t="shared" si="248"/>
        <v/>
      </c>
      <c r="N625" s="96" t="str">
        <f>IF(A625="","",IF(A625=Expiry,0,EXP(-q*Q625)*_xlfn.NORM.S.DIST(Y625,0)/(sigma*SQRT(Q625))*I625*Mult/100))</f>
        <v/>
      </c>
      <c r="O625" s="96" t="str">
        <f>IF(A625="","",IF(A625=Expiry,0,D625*E625*E625*EXP(-q*Q625)*_xlfn.NORM.S.DIST(Y625,0)*SQRT(Q625)/100))</f>
        <v/>
      </c>
      <c r="P625" s="69" t="str">
        <f>IF(A625="","",IF(A625=Expiry,0,AK625*I625*Mult*((-EXP(-q*Q625)*E625*_xlfn.NORM.S.DIST(Y625,0)*sigma/(2*SQRT(Q625))-r_dom*K*EXP(-r_dom*Q625)*_xlfn.NORM.S.DIST(Z625,1)+q*E625*EXP(-q*Q625)*_xlfn.NORM.S.DIST(Y625,1))/365)))</f>
        <v/>
      </c>
      <c r="Q625" s="83" t="str">
        <f t="shared" si="239"/>
        <v/>
      </c>
      <c r="R625" s="38"/>
      <c r="S625" s="68" t="str">
        <f t="shared" si="240"/>
        <v/>
      </c>
      <c r="T625" s="69" t="str">
        <f t="shared" si="241"/>
        <v/>
      </c>
      <c r="U625" s="70" t="str">
        <f t="shared" si="242"/>
        <v/>
      </c>
      <c r="V625" s="72" t="str">
        <f t="shared" si="243"/>
        <v/>
      </c>
      <c r="W625" s="2" t="str">
        <f t="shared" si="254"/>
        <v/>
      </c>
      <c r="X625" s="2" t="str">
        <f t="shared" si="249"/>
        <v/>
      </c>
      <c r="Y625" s="35" t="str">
        <f t="shared" ca="1" si="244"/>
        <v/>
      </c>
      <c r="Z625" s="36" t="str">
        <f t="shared" ca="1" si="245"/>
        <v/>
      </c>
      <c r="AA625" s="70" t="str">
        <f t="shared" si="246"/>
        <v/>
      </c>
      <c r="AB625" s="2"/>
      <c r="AC625" s="94" t="str">
        <f t="shared" si="250"/>
        <v/>
      </c>
      <c r="AD625" s="95" t="str">
        <f t="shared" si="251"/>
        <v/>
      </c>
      <c r="AE625" s="96" t="str">
        <f t="shared" si="252"/>
        <v/>
      </c>
      <c r="AF625" s="124" t="str">
        <f t="shared" si="253"/>
        <v/>
      </c>
      <c r="AG625" s="2"/>
      <c r="AH625" s="2"/>
      <c r="AI625" s="2"/>
      <c r="AJ625" s="2"/>
      <c r="AK625" s="2"/>
      <c r="AL625" s="2"/>
    </row>
    <row r="626" spans="1:38" x14ac:dyDescent="0.2">
      <c r="A626" s="45"/>
      <c r="B626" s="43" t="str">
        <f t="shared" ref="B626:B689" si="256">IF(A626="","",-(M626+C625))</f>
        <v/>
      </c>
      <c r="C626" s="96" t="str">
        <f t="shared" si="255"/>
        <v/>
      </c>
      <c r="D626" s="44" t="str">
        <f t="shared" ref="D626:D689" si="257">IF(A626="","",C626*E626)</f>
        <v/>
      </c>
      <c r="E626" s="52"/>
      <c r="F626" s="63" t="str">
        <f t="shared" ref="F626:F689" si="258">IF(A626="","",C625*(E626-E625))</f>
        <v/>
      </c>
      <c r="G626" s="56" t="str">
        <f t="shared" ref="G626:G689" si="259">IF(H626="","",J626)</f>
        <v/>
      </c>
      <c r="H626" s="42"/>
      <c r="I626" s="2" t="str">
        <f t="shared" ref="I626:I689" si="260">IF(A626="","",I625+H626)</f>
        <v/>
      </c>
      <c r="J626" s="54" t="str">
        <f t="shared" si="247"/>
        <v/>
      </c>
      <c r="K626" s="55" t="str">
        <f t="shared" ref="K626:K689" si="261">IF(I626="","",I626*Mult*J626)</f>
        <v/>
      </c>
      <c r="L626" s="63" t="str">
        <f t="shared" ref="L626:L689" si="262">IF(A626="","",Mult*(IFERROR(0,H626*(G626-J626))+(I626-H626)*(J626-J625)))</f>
        <v/>
      </c>
      <c r="M626" s="96" t="str">
        <f t="shared" si="248"/>
        <v/>
      </c>
      <c r="N626" s="96" t="str">
        <f>IF(A626="","",IF(A626=Expiry,0,EXP(-q*Q626)*_xlfn.NORM.S.DIST(Y626,0)/(sigma*SQRT(Q626))*I626*Mult/100))</f>
        <v/>
      </c>
      <c r="O626" s="96" t="str">
        <f>IF(A626="","",IF(A626=Expiry,0,D626*E626*E626*EXP(-q*Q626)*_xlfn.NORM.S.DIST(Y626,0)*SQRT(Q626)/100))</f>
        <v/>
      </c>
      <c r="P626" s="69" t="str">
        <f>IF(A626="","",IF(A626=Expiry,0,AK626*I626*Mult*((-EXP(-q*Q626)*E626*_xlfn.NORM.S.DIST(Y626,0)*sigma/(2*SQRT(Q626))-r_dom*K*EXP(-r_dom*Q626)*_xlfn.NORM.S.DIST(Z626,1)+q*E626*EXP(-q*Q626)*_xlfn.NORM.S.DIST(Y626,1))/365)))</f>
        <v/>
      </c>
      <c r="Q626" s="83" t="str">
        <f t="shared" ref="Q626:Q689" si="263">IF(A626="","",IF(OR(A626="",Expiry&lt;=A626),0,(Expiry-A626)/365))</f>
        <v/>
      </c>
      <c r="R626" s="38"/>
      <c r="S626" s="68" t="str">
        <f t="shared" ref="S626:S689" si="264">IF(A626="","",F626+L626)</f>
        <v/>
      </c>
      <c r="T626" s="69" t="str">
        <f t="shared" ref="T626:T689" si="265">IF(A626="","",T625+S626)</f>
        <v/>
      </c>
      <c r="U626" s="70" t="str">
        <f t="shared" ref="U626:U689" si="266">IF(A626="","",LN(T626/T625))</f>
        <v/>
      </c>
      <c r="V626" s="72" t="str">
        <f t="shared" ref="V626:V689" si="267">IF(A626="","",V625*EXP(U626))</f>
        <v/>
      </c>
      <c r="W626" s="2" t="str">
        <f t="shared" si="254"/>
        <v/>
      </c>
      <c r="X626" s="2" t="str">
        <f t="shared" si="249"/>
        <v/>
      </c>
      <c r="Y626" s="35" t="str">
        <f t="shared" ref="Y626:Y689" ca="1" si="268">IF(OR(A626="",A626=Expiry),"",((LN(E626/K)+(r_dom-q+sigma^2/2)*Q626))/(sigma*SQRT(Q626)))</f>
        <v/>
      </c>
      <c r="Z626" s="36" t="str">
        <f t="shared" ref="Z626:Z689" ca="1" si="269">IF(OR(A626="",A626=Expiry),"",Y626-sigma*SQRT(Q626))</f>
        <v/>
      </c>
      <c r="AA626" s="70" t="str">
        <f t="shared" ref="AA626:AA689" si="270">IF(A626="","",LN(E626/E625))</f>
        <v/>
      </c>
      <c r="AB626" s="2"/>
      <c r="AC626" s="94" t="str">
        <f t="shared" si="250"/>
        <v/>
      </c>
      <c r="AD626" s="95" t="str">
        <f t="shared" si="251"/>
        <v/>
      </c>
      <c r="AE626" s="96" t="str">
        <f t="shared" si="252"/>
        <v/>
      </c>
      <c r="AF626" s="124" t="str">
        <f t="shared" si="253"/>
        <v/>
      </c>
      <c r="AG626" s="2"/>
      <c r="AH626" s="2"/>
      <c r="AI626" s="2"/>
      <c r="AJ626" s="2"/>
      <c r="AK626" s="2"/>
      <c r="AL626" s="2"/>
    </row>
    <row r="627" spans="1:38" x14ac:dyDescent="0.2">
      <c r="A627" s="45"/>
      <c r="B627" s="43" t="str">
        <f t="shared" si="256"/>
        <v/>
      </c>
      <c r="C627" s="96" t="str">
        <f t="shared" si="255"/>
        <v/>
      </c>
      <c r="D627" s="44" t="str">
        <f t="shared" si="257"/>
        <v/>
      </c>
      <c r="E627" s="52"/>
      <c r="F627" s="63" t="str">
        <f t="shared" si="258"/>
        <v/>
      </c>
      <c r="G627" s="56" t="str">
        <f t="shared" si="259"/>
        <v/>
      </c>
      <c r="H627" s="42"/>
      <c r="I627" s="2" t="str">
        <f t="shared" si="260"/>
        <v/>
      </c>
      <c r="J627" s="54" t="str">
        <f t="shared" si="247"/>
        <v/>
      </c>
      <c r="K627" s="55" t="str">
        <f t="shared" si="261"/>
        <v/>
      </c>
      <c r="L627" s="63" t="str">
        <f t="shared" si="262"/>
        <v/>
      </c>
      <c r="M627" s="96" t="str">
        <f t="shared" si="248"/>
        <v/>
      </c>
      <c r="N627" s="96" t="str">
        <f>IF(A627="","",IF(A627=Expiry,0,EXP(-q*Q627)*_xlfn.NORM.S.DIST(Y627,0)/(sigma*SQRT(Q627))*I627*Mult/100))</f>
        <v/>
      </c>
      <c r="O627" s="96" t="str">
        <f>IF(A627="","",IF(A627=Expiry,0,D627*E627*E627*EXP(-q*Q627)*_xlfn.NORM.S.DIST(Y627,0)*SQRT(Q627)/100))</f>
        <v/>
      </c>
      <c r="P627" s="69" t="str">
        <f>IF(A627="","",IF(A627=Expiry,0,AK627*I627*Mult*((-EXP(-q*Q627)*E627*_xlfn.NORM.S.DIST(Y627,0)*sigma/(2*SQRT(Q627))-r_dom*K*EXP(-r_dom*Q627)*_xlfn.NORM.S.DIST(Z627,1)+q*E627*EXP(-q*Q627)*_xlfn.NORM.S.DIST(Y627,1))/365)))</f>
        <v/>
      </c>
      <c r="Q627" s="83" t="str">
        <f t="shared" si="263"/>
        <v/>
      </c>
      <c r="R627" s="38"/>
      <c r="S627" s="68" t="str">
        <f t="shared" si="264"/>
        <v/>
      </c>
      <c r="T627" s="69" t="str">
        <f t="shared" si="265"/>
        <v/>
      </c>
      <c r="U627" s="70" t="str">
        <f t="shared" si="266"/>
        <v/>
      </c>
      <c r="V627" s="72" t="str">
        <f t="shared" si="267"/>
        <v/>
      </c>
      <c r="W627" s="2" t="str">
        <f t="shared" si="254"/>
        <v/>
      </c>
      <c r="X627" s="2" t="str">
        <f t="shared" si="249"/>
        <v/>
      </c>
      <c r="Y627" s="35" t="str">
        <f t="shared" ca="1" si="268"/>
        <v/>
      </c>
      <c r="Z627" s="36" t="str">
        <f t="shared" ca="1" si="269"/>
        <v/>
      </c>
      <c r="AA627" s="70" t="str">
        <f t="shared" si="270"/>
        <v/>
      </c>
      <c r="AB627" s="2"/>
      <c r="AC627" s="94" t="str">
        <f t="shared" si="250"/>
        <v/>
      </c>
      <c r="AD627" s="95" t="str">
        <f t="shared" si="251"/>
        <v/>
      </c>
      <c r="AE627" s="96" t="str">
        <f t="shared" si="252"/>
        <v/>
      </c>
      <c r="AF627" s="124" t="str">
        <f t="shared" si="253"/>
        <v/>
      </c>
      <c r="AG627" s="2"/>
      <c r="AH627" s="2"/>
      <c r="AI627" s="2"/>
      <c r="AJ627" s="2"/>
      <c r="AK627" s="2"/>
      <c r="AL627" s="2"/>
    </row>
    <row r="628" spans="1:38" x14ac:dyDescent="0.2">
      <c r="A628" s="45"/>
      <c r="B628" s="43" t="str">
        <f t="shared" si="256"/>
        <v/>
      </c>
      <c r="C628" s="96" t="str">
        <f t="shared" si="255"/>
        <v/>
      </c>
      <c r="D628" s="44" t="str">
        <f t="shared" si="257"/>
        <v/>
      </c>
      <c r="E628" s="52"/>
      <c r="F628" s="63" t="str">
        <f t="shared" si="258"/>
        <v/>
      </c>
      <c r="G628" s="56" t="str">
        <f t="shared" si="259"/>
        <v/>
      </c>
      <c r="H628" s="42"/>
      <c r="I628" s="2" t="str">
        <f t="shared" si="260"/>
        <v/>
      </c>
      <c r="J628" s="54" t="str">
        <f t="shared" si="247"/>
        <v/>
      </c>
      <c r="K628" s="55" t="str">
        <f t="shared" si="261"/>
        <v/>
      </c>
      <c r="L628" s="63" t="str">
        <f t="shared" si="262"/>
        <v/>
      </c>
      <c r="M628" s="96" t="str">
        <f t="shared" si="248"/>
        <v/>
      </c>
      <c r="N628" s="96" t="str">
        <f>IF(A628="","",IF(A628=Expiry,0,EXP(-q*Q628)*_xlfn.NORM.S.DIST(Y628,0)/(sigma*SQRT(Q628))*I628*Mult/100))</f>
        <v/>
      </c>
      <c r="O628" s="96" t="str">
        <f>IF(A628="","",IF(A628=Expiry,0,D628*E628*E628*EXP(-q*Q628)*_xlfn.NORM.S.DIST(Y628,0)*SQRT(Q628)/100))</f>
        <v/>
      </c>
      <c r="P628" s="69" t="str">
        <f>IF(A628="","",IF(A628=Expiry,0,AK628*I628*Mult*((-EXP(-q*Q628)*E628*_xlfn.NORM.S.DIST(Y628,0)*sigma/(2*SQRT(Q628))-r_dom*K*EXP(-r_dom*Q628)*_xlfn.NORM.S.DIST(Z628,1)+q*E628*EXP(-q*Q628)*_xlfn.NORM.S.DIST(Y628,1))/365)))</f>
        <v/>
      </c>
      <c r="Q628" s="83" t="str">
        <f t="shared" si="263"/>
        <v/>
      </c>
      <c r="R628" s="38"/>
      <c r="S628" s="68" t="str">
        <f t="shared" si="264"/>
        <v/>
      </c>
      <c r="T628" s="69" t="str">
        <f t="shared" si="265"/>
        <v/>
      </c>
      <c r="U628" s="70" t="str">
        <f t="shared" si="266"/>
        <v/>
      </c>
      <c r="V628" s="72" t="str">
        <f t="shared" si="267"/>
        <v/>
      </c>
      <c r="W628" s="2" t="str">
        <f t="shared" si="254"/>
        <v/>
      </c>
      <c r="X628" s="2" t="str">
        <f t="shared" si="249"/>
        <v/>
      </c>
      <c r="Y628" s="35" t="str">
        <f t="shared" ca="1" si="268"/>
        <v/>
      </c>
      <c r="Z628" s="36" t="str">
        <f t="shared" ca="1" si="269"/>
        <v/>
      </c>
      <c r="AA628" s="70" t="str">
        <f t="shared" si="270"/>
        <v/>
      </c>
      <c r="AB628" s="2"/>
      <c r="AC628" s="94" t="str">
        <f t="shared" si="250"/>
        <v/>
      </c>
      <c r="AD628" s="95" t="str">
        <f t="shared" si="251"/>
        <v/>
      </c>
      <c r="AE628" s="96" t="str">
        <f t="shared" si="252"/>
        <v/>
      </c>
      <c r="AF628" s="124" t="str">
        <f t="shared" si="253"/>
        <v/>
      </c>
      <c r="AG628" s="2"/>
      <c r="AH628" s="2"/>
      <c r="AI628" s="2"/>
      <c r="AJ628" s="2"/>
      <c r="AK628" s="2"/>
      <c r="AL628" s="2"/>
    </row>
    <row r="629" spans="1:38" x14ac:dyDescent="0.2">
      <c r="A629" s="45"/>
      <c r="B629" s="43" t="str">
        <f t="shared" si="256"/>
        <v/>
      </c>
      <c r="C629" s="96" t="str">
        <f t="shared" si="255"/>
        <v/>
      </c>
      <c r="D629" s="44" t="str">
        <f t="shared" si="257"/>
        <v/>
      </c>
      <c r="E629" s="52"/>
      <c r="F629" s="63" t="str">
        <f t="shared" si="258"/>
        <v/>
      </c>
      <c r="G629" s="56" t="str">
        <f t="shared" si="259"/>
        <v/>
      </c>
      <c r="H629" s="42"/>
      <c r="I629" s="2" t="str">
        <f t="shared" si="260"/>
        <v/>
      </c>
      <c r="J629" s="54" t="str">
        <f t="shared" si="247"/>
        <v/>
      </c>
      <c r="K629" s="55" t="str">
        <f t="shared" si="261"/>
        <v/>
      </c>
      <c r="L629" s="63" t="str">
        <f t="shared" si="262"/>
        <v/>
      </c>
      <c r="M629" s="96" t="str">
        <f t="shared" si="248"/>
        <v/>
      </c>
      <c r="N629" s="96" t="str">
        <f>IF(A629="","",IF(A629=Expiry,0,EXP(-q*Q629)*_xlfn.NORM.S.DIST(Y629,0)/(sigma*SQRT(Q629))*I629*Mult/100))</f>
        <v/>
      </c>
      <c r="O629" s="96" t="str">
        <f>IF(A629="","",IF(A629=Expiry,0,D629*E629*E629*EXP(-q*Q629)*_xlfn.NORM.S.DIST(Y629,0)*SQRT(Q629)/100))</f>
        <v/>
      </c>
      <c r="P629" s="69" t="str">
        <f>IF(A629="","",IF(A629=Expiry,0,AK629*I629*Mult*((-EXP(-q*Q629)*E629*_xlfn.NORM.S.DIST(Y629,0)*sigma/(2*SQRT(Q629))-r_dom*K*EXP(-r_dom*Q629)*_xlfn.NORM.S.DIST(Z629,1)+q*E629*EXP(-q*Q629)*_xlfn.NORM.S.DIST(Y629,1))/365)))</f>
        <v/>
      </c>
      <c r="Q629" s="83" t="str">
        <f t="shared" si="263"/>
        <v/>
      </c>
      <c r="R629" s="38"/>
      <c r="S629" s="68" t="str">
        <f t="shared" si="264"/>
        <v/>
      </c>
      <c r="T629" s="69" t="str">
        <f t="shared" si="265"/>
        <v/>
      </c>
      <c r="U629" s="70" t="str">
        <f t="shared" si="266"/>
        <v/>
      </c>
      <c r="V629" s="72" t="str">
        <f t="shared" si="267"/>
        <v/>
      </c>
      <c r="W629" s="2" t="str">
        <f t="shared" si="254"/>
        <v/>
      </c>
      <c r="X629" s="2" t="str">
        <f t="shared" si="249"/>
        <v/>
      </c>
      <c r="Y629" s="35" t="str">
        <f t="shared" ca="1" si="268"/>
        <v/>
      </c>
      <c r="Z629" s="36" t="str">
        <f t="shared" ca="1" si="269"/>
        <v/>
      </c>
      <c r="AA629" s="70" t="str">
        <f t="shared" si="270"/>
        <v/>
      </c>
      <c r="AB629" s="2"/>
      <c r="AC629" s="94" t="str">
        <f t="shared" si="250"/>
        <v/>
      </c>
      <c r="AD629" s="95" t="str">
        <f t="shared" si="251"/>
        <v/>
      </c>
      <c r="AE629" s="96" t="str">
        <f t="shared" si="252"/>
        <v/>
      </c>
      <c r="AF629" s="124" t="str">
        <f t="shared" si="253"/>
        <v/>
      </c>
      <c r="AG629" s="2"/>
      <c r="AH629" s="2"/>
      <c r="AI629" s="2"/>
      <c r="AJ629" s="2"/>
      <c r="AK629" s="2"/>
      <c r="AL629" s="2"/>
    </row>
    <row r="630" spans="1:38" x14ac:dyDescent="0.2">
      <c r="A630" s="45"/>
      <c r="B630" s="43" t="str">
        <f t="shared" si="256"/>
        <v/>
      </c>
      <c r="C630" s="96" t="str">
        <f t="shared" si="255"/>
        <v/>
      </c>
      <c r="D630" s="44" t="str">
        <f t="shared" si="257"/>
        <v/>
      </c>
      <c r="E630" s="52"/>
      <c r="F630" s="63" t="str">
        <f t="shared" si="258"/>
        <v/>
      </c>
      <c r="G630" s="56" t="str">
        <f t="shared" si="259"/>
        <v/>
      </c>
      <c r="H630" s="42"/>
      <c r="I630" s="2" t="str">
        <f t="shared" si="260"/>
        <v/>
      </c>
      <c r="J630" s="54" t="str">
        <f t="shared" si="247"/>
        <v/>
      </c>
      <c r="K630" s="55" t="str">
        <f t="shared" si="261"/>
        <v/>
      </c>
      <c r="L630" s="63" t="str">
        <f t="shared" si="262"/>
        <v/>
      </c>
      <c r="M630" s="96" t="str">
        <f t="shared" si="248"/>
        <v/>
      </c>
      <c r="N630" s="96" t="str">
        <f>IF(A630="","",IF(A630=Expiry,0,EXP(-q*Q630)*_xlfn.NORM.S.DIST(Y630,0)/(sigma*SQRT(Q630))*I630*Mult/100))</f>
        <v/>
      </c>
      <c r="O630" s="96" t="str">
        <f>IF(A630="","",IF(A630=Expiry,0,D630*E630*E630*EXP(-q*Q630)*_xlfn.NORM.S.DIST(Y630,0)*SQRT(Q630)/100))</f>
        <v/>
      </c>
      <c r="P630" s="69" t="str">
        <f>IF(A630="","",IF(A630=Expiry,0,AK630*I630*Mult*((-EXP(-q*Q630)*E630*_xlfn.NORM.S.DIST(Y630,0)*sigma/(2*SQRT(Q630))-r_dom*K*EXP(-r_dom*Q630)*_xlfn.NORM.S.DIST(Z630,1)+q*E630*EXP(-q*Q630)*_xlfn.NORM.S.DIST(Y630,1))/365)))</f>
        <v/>
      </c>
      <c r="Q630" s="83" t="str">
        <f t="shared" si="263"/>
        <v/>
      </c>
      <c r="R630" s="38"/>
      <c r="S630" s="68" t="str">
        <f t="shared" si="264"/>
        <v/>
      </c>
      <c r="T630" s="69" t="str">
        <f t="shared" si="265"/>
        <v/>
      </c>
      <c r="U630" s="70" t="str">
        <f t="shared" si="266"/>
        <v/>
      </c>
      <c r="V630" s="72" t="str">
        <f t="shared" si="267"/>
        <v/>
      </c>
      <c r="W630" s="2" t="str">
        <f t="shared" si="254"/>
        <v/>
      </c>
      <c r="X630" s="2" t="str">
        <f t="shared" si="249"/>
        <v/>
      </c>
      <c r="Y630" s="35" t="str">
        <f t="shared" ca="1" si="268"/>
        <v/>
      </c>
      <c r="Z630" s="36" t="str">
        <f t="shared" ca="1" si="269"/>
        <v/>
      </c>
      <c r="AA630" s="70" t="str">
        <f t="shared" si="270"/>
        <v/>
      </c>
      <c r="AB630" s="2"/>
      <c r="AC630" s="94" t="str">
        <f t="shared" si="250"/>
        <v/>
      </c>
      <c r="AD630" s="95" t="str">
        <f t="shared" si="251"/>
        <v/>
      </c>
      <c r="AE630" s="96" t="str">
        <f t="shared" si="252"/>
        <v/>
      </c>
      <c r="AF630" s="124" t="str">
        <f t="shared" si="253"/>
        <v/>
      </c>
      <c r="AG630" s="2"/>
      <c r="AH630" s="2"/>
      <c r="AI630" s="2"/>
      <c r="AJ630" s="2"/>
      <c r="AK630" s="2"/>
      <c r="AL630" s="2"/>
    </row>
    <row r="631" spans="1:38" x14ac:dyDescent="0.2">
      <c r="A631" s="45"/>
      <c r="B631" s="43" t="str">
        <f t="shared" si="256"/>
        <v/>
      </c>
      <c r="C631" s="96" t="str">
        <f t="shared" si="255"/>
        <v/>
      </c>
      <c r="D631" s="44" t="str">
        <f t="shared" si="257"/>
        <v/>
      </c>
      <c r="E631" s="52"/>
      <c r="F631" s="63" t="str">
        <f t="shared" si="258"/>
        <v/>
      </c>
      <c r="G631" s="56" t="str">
        <f t="shared" si="259"/>
        <v/>
      </c>
      <c r="H631" s="42"/>
      <c r="I631" s="2" t="str">
        <f t="shared" si="260"/>
        <v/>
      </c>
      <c r="J631" s="54" t="str">
        <f t="shared" si="247"/>
        <v/>
      </c>
      <c r="K631" s="55" t="str">
        <f t="shared" si="261"/>
        <v/>
      </c>
      <c r="L631" s="63" t="str">
        <f t="shared" si="262"/>
        <v/>
      </c>
      <c r="M631" s="96" t="str">
        <f t="shared" si="248"/>
        <v/>
      </c>
      <c r="N631" s="96" t="str">
        <f>IF(A631="","",IF(A631=Expiry,0,EXP(-q*Q631)*_xlfn.NORM.S.DIST(Y631,0)/(sigma*SQRT(Q631))*I631*Mult/100))</f>
        <v/>
      </c>
      <c r="O631" s="96" t="str">
        <f>IF(A631="","",IF(A631=Expiry,0,D631*E631*E631*EXP(-q*Q631)*_xlfn.NORM.S.DIST(Y631,0)*SQRT(Q631)/100))</f>
        <v/>
      </c>
      <c r="P631" s="69" t="str">
        <f>IF(A631="","",IF(A631=Expiry,0,AK631*I631*Mult*((-EXP(-q*Q631)*E631*_xlfn.NORM.S.DIST(Y631,0)*sigma/(2*SQRT(Q631))-r_dom*K*EXP(-r_dom*Q631)*_xlfn.NORM.S.DIST(Z631,1)+q*E631*EXP(-q*Q631)*_xlfn.NORM.S.DIST(Y631,1))/365)))</f>
        <v/>
      </c>
      <c r="Q631" s="83" t="str">
        <f t="shared" si="263"/>
        <v/>
      </c>
      <c r="R631" s="38"/>
      <c r="S631" s="68" t="str">
        <f t="shared" si="264"/>
        <v/>
      </c>
      <c r="T631" s="69" t="str">
        <f t="shared" si="265"/>
        <v/>
      </c>
      <c r="U631" s="70" t="str">
        <f t="shared" si="266"/>
        <v/>
      </c>
      <c r="V631" s="72" t="str">
        <f t="shared" si="267"/>
        <v/>
      </c>
      <c r="W631" s="2" t="str">
        <f t="shared" si="254"/>
        <v/>
      </c>
      <c r="X631" s="2" t="str">
        <f t="shared" si="249"/>
        <v/>
      </c>
      <c r="Y631" s="35" t="str">
        <f t="shared" ca="1" si="268"/>
        <v/>
      </c>
      <c r="Z631" s="36" t="str">
        <f t="shared" ca="1" si="269"/>
        <v/>
      </c>
      <c r="AA631" s="70" t="str">
        <f t="shared" si="270"/>
        <v/>
      </c>
      <c r="AB631" s="2"/>
      <c r="AC631" s="94" t="str">
        <f t="shared" si="250"/>
        <v/>
      </c>
      <c r="AD631" s="95" t="str">
        <f t="shared" si="251"/>
        <v/>
      </c>
      <c r="AE631" s="96" t="str">
        <f t="shared" si="252"/>
        <v/>
      </c>
      <c r="AF631" s="124" t="str">
        <f t="shared" si="253"/>
        <v/>
      </c>
      <c r="AG631" s="2"/>
      <c r="AH631" s="2"/>
      <c r="AI631" s="2"/>
      <c r="AJ631" s="2"/>
      <c r="AK631" s="2"/>
      <c r="AL631" s="2"/>
    </row>
    <row r="632" spans="1:38" x14ac:dyDescent="0.2">
      <c r="A632" s="45"/>
      <c r="B632" s="43" t="str">
        <f t="shared" si="256"/>
        <v/>
      </c>
      <c r="C632" s="96" t="str">
        <f t="shared" si="255"/>
        <v/>
      </c>
      <c r="D632" s="44" t="str">
        <f t="shared" si="257"/>
        <v/>
      </c>
      <c r="E632" s="52"/>
      <c r="F632" s="63" t="str">
        <f t="shared" si="258"/>
        <v/>
      </c>
      <c r="G632" s="56" t="str">
        <f t="shared" si="259"/>
        <v/>
      </c>
      <c r="H632" s="42"/>
      <c r="I632" s="2" t="str">
        <f t="shared" si="260"/>
        <v/>
      </c>
      <c r="J632" s="54" t="str">
        <f t="shared" si="247"/>
        <v/>
      </c>
      <c r="K632" s="55" t="str">
        <f t="shared" si="261"/>
        <v/>
      </c>
      <c r="L632" s="63" t="str">
        <f t="shared" si="262"/>
        <v/>
      </c>
      <c r="M632" s="96" t="str">
        <f t="shared" si="248"/>
        <v/>
      </c>
      <c r="N632" s="96" t="str">
        <f>IF(A632="","",IF(A632=Expiry,0,EXP(-q*Q632)*_xlfn.NORM.S.DIST(Y632,0)/(sigma*SQRT(Q632))*I632*Mult/100))</f>
        <v/>
      </c>
      <c r="O632" s="96" t="str">
        <f>IF(A632="","",IF(A632=Expiry,0,D632*E632*E632*EXP(-q*Q632)*_xlfn.NORM.S.DIST(Y632,0)*SQRT(Q632)/100))</f>
        <v/>
      </c>
      <c r="P632" s="69" t="str">
        <f>IF(A632="","",IF(A632=Expiry,0,AK632*I632*Mult*((-EXP(-q*Q632)*E632*_xlfn.NORM.S.DIST(Y632,0)*sigma/(2*SQRT(Q632))-r_dom*K*EXP(-r_dom*Q632)*_xlfn.NORM.S.DIST(Z632,1)+q*E632*EXP(-q*Q632)*_xlfn.NORM.S.DIST(Y632,1))/365)))</f>
        <v/>
      </c>
      <c r="Q632" s="83" t="str">
        <f t="shared" si="263"/>
        <v/>
      </c>
      <c r="R632" s="38"/>
      <c r="S632" s="68" t="str">
        <f t="shared" si="264"/>
        <v/>
      </c>
      <c r="T632" s="69" t="str">
        <f t="shared" si="265"/>
        <v/>
      </c>
      <c r="U632" s="70" t="str">
        <f t="shared" si="266"/>
        <v/>
      </c>
      <c r="V632" s="72" t="str">
        <f t="shared" si="267"/>
        <v/>
      </c>
      <c r="W632" s="2" t="str">
        <f t="shared" si="254"/>
        <v/>
      </c>
      <c r="X632" s="2" t="str">
        <f t="shared" si="249"/>
        <v/>
      </c>
      <c r="Y632" s="35" t="str">
        <f t="shared" ca="1" si="268"/>
        <v/>
      </c>
      <c r="Z632" s="36" t="str">
        <f t="shared" ca="1" si="269"/>
        <v/>
      </c>
      <c r="AA632" s="70" t="str">
        <f t="shared" si="270"/>
        <v/>
      </c>
      <c r="AB632" s="2"/>
      <c r="AC632" s="94" t="str">
        <f t="shared" si="250"/>
        <v/>
      </c>
      <c r="AD632" s="95" t="str">
        <f t="shared" si="251"/>
        <v/>
      </c>
      <c r="AE632" s="96" t="str">
        <f t="shared" si="252"/>
        <v/>
      </c>
      <c r="AF632" s="124" t="str">
        <f t="shared" si="253"/>
        <v/>
      </c>
      <c r="AG632" s="2"/>
      <c r="AH632" s="2"/>
      <c r="AI632" s="2"/>
      <c r="AJ632" s="2"/>
      <c r="AK632" s="2"/>
      <c r="AL632" s="2"/>
    </row>
    <row r="633" spans="1:38" x14ac:dyDescent="0.2">
      <c r="A633" s="45"/>
      <c r="B633" s="43" t="str">
        <f t="shared" si="256"/>
        <v/>
      </c>
      <c r="C633" s="96" t="str">
        <f t="shared" si="255"/>
        <v/>
      </c>
      <c r="D633" s="44" t="str">
        <f t="shared" si="257"/>
        <v/>
      </c>
      <c r="E633" s="52"/>
      <c r="F633" s="63" t="str">
        <f t="shared" si="258"/>
        <v/>
      </c>
      <c r="G633" s="56" t="str">
        <f t="shared" si="259"/>
        <v/>
      </c>
      <c r="H633" s="42"/>
      <c r="I633" s="2" t="str">
        <f t="shared" si="260"/>
        <v/>
      </c>
      <c r="J633" s="54" t="str">
        <f t="shared" si="247"/>
        <v/>
      </c>
      <c r="K633" s="55" t="str">
        <f t="shared" si="261"/>
        <v/>
      </c>
      <c r="L633" s="63" t="str">
        <f t="shared" si="262"/>
        <v/>
      </c>
      <c r="M633" s="96" t="str">
        <f t="shared" si="248"/>
        <v/>
      </c>
      <c r="N633" s="96" t="str">
        <f>IF(A633="","",IF(A633=Expiry,0,EXP(-q*Q633)*_xlfn.NORM.S.DIST(Y633,0)/(sigma*SQRT(Q633))*I633*Mult/100))</f>
        <v/>
      </c>
      <c r="O633" s="96" t="str">
        <f>IF(A633="","",IF(A633=Expiry,0,D633*E633*E633*EXP(-q*Q633)*_xlfn.NORM.S.DIST(Y633,0)*SQRT(Q633)/100))</f>
        <v/>
      </c>
      <c r="P633" s="69" t="str">
        <f>IF(A633="","",IF(A633=Expiry,0,AK633*I633*Mult*((-EXP(-q*Q633)*E633*_xlfn.NORM.S.DIST(Y633,0)*sigma/(2*SQRT(Q633))-r_dom*K*EXP(-r_dom*Q633)*_xlfn.NORM.S.DIST(Z633,1)+q*E633*EXP(-q*Q633)*_xlfn.NORM.S.DIST(Y633,1))/365)))</f>
        <v/>
      </c>
      <c r="Q633" s="83" t="str">
        <f t="shared" si="263"/>
        <v/>
      </c>
      <c r="R633" s="38"/>
      <c r="S633" s="68" t="str">
        <f t="shared" si="264"/>
        <v/>
      </c>
      <c r="T633" s="69" t="str">
        <f t="shared" si="265"/>
        <v/>
      </c>
      <c r="U633" s="70" t="str">
        <f t="shared" si="266"/>
        <v/>
      </c>
      <c r="V633" s="72" t="str">
        <f t="shared" si="267"/>
        <v/>
      </c>
      <c r="W633" s="2" t="str">
        <f t="shared" si="254"/>
        <v/>
      </c>
      <c r="X633" s="2" t="str">
        <f t="shared" si="249"/>
        <v/>
      </c>
      <c r="Y633" s="35" t="str">
        <f t="shared" ca="1" si="268"/>
        <v/>
      </c>
      <c r="Z633" s="36" t="str">
        <f t="shared" ca="1" si="269"/>
        <v/>
      </c>
      <c r="AA633" s="70" t="str">
        <f t="shared" si="270"/>
        <v/>
      </c>
      <c r="AB633" s="2"/>
      <c r="AC633" s="94" t="str">
        <f t="shared" si="250"/>
        <v/>
      </c>
      <c r="AD633" s="95" t="str">
        <f t="shared" si="251"/>
        <v/>
      </c>
      <c r="AE633" s="96" t="str">
        <f t="shared" si="252"/>
        <v/>
      </c>
      <c r="AF633" s="124" t="str">
        <f t="shared" si="253"/>
        <v/>
      </c>
      <c r="AG633" s="2"/>
      <c r="AH633" s="2"/>
      <c r="AI633" s="2"/>
      <c r="AJ633" s="2"/>
      <c r="AK633" s="2"/>
      <c r="AL633" s="2"/>
    </row>
    <row r="634" spans="1:38" x14ac:dyDescent="0.2">
      <c r="A634" s="45"/>
      <c r="B634" s="43" t="str">
        <f t="shared" si="256"/>
        <v/>
      </c>
      <c r="C634" s="96" t="str">
        <f t="shared" si="255"/>
        <v/>
      </c>
      <c r="D634" s="44" t="str">
        <f t="shared" si="257"/>
        <v/>
      </c>
      <c r="E634" s="52"/>
      <c r="F634" s="63" t="str">
        <f t="shared" si="258"/>
        <v/>
      </c>
      <c r="G634" s="56" t="str">
        <f t="shared" si="259"/>
        <v/>
      </c>
      <c r="H634" s="42"/>
      <c r="I634" s="2" t="str">
        <f t="shared" si="260"/>
        <v/>
      </c>
      <c r="J634" s="54" t="str">
        <f t="shared" si="247"/>
        <v/>
      </c>
      <c r="K634" s="55" t="str">
        <f t="shared" si="261"/>
        <v/>
      </c>
      <c r="L634" s="63" t="str">
        <f t="shared" si="262"/>
        <v/>
      </c>
      <c r="M634" s="96" t="str">
        <f t="shared" si="248"/>
        <v/>
      </c>
      <c r="N634" s="96" t="str">
        <f>IF(A634="","",IF(A634=Expiry,0,EXP(-q*Q634)*_xlfn.NORM.S.DIST(Y634,0)/(sigma*SQRT(Q634))*I634*Mult/100))</f>
        <v/>
      </c>
      <c r="O634" s="96" t="str">
        <f>IF(A634="","",IF(A634=Expiry,0,D634*E634*E634*EXP(-q*Q634)*_xlfn.NORM.S.DIST(Y634,0)*SQRT(Q634)/100))</f>
        <v/>
      </c>
      <c r="P634" s="69" t="str">
        <f>IF(A634="","",IF(A634=Expiry,0,AK634*I634*Mult*((-EXP(-q*Q634)*E634*_xlfn.NORM.S.DIST(Y634,0)*sigma/(2*SQRT(Q634))-r_dom*K*EXP(-r_dom*Q634)*_xlfn.NORM.S.DIST(Z634,1)+q*E634*EXP(-q*Q634)*_xlfn.NORM.S.DIST(Y634,1))/365)))</f>
        <v/>
      </c>
      <c r="Q634" s="83" t="str">
        <f t="shared" si="263"/>
        <v/>
      </c>
      <c r="R634" s="38"/>
      <c r="S634" s="68" t="str">
        <f t="shared" si="264"/>
        <v/>
      </c>
      <c r="T634" s="69" t="str">
        <f t="shared" si="265"/>
        <v/>
      </c>
      <c r="U634" s="70" t="str">
        <f t="shared" si="266"/>
        <v/>
      </c>
      <c r="V634" s="72" t="str">
        <f t="shared" si="267"/>
        <v/>
      </c>
      <c r="W634" s="2" t="str">
        <f t="shared" si="254"/>
        <v/>
      </c>
      <c r="X634" s="2" t="str">
        <f t="shared" si="249"/>
        <v/>
      </c>
      <c r="Y634" s="35" t="str">
        <f t="shared" ca="1" si="268"/>
        <v/>
      </c>
      <c r="Z634" s="36" t="str">
        <f t="shared" ca="1" si="269"/>
        <v/>
      </c>
      <c r="AA634" s="70" t="str">
        <f t="shared" si="270"/>
        <v/>
      </c>
      <c r="AB634" s="2"/>
      <c r="AC634" s="94" t="str">
        <f t="shared" si="250"/>
        <v/>
      </c>
      <c r="AD634" s="95" t="str">
        <f t="shared" si="251"/>
        <v/>
      </c>
      <c r="AE634" s="96" t="str">
        <f t="shared" si="252"/>
        <v/>
      </c>
      <c r="AF634" s="124" t="str">
        <f t="shared" si="253"/>
        <v/>
      </c>
      <c r="AG634" s="2"/>
      <c r="AH634" s="2"/>
      <c r="AI634" s="2"/>
      <c r="AJ634" s="2"/>
      <c r="AK634" s="2"/>
      <c r="AL634" s="2"/>
    </row>
    <row r="635" spans="1:38" x14ac:dyDescent="0.2">
      <c r="A635" s="45"/>
      <c r="B635" s="43" t="str">
        <f t="shared" si="256"/>
        <v/>
      </c>
      <c r="C635" s="96" t="str">
        <f t="shared" si="255"/>
        <v/>
      </c>
      <c r="D635" s="44" t="str">
        <f t="shared" si="257"/>
        <v/>
      </c>
      <c r="E635" s="52"/>
      <c r="F635" s="63" t="str">
        <f t="shared" si="258"/>
        <v/>
      </c>
      <c r="G635" s="56" t="str">
        <f t="shared" si="259"/>
        <v/>
      </c>
      <c r="H635" s="42"/>
      <c r="I635" s="2" t="str">
        <f t="shared" si="260"/>
        <v/>
      </c>
      <c r="J635" s="54" t="str">
        <f t="shared" si="247"/>
        <v/>
      </c>
      <c r="K635" s="55" t="str">
        <f t="shared" si="261"/>
        <v/>
      </c>
      <c r="L635" s="63" t="str">
        <f t="shared" si="262"/>
        <v/>
      </c>
      <c r="M635" s="96" t="str">
        <f t="shared" si="248"/>
        <v/>
      </c>
      <c r="N635" s="96" t="str">
        <f>IF(A635="","",IF(A635=Expiry,0,EXP(-q*Q635)*_xlfn.NORM.S.DIST(Y635,0)/(sigma*SQRT(Q635))*I635*Mult/100))</f>
        <v/>
      </c>
      <c r="O635" s="96" t="str">
        <f>IF(A635="","",IF(A635=Expiry,0,D635*E635*E635*EXP(-q*Q635)*_xlfn.NORM.S.DIST(Y635,0)*SQRT(Q635)/100))</f>
        <v/>
      </c>
      <c r="P635" s="69" t="str">
        <f>IF(A635="","",IF(A635=Expiry,0,AK635*I635*Mult*((-EXP(-q*Q635)*E635*_xlfn.NORM.S.DIST(Y635,0)*sigma/(2*SQRT(Q635))-r_dom*K*EXP(-r_dom*Q635)*_xlfn.NORM.S.DIST(Z635,1)+q*E635*EXP(-q*Q635)*_xlfn.NORM.S.DIST(Y635,1))/365)))</f>
        <v/>
      </c>
      <c r="Q635" s="83" t="str">
        <f t="shared" si="263"/>
        <v/>
      </c>
      <c r="R635" s="38"/>
      <c r="S635" s="68" t="str">
        <f t="shared" si="264"/>
        <v/>
      </c>
      <c r="T635" s="69" t="str">
        <f t="shared" si="265"/>
        <v/>
      </c>
      <c r="U635" s="70" t="str">
        <f t="shared" si="266"/>
        <v/>
      </c>
      <c r="V635" s="72" t="str">
        <f t="shared" si="267"/>
        <v/>
      </c>
      <c r="W635" s="2" t="str">
        <f t="shared" si="254"/>
        <v/>
      </c>
      <c r="X635" s="2" t="str">
        <f t="shared" si="249"/>
        <v/>
      </c>
      <c r="Y635" s="35" t="str">
        <f t="shared" ca="1" si="268"/>
        <v/>
      </c>
      <c r="Z635" s="36" t="str">
        <f t="shared" ca="1" si="269"/>
        <v/>
      </c>
      <c r="AA635" s="70" t="str">
        <f t="shared" si="270"/>
        <v/>
      </c>
      <c r="AB635" s="2"/>
      <c r="AC635" s="94" t="str">
        <f t="shared" si="250"/>
        <v/>
      </c>
      <c r="AD635" s="95" t="str">
        <f t="shared" si="251"/>
        <v/>
      </c>
      <c r="AE635" s="96" t="str">
        <f t="shared" si="252"/>
        <v/>
      </c>
      <c r="AF635" s="124" t="str">
        <f t="shared" si="253"/>
        <v/>
      </c>
      <c r="AG635" s="2"/>
      <c r="AH635" s="2"/>
      <c r="AI635" s="2"/>
      <c r="AJ635" s="2"/>
      <c r="AK635" s="2"/>
      <c r="AL635" s="2"/>
    </row>
    <row r="636" spans="1:38" x14ac:dyDescent="0.2">
      <c r="A636" s="45"/>
      <c r="B636" s="43" t="str">
        <f t="shared" si="256"/>
        <v/>
      </c>
      <c r="C636" s="96" t="str">
        <f t="shared" si="255"/>
        <v/>
      </c>
      <c r="D636" s="44" t="str">
        <f t="shared" si="257"/>
        <v/>
      </c>
      <c r="E636" s="52"/>
      <c r="F636" s="63" t="str">
        <f t="shared" si="258"/>
        <v/>
      </c>
      <c r="G636" s="56" t="str">
        <f t="shared" si="259"/>
        <v/>
      </c>
      <c r="H636" s="42"/>
      <c r="I636" s="2" t="str">
        <f t="shared" si="260"/>
        <v/>
      </c>
      <c r="J636" s="54" t="str">
        <f t="shared" si="247"/>
        <v/>
      </c>
      <c r="K636" s="55" t="str">
        <f t="shared" si="261"/>
        <v/>
      </c>
      <c r="L636" s="63" t="str">
        <f t="shared" si="262"/>
        <v/>
      </c>
      <c r="M636" s="96" t="str">
        <f t="shared" si="248"/>
        <v/>
      </c>
      <c r="N636" s="96" t="str">
        <f>IF(A636="","",IF(A636=Expiry,0,EXP(-q*Q636)*_xlfn.NORM.S.DIST(Y636,0)/(sigma*SQRT(Q636))*I636*Mult/100))</f>
        <v/>
      </c>
      <c r="O636" s="96" t="str">
        <f>IF(A636="","",IF(A636=Expiry,0,D636*E636*E636*EXP(-q*Q636)*_xlfn.NORM.S.DIST(Y636,0)*SQRT(Q636)/100))</f>
        <v/>
      </c>
      <c r="P636" s="69" t="str">
        <f>IF(A636="","",IF(A636=Expiry,0,AK636*I636*Mult*((-EXP(-q*Q636)*E636*_xlfn.NORM.S.DIST(Y636,0)*sigma/(2*SQRT(Q636))-r_dom*K*EXP(-r_dom*Q636)*_xlfn.NORM.S.DIST(Z636,1)+q*E636*EXP(-q*Q636)*_xlfn.NORM.S.DIST(Y636,1))/365)))</f>
        <v/>
      </c>
      <c r="Q636" s="83" t="str">
        <f t="shared" si="263"/>
        <v/>
      </c>
      <c r="R636" s="38"/>
      <c r="S636" s="68" t="str">
        <f t="shared" si="264"/>
        <v/>
      </c>
      <c r="T636" s="69" t="str">
        <f t="shared" si="265"/>
        <v/>
      </c>
      <c r="U636" s="70" t="str">
        <f t="shared" si="266"/>
        <v/>
      </c>
      <c r="V636" s="72" t="str">
        <f t="shared" si="267"/>
        <v/>
      </c>
      <c r="W636" s="2" t="str">
        <f t="shared" si="254"/>
        <v/>
      </c>
      <c r="X636" s="2" t="str">
        <f t="shared" si="249"/>
        <v/>
      </c>
      <c r="Y636" s="35" t="str">
        <f t="shared" ca="1" si="268"/>
        <v/>
      </c>
      <c r="Z636" s="36" t="str">
        <f t="shared" ca="1" si="269"/>
        <v/>
      </c>
      <c r="AA636" s="70" t="str">
        <f t="shared" si="270"/>
        <v/>
      </c>
      <c r="AB636" s="2"/>
      <c r="AC636" s="94" t="str">
        <f t="shared" si="250"/>
        <v/>
      </c>
      <c r="AD636" s="95" t="str">
        <f t="shared" si="251"/>
        <v/>
      </c>
      <c r="AE636" s="96" t="str">
        <f t="shared" si="252"/>
        <v/>
      </c>
      <c r="AF636" s="124" t="str">
        <f t="shared" si="253"/>
        <v/>
      </c>
      <c r="AG636" s="2"/>
      <c r="AH636" s="2"/>
      <c r="AI636" s="2"/>
      <c r="AJ636" s="2"/>
      <c r="AK636" s="2"/>
      <c r="AL636" s="2"/>
    </row>
    <row r="637" spans="1:38" x14ac:dyDescent="0.2">
      <c r="A637" s="45"/>
      <c r="B637" s="43" t="str">
        <f t="shared" si="256"/>
        <v/>
      </c>
      <c r="C637" s="96" t="str">
        <f t="shared" si="255"/>
        <v/>
      </c>
      <c r="D637" s="44" t="str">
        <f t="shared" si="257"/>
        <v/>
      </c>
      <c r="E637" s="52"/>
      <c r="F637" s="63" t="str">
        <f t="shared" si="258"/>
        <v/>
      </c>
      <c r="G637" s="56" t="str">
        <f t="shared" si="259"/>
        <v/>
      </c>
      <c r="H637" s="42"/>
      <c r="I637" s="2" t="str">
        <f t="shared" si="260"/>
        <v/>
      </c>
      <c r="J637" s="54" t="str">
        <f t="shared" si="247"/>
        <v/>
      </c>
      <c r="K637" s="55" t="str">
        <f t="shared" si="261"/>
        <v/>
      </c>
      <c r="L637" s="63" t="str">
        <f t="shared" si="262"/>
        <v/>
      </c>
      <c r="M637" s="96" t="str">
        <f t="shared" si="248"/>
        <v/>
      </c>
      <c r="N637" s="96" t="str">
        <f>IF(A637="","",IF(A637=Expiry,0,EXP(-q*Q637)*_xlfn.NORM.S.DIST(Y637,0)/(sigma*SQRT(Q637))*I637*Mult/100))</f>
        <v/>
      </c>
      <c r="O637" s="96" t="str">
        <f>IF(A637="","",IF(A637=Expiry,0,D637*E637*E637*EXP(-q*Q637)*_xlfn.NORM.S.DIST(Y637,0)*SQRT(Q637)/100))</f>
        <v/>
      </c>
      <c r="P637" s="69" t="str">
        <f>IF(A637="","",IF(A637=Expiry,0,AK637*I637*Mult*((-EXP(-q*Q637)*E637*_xlfn.NORM.S.DIST(Y637,0)*sigma/(2*SQRT(Q637))-r_dom*K*EXP(-r_dom*Q637)*_xlfn.NORM.S.DIST(Z637,1)+q*E637*EXP(-q*Q637)*_xlfn.NORM.S.DIST(Y637,1))/365)))</f>
        <v/>
      </c>
      <c r="Q637" s="83" t="str">
        <f t="shared" si="263"/>
        <v/>
      </c>
      <c r="R637" s="38"/>
      <c r="S637" s="68" t="str">
        <f t="shared" si="264"/>
        <v/>
      </c>
      <c r="T637" s="69" t="str">
        <f t="shared" si="265"/>
        <v/>
      </c>
      <c r="U637" s="70" t="str">
        <f t="shared" si="266"/>
        <v/>
      </c>
      <c r="V637" s="72" t="str">
        <f t="shared" si="267"/>
        <v/>
      </c>
      <c r="W637" s="2" t="str">
        <f t="shared" si="254"/>
        <v/>
      </c>
      <c r="X637" s="2" t="str">
        <f t="shared" si="249"/>
        <v/>
      </c>
      <c r="Y637" s="35" t="str">
        <f t="shared" ca="1" si="268"/>
        <v/>
      </c>
      <c r="Z637" s="36" t="str">
        <f t="shared" ca="1" si="269"/>
        <v/>
      </c>
      <c r="AA637" s="70" t="str">
        <f t="shared" si="270"/>
        <v/>
      </c>
      <c r="AB637" s="2"/>
      <c r="AC637" s="94" t="str">
        <f t="shared" si="250"/>
        <v/>
      </c>
      <c r="AD637" s="95" t="str">
        <f t="shared" si="251"/>
        <v/>
      </c>
      <c r="AE637" s="96" t="str">
        <f t="shared" si="252"/>
        <v/>
      </c>
      <c r="AF637" s="124" t="str">
        <f t="shared" si="253"/>
        <v/>
      </c>
      <c r="AG637" s="2"/>
      <c r="AH637" s="2"/>
      <c r="AI637" s="2"/>
      <c r="AJ637" s="2"/>
      <c r="AK637" s="2"/>
      <c r="AL637" s="2"/>
    </row>
    <row r="638" spans="1:38" x14ac:dyDescent="0.2">
      <c r="A638" s="45"/>
      <c r="B638" s="43" t="str">
        <f t="shared" si="256"/>
        <v/>
      </c>
      <c r="C638" s="96" t="str">
        <f t="shared" si="255"/>
        <v/>
      </c>
      <c r="D638" s="44" t="str">
        <f t="shared" si="257"/>
        <v/>
      </c>
      <c r="E638" s="52"/>
      <c r="F638" s="63" t="str">
        <f t="shared" si="258"/>
        <v/>
      </c>
      <c r="G638" s="56" t="str">
        <f t="shared" si="259"/>
        <v/>
      </c>
      <c r="H638" s="42"/>
      <c r="I638" s="2" t="str">
        <f t="shared" si="260"/>
        <v/>
      </c>
      <c r="J638" s="54" t="str">
        <f t="shared" si="247"/>
        <v/>
      </c>
      <c r="K638" s="55" t="str">
        <f t="shared" si="261"/>
        <v/>
      </c>
      <c r="L638" s="63" t="str">
        <f t="shared" si="262"/>
        <v/>
      </c>
      <c r="M638" s="96" t="str">
        <f t="shared" si="248"/>
        <v/>
      </c>
      <c r="N638" s="96" t="str">
        <f>IF(A638="","",IF(A638=Expiry,0,EXP(-q*Q638)*_xlfn.NORM.S.DIST(Y638,0)/(sigma*SQRT(Q638))*I638*Mult/100))</f>
        <v/>
      </c>
      <c r="O638" s="96" t="str">
        <f>IF(A638="","",IF(A638=Expiry,0,D638*E638*E638*EXP(-q*Q638)*_xlfn.NORM.S.DIST(Y638,0)*SQRT(Q638)/100))</f>
        <v/>
      </c>
      <c r="P638" s="69" t="str">
        <f>IF(A638="","",IF(A638=Expiry,0,AK638*I638*Mult*((-EXP(-q*Q638)*E638*_xlfn.NORM.S.DIST(Y638,0)*sigma/(2*SQRT(Q638))-r_dom*K*EXP(-r_dom*Q638)*_xlfn.NORM.S.DIST(Z638,1)+q*E638*EXP(-q*Q638)*_xlfn.NORM.S.DIST(Y638,1))/365)))</f>
        <v/>
      </c>
      <c r="Q638" s="83" t="str">
        <f t="shared" si="263"/>
        <v/>
      </c>
      <c r="R638" s="38"/>
      <c r="S638" s="68" t="str">
        <f t="shared" si="264"/>
        <v/>
      </c>
      <c r="T638" s="69" t="str">
        <f t="shared" si="265"/>
        <v/>
      </c>
      <c r="U638" s="70" t="str">
        <f t="shared" si="266"/>
        <v/>
      </c>
      <c r="V638" s="72" t="str">
        <f t="shared" si="267"/>
        <v/>
      </c>
      <c r="W638" s="2" t="str">
        <f t="shared" si="254"/>
        <v/>
      </c>
      <c r="X638" s="2" t="str">
        <f t="shared" si="249"/>
        <v/>
      </c>
      <c r="Y638" s="35" t="str">
        <f t="shared" ca="1" si="268"/>
        <v/>
      </c>
      <c r="Z638" s="36" t="str">
        <f t="shared" ca="1" si="269"/>
        <v/>
      </c>
      <c r="AA638" s="70" t="str">
        <f t="shared" si="270"/>
        <v/>
      </c>
      <c r="AB638" s="2"/>
      <c r="AC638" s="94" t="str">
        <f t="shared" si="250"/>
        <v/>
      </c>
      <c r="AD638" s="95" t="str">
        <f t="shared" si="251"/>
        <v/>
      </c>
      <c r="AE638" s="96" t="str">
        <f t="shared" si="252"/>
        <v/>
      </c>
      <c r="AF638" s="124" t="str">
        <f t="shared" si="253"/>
        <v/>
      </c>
      <c r="AG638" s="2"/>
      <c r="AH638" s="2"/>
      <c r="AI638" s="2"/>
      <c r="AJ638" s="2"/>
      <c r="AK638" s="2"/>
      <c r="AL638" s="2"/>
    </row>
    <row r="639" spans="1:38" x14ac:dyDescent="0.2">
      <c r="A639" s="45"/>
      <c r="B639" s="43" t="str">
        <f t="shared" si="256"/>
        <v/>
      </c>
      <c r="C639" s="96" t="str">
        <f t="shared" si="255"/>
        <v/>
      </c>
      <c r="D639" s="44" t="str">
        <f t="shared" si="257"/>
        <v/>
      </c>
      <c r="E639" s="52"/>
      <c r="F639" s="63" t="str">
        <f t="shared" si="258"/>
        <v/>
      </c>
      <c r="G639" s="56" t="str">
        <f t="shared" si="259"/>
        <v/>
      </c>
      <c r="H639" s="42"/>
      <c r="I639" s="2" t="str">
        <f t="shared" si="260"/>
        <v/>
      </c>
      <c r="J639" s="54" t="str">
        <f t="shared" si="247"/>
        <v/>
      </c>
      <c r="K639" s="55" t="str">
        <f t="shared" si="261"/>
        <v/>
      </c>
      <c r="L639" s="63" t="str">
        <f t="shared" si="262"/>
        <v/>
      </c>
      <c r="M639" s="96" t="str">
        <f t="shared" si="248"/>
        <v/>
      </c>
      <c r="N639" s="96" t="str">
        <f>IF(A639="","",IF(A639=Expiry,0,EXP(-q*Q639)*_xlfn.NORM.S.DIST(Y639,0)/(sigma*SQRT(Q639))*I639*Mult/100))</f>
        <v/>
      </c>
      <c r="O639" s="96" t="str">
        <f>IF(A639="","",IF(A639=Expiry,0,D639*E639*E639*EXP(-q*Q639)*_xlfn.NORM.S.DIST(Y639,0)*SQRT(Q639)/100))</f>
        <v/>
      </c>
      <c r="P639" s="69" t="str">
        <f>IF(A639="","",IF(A639=Expiry,0,AK639*I639*Mult*((-EXP(-q*Q639)*E639*_xlfn.NORM.S.DIST(Y639,0)*sigma/(2*SQRT(Q639))-r_dom*K*EXP(-r_dom*Q639)*_xlfn.NORM.S.DIST(Z639,1)+q*E639*EXP(-q*Q639)*_xlfn.NORM.S.DIST(Y639,1))/365)))</f>
        <v/>
      </c>
      <c r="Q639" s="83" t="str">
        <f t="shared" si="263"/>
        <v/>
      </c>
      <c r="R639" s="38"/>
      <c r="S639" s="68" t="str">
        <f t="shared" si="264"/>
        <v/>
      </c>
      <c r="T639" s="69" t="str">
        <f t="shared" si="265"/>
        <v/>
      </c>
      <c r="U639" s="70" t="str">
        <f t="shared" si="266"/>
        <v/>
      </c>
      <c r="V639" s="72" t="str">
        <f t="shared" si="267"/>
        <v/>
      </c>
      <c r="W639" s="2" t="str">
        <f t="shared" si="254"/>
        <v/>
      </c>
      <c r="X639" s="2" t="str">
        <f t="shared" si="249"/>
        <v/>
      </c>
      <c r="Y639" s="35" t="str">
        <f t="shared" ca="1" si="268"/>
        <v/>
      </c>
      <c r="Z639" s="36" t="str">
        <f t="shared" ca="1" si="269"/>
        <v/>
      </c>
      <c r="AA639" s="70" t="str">
        <f t="shared" si="270"/>
        <v/>
      </c>
      <c r="AB639" s="2"/>
      <c r="AC639" s="94" t="str">
        <f t="shared" si="250"/>
        <v/>
      </c>
      <c r="AD639" s="95" t="str">
        <f t="shared" si="251"/>
        <v/>
      </c>
      <c r="AE639" s="96" t="str">
        <f t="shared" si="252"/>
        <v/>
      </c>
      <c r="AF639" s="124" t="str">
        <f t="shared" si="253"/>
        <v/>
      </c>
      <c r="AG639" s="2"/>
      <c r="AH639" s="2"/>
      <c r="AI639" s="2"/>
      <c r="AJ639" s="2"/>
      <c r="AK639" s="2"/>
      <c r="AL639" s="2"/>
    </row>
    <row r="640" spans="1:38" x14ac:dyDescent="0.2">
      <c r="A640" s="45"/>
      <c r="B640" s="43" t="str">
        <f t="shared" si="256"/>
        <v/>
      </c>
      <c r="C640" s="96" t="str">
        <f t="shared" si="255"/>
        <v/>
      </c>
      <c r="D640" s="44" t="str">
        <f t="shared" si="257"/>
        <v/>
      </c>
      <c r="E640" s="52"/>
      <c r="F640" s="63" t="str">
        <f t="shared" si="258"/>
        <v/>
      </c>
      <c r="G640" s="56" t="str">
        <f t="shared" si="259"/>
        <v/>
      </c>
      <c r="H640" s="42"/>
      <c r="I640" s="2" t="str">
        <f t="shared" si="260"/>
        <v/>
      </c>
      <c r="J640" s="54" t="str">
        <f t="shared" si="247"/>
        <v/>
      </c>
      <c r="K640" s="55" t="str">
        <f t="shared" si="261"/>
        <v/>
      </c>
      <c r="L640" s="63" t="str">
        <f t="shared" si="262"/>
        <v/>
      </c>
      <c r="M640" s="96" t="str">
        <f t="shared" si="248"/>
        <v/>
      </c>
      <c r="N640" s="96" t="str">
        <f>IF(A640="","",IF(A640=Expiry,0,EXP(-q*Q640)*_xlfn.NORM.S.DIST(Y640,0)/(sigma*SQRT(Q640))*I640*Mult/100))</f>
        <v/>
      </c>
      <c r="O640" s="96" t="str">
        <f>IF(A640="","",IF(A640=Expiry,0,D640*E640*E640*EXP(-q*Q640)*_xlfn.NORM.S.DIST(Y640,0)*SQRT(Q640)/100))</f>
        <v/>
      </c>
      <c r="P640" s="69" t="str">
        <f>IF(A640="","",IF(A640=Expiry,0,AK640*I640*Mult*((-EXP(-q*Q640)*E640*_xlfn.NORM.S.DIST(Y640,0)*sigma/(2*SQRT(Q640))-r_dom*K*EXP(-r_dom*Q640)*_xlfn.NORM.S.DIST(Z640,1)+q*E640*EXP(-q*Q640)*_xlfn.NORM.S.DIST(Y640,1))/365)))</f>
        <v/>
      </c>
      <c r="Q640" s="83" t="str">
        <f t="shared" si="263"/>
        <v/>
      </c>
      <c r="R640" s="38"/>
      <c r="S640" s="68" t="str">
        <f t="shared" si="264"/>
        <v/>
      </c>
      <c r="T640" s="69" t="str">
        <f t="shared" si="265"/>
        <v/>
      </c>
      <c r="U640" s="70" t="str">
        <f t="shared" si="266"/>
        <v/>
      </c>
      <c r="V640" s="72" t="str">
        <f t="shared" si="267"/>
        <v/>
      </c>
      <c r="W640" s="2" t="str">
        <f t="shared" si="254"/>
        <v/>
      </c>
      <c r="X640" s="2" t="str">
        <f t="shared" si="249"/>
        <v/>
      </c>
      <c r="Y640" s="35" t="str">
        <f t="shared" ca="1" si="268"/>
        <v/>
      </c>
      <c r="Z640" s="36" t="str">
        <f t="shared" ca="1" si="269"/>
        <v/>
      </c>
      <c r="AA640" s="70" t="str">
        <f t="shared" si="270"/>
        <v/>
      </c>
      <c r="AB640" s="2"/>
      <c r="AC640" s="94" t="str">
        <f t="shared" si="250"/>
        <v/>
      </c>
      <c r="AD640" s="95" t="str">
        <f t="shared" si="251"/>
        <v/>
      </c>
      <c r="AE640" s="96" t="str">
        <f t="shared" si="252"/>
        <v/>
      </c>
      <c r="AF640" s="124" t="str">
        <f t="shared" si="253"/>
        <v/>
      </c>
      <c r="AG640" s="2"/>
      <c r="AH640" s="2"/>
      <c r="AI640" s="2"/>
      <c r="AJ640" s="2"/>
      <c r="AK640" s="2"/>
      <c r="AL640" s="2"/>
    </row>
    <row r="641" spans="1:38" x14ac:dyDescent="0.2">
      <c r="A641" s="45"/>
      <c r="B641" s="43" t="str">
        <f t="shared" si="256"/>
        <v/>
      </c>
      <c r="C641" s="96" t="str">
        <f t="shared" si="255"/>
        <v/>
      </c>
      <c r="D641" s="44" t="str">
        <f t="shared" si="257"/>
        <v/>
      </c>
      <c r="E641" s="52"/>
      <c r="F641" s="63" t="str">
        <f t="shared" si="258"/>
        <v/>
      </c>
      <c r="G641" s="56" t="str">
        <f t="shared" si="259"/>
        <v/>
      </c>
      <c r="H641" s="42"/>
      <c r="I641" s="2" t="str">
        <f t="shared" si="260"/>
        <v/>
      </c>
      <c r="J641" s="54" t="str">
        <f t="shared" si="247"/>
        <v/>
      </c>
      <c r="K641" s="55" t="str">
        <f t="shared" si="261"/>
        <v/>
      </c>
      <c r="L641" s="63" t="str">
        <f t="shared" si="262"/>
        <v/>
      </c>
      <c r="M641" s="96" t="str">
        <f t="shared" si="248"/>
        <v/>
      </c>
      <c r="N641" s="96" t="str">
        <f>IF(A641="","",IF(A641=Expiry,0,EXP(-q*Q641)*_xlfn.NORM.S.DIST(Y641,0)/(sigma*SQRT(Q641))*I641*Mult/100))</f>
        <v/>
      </c>
      <c r="O641" s="96" t="str">
        <f>IF(A641="","",IF(A641=Expiry,0,D641*E641*E641*EXP(-q*Q641)*_xlfn.NORM.S.DIST(Y641,0)*SQRT(Q641)/100))</f>
        <v/>
      </c>
      <c r="P641" s="69" t="str">
        <f>IF(A641="","",IF(A641=Expiry,0,AK641*I641*Mult*((-EXP(-q*Q641)*E641*_xlfn.NORM.S.DIST(Y641,0)*sigma/(2*SQRT(Q641))-r_dom*K*EXP(-r_dom*Q641)*_xlfn.NORM.S.DIST(Z641,1)+q*E641*EXP(-q*Q641)*_xlfn.NORM.S.DIST(Y641,1))/365)))</f>
        <v/>
      </c>
      <c r="Q641" s="83" t="str">
        <f t="shared" si="263"/>
        <v/>
      </c>
      <c r="R641" s="38"/>
      <c r="S641" s="68" t="str">
        <f t="shared" si="264"/>
        <v/>
      </c>
      <c r="T641" s="69" t="str">
        <f t="shared" si="265"/>
        <v/>
      </c>
      <c r="U641" s="70" t="str">
        <f t="shared" si="266"/>
        <v/>
      </c>
      <c r="V641" s="72" t="str">
        <f t="shared" si="267"/>
        <v/>
      </c>
      <c r="W641" s="2" t="str">
        <f t="shared" si="254"/>
        <v/>
      </c>
      <c r="X641" s="2" t="str">
        <f t="shared" si="249"/>
        <v/>
      </c>
      <c r="Y641" s="35" t="str">
        <f t="shared" ca="1" si="268"/>
        <v/>
      </c>
      <c r="Z641" s="36" t="str">
        <f t="shared" ca="1" si="269"/>
        <v/>
      </c>
      <c r="AA641" s="70" t="str">
        <f t="shared" si="270"/>
        <v/>
      </c>
      <c r="AB641" s="2"/>
      <c r="AC641" s="94" t="str">
        <f t="shared" si="250"/>
        <v/>
      </c>
      <c r="AD641" s="95" t="str">
        <f t="shared" si="251"/>
        <v/>
      </c>
      <c r="AE641" s="96" t="str">
        <f t="shared" si="252"/>
        <v/>
      </c>
      <c r="AF641" s="124" t="str">
        <f t="shared" si="253"/>
        <v/>
      </c>
      <c r="AG641" s="2"/>
      <c r="AH641" s="2"/>
      <c r="AI641" s="2"/>
      <c r="AJ641" s="2"/>
      <c r="AK641" s="2"/>
      <c r="AL641" s="2"/>
    </row>
    <row r="642" spans="1:38" x14ac:dyDescent="0.2">
      <c r="A642" s="45"/>
      <c r="B642" s="43" t="str">
        <f t="shared" si="256"/>
        <v/>
      </c>
      <c r="C642" s="96" t="str">
        <f t="shared" si="255"/>
        <v/>
      </c>
      <c r="D642" s="44" t="str">
        <f t="shared" si="257"/>
        <v/>
      </c>
      <c r="E642" s="52"/>
      <c r="F642" s="63" t="str">
        <f t="shared" si="258"/>
        <v/>
      </c>
      <c r="G642" s="56" t="str">
        <f t="shared" si="259"/>
        <v/>
      </c>
      <c r="H642" s="42"/>
      <c r="I642" s="2" t="str">
        <f t="shared" si="260"/>
        <v/>
      </c>
      <c r="J642" s="54" t="str">
        <f t="shared" si="247"/>
        <v/>
      </c>
      <c r="K642" s="55" t="str">
        <f t="shared" si="261"/>
        <v/>
      </c>
      <c r="L642" s="63" t="str">
        <f t="shared" si="262"/>
        <v/>
      </c>
      <c r="M642" s="96" t="str">
        <f t="shared" si="248"/>
        <v/>
      </c>
      <c r="N642" s="96" t="str">
        <f>IF(A642="","",IF(A642=Expiry,0,EXP(-q*Q642)*_xlfn.NORM.S.DIST(Y642,0)/(sigma*SQRT(Q642))*I642*Mult/100))</f>
        <v/>
      </c>
      <c r="O642" s="96" t="str">
        <f>IF(A642="","",IF(A642=Expiry,0,D642*E642*E642*EXP(-q*Q642)*_xlfn.NORM.S.DIST(Y642,0)*SQRT(Q642)/100))</f>
        <v/>
      </c>
      <c r="P642" s="69" t="str">
        <f>IF(A642="","",IF(A642=Expiry,0,AK642*I642*Mult*((-EXP(-q*Q642)*E642*_xlfn.NORM.S.DIST(Y642,0)*sigma/(2*SQRT(Q642))-r_dom*K*EXP(-r_dom*Q642)*_xlfn.NORM.S.DIST(Z642,1)+q*E642*EXP(-q*Q642)*_xlfn.NORM.S.DIST(Y642,1))/365)))</f>
        <v/>
      </c>
      <c r="Q642" s="83" t="str">
        <f t="shared" si="263"/>
        <v/>
      </c>
      <c r="R642" s="38"/>
      <c r="S642" s="68" t="str">
        <f t="shared" si="264"/>
        <v/>
      </c>
      <c r="T642" s="69" t="str">
        <f t="shared" si="265"/>
        <v/>
      </c>
      <c r="U642" s="70" t="str">
        <f t="shared" si="266"/>
        <v/>
      </c>
      <c r="V642" s="72" t="str">
        <f t="shared" si="267"/>
        <v/>
      </c>
      <c r="W642" s="2" t="str">
        <f t="shared" si="254"/>
        <v/>
      </c>
      <c r="X642" s="2" t="str">
        <f t="shared" si="249"/>
        <v/>
      </c>
      <c r="Y642" s="35" t="str">
        <f t="shared" ca="1" si="268"/>
        <v/>
      </c>
      <c r="Z642" s="36" t="str">
        <f t="shared" ca="1" si="269"/>
        <v/>
      </c>
      <c r="AA642" s="70" t="str">
        <f t="shared" si="270"/>
        <v/>
      </c>
      <c r="AB642" s="2"/>
      <c r="AC642" s="94" t="str">
        <f t="shared" si="250"/>
        <v/>
      </c>
      <c r="AD642" s="95" t="str">
        <f t="shared" si="251"/>
        <v/>
      </c>
      <c r="AE642" s="96" t="str">
        <f t="shared" si="252"/>
        <v/>
      </c>
      <c r="AF642" s="124" t="str">
        <f t="shared" si="253"/>
        <v/>
      </c>
      <c r="AG642" s="2"/>
      <c r="AH642" s="2"/>
      <c r="AI642" s="2"/>
      <c r="AJ642" s="2"/>
      <c r="AK642" s="2"/>
      <c r="AL642" s="2"/>
    </row>
    <row r="643" spans="1:38" x14ac:dyDescent="0.2">
      <c r="A643" s="45"/>
      <c r="B643" s="43" t="str">
        <f t="shared" si="256"/>
        <v/>
      </c>
      <c r="C643" s="96" t="str">
        <f t="shared" si="255"/>
        <v/>
      </c>
      <c r="D643" s="44" t="str">
        <f t="shared" si="257"/>
        <v/>
      </c>
      <c r="E643" s="52"/>
      <c r="F643" s="63" t="str">
        <f t="shared" si="258"/>
        <v/>
      </c>
      <c r="G643" s="56" t="str">
        <f t="shared" si="259"/>
        <v/>
      </c>
      <c r="H643" s="42"/>
      <c r="I643" s="2" t="str">
        <f t="shared" si="260"/>
        <v/>
      </c>
      <c r="J643" s="54" t="str">
        <f t="shared" si="247"/>
        <v/>
      </c>
      <c r="K643" s="55" t="str">
        <f t="shared" si="261"/>
        <v/>
      </c>
      <c r="L643" s="63" t="str">
        <f t="shared" si="262"/>
        <v/>
      </c>
      <c r="M643" s="96" t="str">
        <f t="shared" si="248"/>
        <v/>
      </c>
      <c r="N643" s="96" t="str">
        <f>IF(A643="","",IF(A643=Expiry,0,EXP(-q*Q643)*_xlfn.NORM.S.DIST(Y643,0)/(sigma*SQRT(Q643))*I643*Mult/100))</f>
        <v/>
      </c>
      <c r="O643" s="96" t="str">
        <f>IF(A643="","",IF(A643=Expiry,0,D643*E643*E643*EXP(-q*Q643)*_xlfn.NORM.S.DIST(Y643,0)*SQRT(Q643)/100))</f>
        <v/>
      </c>
      <c r="P643" s="69" t="str">
        <f>IF(A643="","",IF(A643=Expiry,0,AK643*I643*Mult*((-EXP(-q*Q643)*E643*_xlfn.NORM.S.DIST(Y643,0)*sigma/(2*SQRT(Q643))-r_dom*K*EXP(-r_dom*Q643)*_xlfn.NORM.S.DIST(Z643,1)+q*E643*EXP(-q*Q643)*_xlfn.NORM.S.DIST(Y643,1))/365)))</f>
        <v/>
      </c>
      <c r="Q643" s="83" t="str">
        <f t="shared" si="263"/>
        <v/>
      </c>
      <c r="R643" s="38"/>
      <c r="S643" s="68" t="str">
        <f t="shared" si="264"/>
        <v/>
      </c>
      <c r="T643" s="69" t="str">
        <f t="shared" si="265"/>
        <v/>
      </c>
      <c r="U643" s="70" t="str">
        <f t="shared" si="266"/>
        <v/>
      </c>
      <c r="V643" s="72" t="str">
        <f t="shared" si="267"/>
        <v/>
      </c>
      <c r="W643" s="2" t="str">
        <f t="shared" si="254"/>
        <v/>
      </c>
      <c r="X643" s="2" t="str">
        <f t="shared" si="249"/>
        <v/>
      </c>
      <c r="Y643" s="35" t="str">
        <f t="shared" ca="1" si="268"/>
        <v/>
      </c>
      <c r="Z643" s="36" t="str">
        <f t="shared" ca="1" si="269"/>
        <v/>
      </c>
      <c r="AA643" s="70" t="str">
        <f t="shared" si="270"/>
        <v/>
      </c>
      <c r="AB643" s="2"/>
      <c r="AC643" s="94" t="str">
        <f t="shared" si="250"/>
        <v/>
      </c>
      <c r="AD643" s="95" t="str">
        <f t="shared" si="251"/>
        <v/>
      </c>
      <c r="AE643" s="96" t="str">
        <f t="shared" si="252"/>
        <v/>
      </c>
      <c r="AF643" s="124" t="str">
        <f t="shared" si="253"/>
        <v/>
      </c>
      <c r="AG643" s="2"/>
      <c r="AH643" s="2"/>
      <c r="AI643" s="2"/>
      <c r="AJ643" s="2"/>
      <c r="AK643" s="2"/>
      <c r="AL643" s="2"/>
    </row>
    <row r="644" spans="1:38" x14ac:dyDescent="0.2">
      <c r="A644" s="45"/>
      <c r="B644" s="43" t="str">
        <f t="shared" si="256"/>
        <v/>
      </c>
      <c r="C644" s="96" t="str">
        <f t="shared" si="255"/>
        <v/>
      </c>
      <c r="D644" s="44" t="str">
        <f t="shared" si="257"/>
        <v/>
      </c>
      <c r="E644" s="52"/>
      <c r="F644" s="63" t="str">
        <f t="shared" si="258"/>
        <v/>
      </c>
      <c r="G644" s="56" t="str">
        <f t="shared" si="259"/>
        <v/>
      </c>
      <c r="H644" s="42"/>
      <c r="I644" s="2" t="str">
        <f t="shared" si="260"/>
        <v/>
      </c>
      <c r="J644" s="54" t="str">
        <f t="shared" si="247"/>
        <v/>
      </c>
      <c r="K644" s="55" t="str">
        <f t="shared" si="261"/>
        <v/>
      </c>
      <c r="L644" s="63" t="str">
        <f t="shared" si="262"/>
        <v/>
      </c>
      <c r="M644" s="96" t="str">
        <f t="shared" si="248"/>
        <v/>
      </c>
      <c r="N644" s="96" t="str">
        <f>IF(A644="","",IF(A644=Expiry,0,EXP(-q*Q644)*_xlfn.NORM.S.DIST(Y644,0)/(sigma*SQRT(Q644))*I644*Mult/100))</f>
        <v/>
      </c>
      <c r="O644" s="96" t="str">
        <f>IF(A644="","",IF(A644=Expiry,0,D644*E644*E644*EXP(-q*Q644)*_xlfn.NORM.S.DIST(Y644,0)*SQRT(Q644)/100))</f>
        <v/>
      </c>
      <c r="P644" s="69" t="str">
        <f>IF(A644="","",IF(A644=Expiry,0,AK644*I644*Mult*((-EXP(-q*Q644)*E644*_xlfn.NORM.S.DIST(Y644,0)*sigma/(2*SQRT(Q644))-r_dom*K*EXP(-r_dom*Q644)*_xlfn.NORM.S.DIST(Z644,1)+q*E644*EXP(-q*Q644)*_xlfn.NORM.S.DIST(Y644,1))/365)))</f>
        <v/>
      </c>
      <c r="Q644" s="83" t="str">
        <f t="shared" si="263"/>
        <v/>
      </c>
      <c r="R644" s="38"/>
      <c r="S644" s="68" t="str">
        <f t="shared" si="264"/>
        <v/>
      </c>
      <c r="T644" s="69" t="str">
        <f t="shared" si="265"/>
        <v/>
      </c>
      <c r="U644" s="70" t="str">
        <f t="shared" si="266"/>
        <v/>
      </c>
      <c r="V644" s="72" t="str">
        <f t="shared" si="267"/>
        <v/>
      </c>
      <c r="W644" s="2" t="str">
        <f t="shared" si="254"/>
        <v/>
      </c>
      <c r="X644" s="2" t="str">
        <f t="shared" si="249"/>
        <v/>
      </c>
      <c r="Y644" s="35" t="str">
        <f t="shared" ca="1" si="268"/>
        <v/>
      </c>
      <c r="Z644" s="36" t="str">
        <f t="shared" ca="1" si="269"/>
        <v/>
      </c>
      <c r="AA644" s="70" t="str">
        <f t="shared" si="270"/>
        <v/>
      </c>
      <c r="AB644" s="2"/>
      <c r="AC644" s="94" t="str">
        <f t="shared" si="250"/>
        <v/>
      </c>
      <c r="AD644" s="95" t="str">
        <f t="shared" si="251"/>
        <v/>
      </c>
      <c r="AE644" s="96" t="str">
        <f t="shared" si="252"/>
        <v/>
      </c>
      <c r="AF644" s="124" t="str">
        <f t="shared" si="253"/>
        <v/>
      </c>
      <c r="AG644" s="2"/>
      <c r="AH644" s="2"/>
      <c r="AI644" s="2"/>
      <c r="AJ644" s="2"/>
      <c r="AK644" s="2"/>
      <c r="AL644" s="2"/>
    </row>
    <row r="645" spans="1:38" x14ac:dyDescent="0.2">
      <c r="A645" s="45"/>
      <c r="B645" s="43" t="str">
        <f t="shared" si="256"/>
        <v/>
      </c>
      <c r="C645" s="96" t="str">
        <f t="shared" si="255"/>
        <v/>
      </c>
      <c r="D645" s="44" t="str">
        <f t="shared" si="257"/>
        <v/>
      </c>
      <c r="E645" s="52"/>
      <c r="F645" s="63" t="str">
        <f t="shared" si="258"/>
        <v/>
      </c>
      <c r="G645" s="56" t="str">
        <f t="shared" si="259"/>
        <v/>
      </c>
      <c r="H645" s="42"/>
      <c r="I645" s="2" t="str">
        <f t="shared" si="260"/>
        <v/>
      </c>
      <c r="J645" s="54" t="str">
        <f t="shared" si="247"/>
        <v/>
      </c>
      <c r="K645" s="55" t="str">
        <f t="shared" si="261"/>
        <v/>
      </c>
      <c r="L645" s="63" t="str">
        <f t="shared" si="262"/>
        <v/>
      </c>
      <c r="M645" s="96" t="str">
        <f t="shared" si="248"/>
        <v/>
      </c>
      <c r="N645" s="96" t="str">
        <f>IF(A645="","",IF(A645=Expiry,0,EXP(-q*Q645)*_xlfn.NORM.S.DIST(Y645,0)/(sigma*SQRT(Q645))*I645*Mult/100))</f>
        <v/>
      </c>
      <c r="O645" s="96" t="str">
        <f>IF(A645="","",IF(A645=Expiry,0,D645*E645*E645*EXP(-q*Q645)*_xlfn.NORM.S.DIST(Y645,0)*SQRT(Q645)/100))</f>
        <v/>
      </c>
      <c r="P645" s="69" t="str">
        <f>IF(A645="","",IF(A645=Expiry,0,AK645*I645*Mult*((-EXP(-q*Q645)*E645*_xlfn.NORM.S.DIST(Y645,0)*sigma/(2*SQRT(Q645))-r_dom*K*EXP(-r_dom*Q645)*_xlfn.NORM.S.DIST(Z645,1)+q*E645*EXP(-q*Q645)*_xlfn.NORM.S.DIST(Y645,1))/365)))</f>
        <v/>
      </c>
      <c r="Q645" s="83" t="str">
        <f t="shared" si="263"/>
        <v/>
      </c>
      <c r="R645" s="38"/>
      <c r="S645" s="68" t="str">
        <f t="shared" si="264"/>
        <v/>
      </c>
      <c r="T645" s="69" t="str">
        <f t="shared" si="265"/>
        <v/>
      </c>
      <c r="U645" s="70" t="str">
        <f t="shared" si="266"/>
        <v/>
      </c>
      <c r="V645" s="72" t="str">
        <f t="shared" si="267"/>
        <v/>
      </c>
      <c r="W645" s="2" t="str">
        <f t="shared" si="254"/>
        <v/>
      </c>
      <c r="X645" s="2" t="str">
        <f t="shared" si="249"/>
        <v/>
      </c>
      <c r="Y645" s="35" t="str">
        <f t="shared" ca="1" si="268"/>
        <v/>
      </c>
      <c r="Z645" s="36" t="str">
        <f t="shared" ca="1" si="269"/>
        <v/>
      </c>
      <c r="AA645" s="70" t="str">
        <f t="shared" si="270"/>
        <v/>
      </c>
      <c r="AB645" s="2"/>
      <c r="AC645" s="94" t="str">
        <f t="shared" si="250"/>
        <v/>
      </c>
      <c r="AD645" s="95" t="str">
        <f t="shared" si="251"/>
        <v/>
      </c>
      <c r="AE645" s="96" t="str">
        <f t="shared" si="252"/>
        <v/>
      </c>
      <c r="AF645" s="124" t="str">
        <f t="shared" si="253"/>
        <v/>
      </c>
      <c r="AG645" s="2"/>
      <c r="AH645" s="2"/>
      <c r="AI645" s="2"/>
      <c r="AJ645" s="2"/>
      <c r="AK645" s="2"/>
      <c r="AL645" s="2"/>
    </row>
    <row r="646" spans="1:38" x14ac:dyDescent="0.2">
      <c r="A646" s="45"/>
      <c r="B646" s="43" t="str">
        <f t="shared" si="256"/>
        <v/>
      </c>
      <c r="C646" s="96" t="str">
        <f t="shared" si="255"/>
        <v/>
      </c>
      <c r="D646" s="44" t="str">
        <f t="shared" si="257"/>
        <v/>
      </c>
      <c r="E646" s="52"/>
      <c r="F646" s="63" t="str">
        <f t="shared" si="258"/>
        <v/>
      </c>
      <c r="G646" s="56" t="str">
        <f t="shared" si="259"/>
        <v/>
      </c>
      <c r="H646" s="42"/>
      <c r="I646" s="2" t="str">
        <f t="shared" si="260"/>
        <v/>
      </c>
      <c r="J646" s="54" t="str">
        <f t="shared" si="247"/>
        <v/>
      </c>
      <c r="K646" s="55" t="str">
        <f t="shared" si="261"/>
        <v/>
      </c>
      <c r="L646" s="63" t="str">
        <f t="shared" si="262"/>
        <v/>
      </c>
      <c r="M646" s="96" t="str">
        <f t="shared" si="248"/>
        <v/>
      </c>
      <c r="N646" s="96" t="str">
        <f>IF(A646="","",IF(A646=Expiry,0,EXP(-q*Q646)*_xlfn.NORM.S.DIST(Y646,0)/(sigma*SQRT(Q646))*I646*Mult/100))</f>
        <v/>
      </c>
      <c r="O646" s="96" t="str">
        <f>IF(A646="","",IF(A646=Expiry,0,D646*E646*E646*EXP(-q*Q646)*_xlfn.NORM.S.DIST(Y646,0)*SQRT(Q646)/100))</f>
        <v/>
      </c>
      <c r="P646" s="69" t="str">
        <f>IF(A646="","",IF(A646=Expiry,0,AK646*I646*Mult*((-EXP(-q*Q646)*E646*_xlfn.NORM.S.DIST(Y646,0)*sigma/(2*SQRT(Q646))-r_dom*K*EXP(-r_dom*Q646)*_xlfn.NORM.S.DIST(Z646,1)+q*E646*EXP(-q*Q646)*_xlfn.NORM.S.DIST(Y646,1))/365)))</f>
        <v/>
      </c>
      <c r="Q646" s="83" t="str">
        <f t="shared" si="263"/>
        <v/>
      </c>
      <c r="R646" s="38"/>
      <c r="S646" s="68" t="str">
        <f t="shared" si="264"/>
        <v/>
      </c>
      <c r="T646" s="69" t="str">
        <f t="shared" si="265"/>
        <v/>
      </c>
      <c r="U646" s="70" t="str">
        <f t="shared" si="266"/>
        <v/>
      </c>
      <c r="V646" s="72" t="str">
        <f t="shared" si="267"/>
        <v/>
      </c>
      <c r="W646" s="2" t="str">
        <f t="shared" si="254"/>
        <v/>
      </c>
      <c r="X646" s="2" t="str">
        <f t="shared" si="249"/>
        <v/>
      </c>
      <c r="Y646" s="35" t="str">
        <f t="shared" ca="1" si="268"/>
        <v/>
      </c>
      <c r="Z646" s="36" t="str">
        <f t="shared" ca="1" si="269"/>
        <v/>
      </c>
      <c r="AA646" s="70" t="str">
        <f t="shared" si="270"/>
        <v/>
      </c>
      <c r="AB646" s="2"/>
      <c r="AC646" s="94" t="str">
        <f t="shared" si="250"/>
        <v/>
      </c>
      <c r="AD646" s="95" t="str">
        <f t="shared" si="251"/>
        <v/>
      </c>
      <c r="AE646" s="96" t="str">
        <f t="shared" si="252"/>
        <v/>
      </c>
      <c r="AF646" s="124" t="str">
        <f t="shared" si="253"/>
        <v/>
      </c>
      <c r="AG646" s="2"/>
      <c r="AH646" s="2"/>
      <c r="AI646" s="2"/>
      <c r="AJ646" s="2"/>
      <c r="AK646" s="2"/>
      <c r="AL646" s="2"/>
    </row>
    <row r="647" spans="1:38" x14ac:dyDescent="0.2">
      <c r="A647" s="45"/>
      <c r="B647" s="43" t="str">
        <f t="shared" si="256"/>
        <v/>
      </c>
      <c r="C647" s="96" t="str">
        <f t="shared" si="255"/>
        <v/>
      </c>
      <c r="D647" s="44" t="str">
        <f t="shared" si="257"/>
        <v/>
      </c>
      <c r="E647" s="52"/>
      <c r="F647" s="63" t="str">
        <f t="shared" si="258"/>
        <v/>
      </c>
      <c r="G647" s="56" t="str">
        <f t="shared" si="259"/>
        <v/>
      </c>
      <c r="H647" s="42"/>
      <c r="I647" s="2" t="str">
        <f t="shared" si="260"/>
        <v/>
      </c>
      <c r="J647" s="54" t="str">
        <f t="shared" si="247"/>
        <v/>
      </c>
      <c r="K647" s="55" t="str">
        <f t="shared" si="261"/>
        <v/>
      </c>
      <c r="L647" s="63" t="str">
        <f t="shared" si="262"/>
        <v/>
      </c>
      <c r="M647" s="96" t="str">
        <f t="shared" si="248"/>
        <v/>
      </c>
      <c r="N647" s="96" t="str">
        <f>IF(A647="","",IF(A647=Expiry,0,EXP(-q*Q647)*_xlfn.NORM.S.DIST(Y647,0)/(sigma*SQRT(Q647))*I647*Mult/100))</f>
        <v/>
      </c>
      <c r="O647" s="96" t="str">
        <f>IF(A647="","",IF(A647=Expiry,0,D647*E647*E647*EXP(-q*Q647)*_xlfn.NORM.S.DIST(Y647,0)*SQRT(Q647)/100))</f>
        <v/>
      </c>
      <c r="P647" s="69" t="str">
        <f>IF(A647="","",IF(A647=Expiry,0,AK647*I647*Mult*((-EXP(-q*Q647)*E647*_xlfn.NORM.S.DIST(Y647,0)*sigma/(2*SQRT(Q647))-r_dom*K*EXP(-r_dom*Q647)*_xlfn.NORM.S.DIST(Z647,1)+q*E647*EXP(-q*Q647)*_xlfn.NORM.S.DIST(Y647,1))/365)))</f>
        <v/>
      </c>
      <c r="Q647" s="83" t="str">
        <f t="shared" si="263"/>
        <v/>
      </c>
      <c r="R647" s="38"/>
      <c r="S647" s="68" t="str">
        <f t="shared" si="264"/>
        <v/>
      </c>
      <c r="T647" s="69" t="str">
        <f t="shared" si="265"/>
        <v/>
      </c>
      <c r="U647" s="70" t="str">
        <f t="shared" si="266"/>
        <v/>
      </c>
      <c r="V647" s="72" t="str">
        <f t="shared" si="267"/>
        <v/>
      </c>
      <c r="W647" s="2" t="str">
        <f t="shared" si="254"/>
        <v/>
      </c>
      <c r="X647" s="2" t="str">
        <f t="shared" si="249"/>
        <v/>
      </c>
      <c r="Y647" s="35" t="str">
        <f t="shared" ca="1" si="268"/>
        <v/>
      </c>
      <c r="Z647" s="36" t="str">
        <f t="shared" ca="1" si="269"/>
        <v/>
      </c>
      <c r="AA647" s="70" t="str">
        <f t="shared" si="270"/>
        <v/>
      </c>
      <c r="AB647" s="2"/>
      <c r="AC647" s="94" t="str">
        <f t="shared" si="250"/>
        <v/>
      </c>
      <c r="AD647" s="95" t="str">
        <f t="shared" si="251"/>
        <v/>
      </c>
      <c r="AE647" s="96" t="str">
        <f t="shared" si="252"/>
        <v/>
      </c>
      <c r="AF647" s="124" t="str">
        <f t="shared" si="253"/>
        <v/>
      </c>
      <c r="AG647" s="2"/>
      <c r="AH647" s="2"/>
      <c r="AI647" s="2"/>
      <c r="AJ647" s="2"/>
      <c r="AK647" s="2"/>
      <c r="AL647" s="2"/>
    </row>
    <row r="648" spans="1:38" x14ac:dyDescent="0.2">
      <c r="A648" s="45"/>
      <c r="B648" s="43" t="str">
        <f t="shared" si="256"/>
        <v/>
      </c>
      <c r="C648" s="96" t="str">
        <f t="shared" si="255"/>
        <v/>
      </c>
      <c r="D648" s="44" t="str">
        <f t="shared" si="257"/>
        <v/>
      </c>
      <c r="E648" s="52"/>
      <c r="F648" s="63" t="str">
        <f t="shared" si="258"/>
        <v/>
      </c>
      <c r="G648" s="56" t="str">
        <f t="shared" si="259"/>
        <v/>
      </c>
      <c r="H648" s="42"/>
      <c r="I648" s="2" t="str">
        <f t="shared" si="260"/>
        <v/>
      </c>
      <c r="J648" s="54" t="str">
        <f t="shared" si="247"/>
        <v/>
      </c>
      <c r="K648" s="55" t="str">
        <f t="shared" si="261"/>
        <v/>
      </c>
      <c r="L648" s="63" t="str">
        <f t="shared" si="262"/>
        <v/>
      </c>
      <c r="M648" s="96" t="str">
        <f t="shared" si="248"/>
        <v/>
      </c>
      <c r="N648" s="96" t="str">
        <f>IF(A648="","",IF(A648=Expiry,0,EXP(-q*Q648)*_xlfn.NORM.S.DIST(Y648,0)/(sigma*SQRT(Q648))*I648*Mult/100))</f>
        <v/>
      </c>
      <c r="O648" s="96" t="str">
        <f>IF(A648="","",IF(A648=Expiry,0,D648*E648*E648*EXP(-q*Q648)*_xlfn.NORM.S.DIST(Y648,0)*SQRT(Q648)/100))</f>
        <v/>
      </c>
      <c r="P648" s="69" t="str">
        <f>IF(A648="","",IF(A648=Expiry,0,AK648*I648*Mult*((-EXP(-q*Q648)*E648*_xlfn.NORM.S.DIST(Y648,0)*sigma/(2*SQRT(Q648))-r_dom*K*EXP(-r_dom*Q648)*_xlfn.NORM.S.DIST(Z648,1)+q*E648*EXP(-q*Q648)*_xlfn.NORM.S.DIST(Y648,1))/365)))</f>
        <v/>
      </c>
      <c r="Q648" s="83" t="str">
        <f t="shared" si="263"/>
        <v/>
      </c>
      <c r="R648" s="38"/>
      <c r="S648" s="68" t="str">
        <f t="shared" si="264"/>
        <v/>
      </c>
      <c r="T648" s="69" t="str">
        <f t="shared" si="265"/>
        <v/>
      </c>
      <c r="U648" s="70" t="str">
        <f t="shared" si="266"/>
        <v/>
      </c>
      <c r="V648" s="72" t="str">
        <f t="shared" si="267"/>
        <v/>
      </c>
      <c r="W648" s="2" t="str">
        <f t="shared" si="254"/>
        <v/>
      </c>
      <c r="X648" s="2" t="str">
        <f t="shared" si="249"/>
        <v/>
      </c>
      <c r="Y648" s="35" t="str">
        <f t="shared" ca="1" si="268"/>
        <v/>
      </c>
      <c r="Z648" s="36" t="str">
        <f t="shared" ca="1" si="269"/>
        <v/>
      </c>
      <c r="AA648" s="70" t="str">
        <f t="shared" si="270"/>
        <v/>
      </c>
      <c r="AB648" s="2"/>
      <c r="AC648" s="94" t="str">
        <f t="shared" si="250"/>
        <v/>
      </c>
      <c r="AD648" s="95" t="str">
        <f t="shared" si="251"/>
        <v/>
      </c>
      <c r="AE648" s="96" t="str">
        <f t="shared" si="252"/>
        <v/>
      </c>
      <c r="AF648" s="124" t="str">
        <f t="shared" si="253"/>
        <v/>
      </c>
      <c r="AG648" s="2"/>
      <c r="AH648" s="2"/>
      <c r="AI648" s="2"/>
      <c r="AJ648" s="2"/>
      <c r="AK648" s="2"/>
      <c r="AL648" s="2"/>
    </row>
    <row r="649" spans="1:38" x14ac:dyDescent="0.2">
      <c r="A649" s="45"/>
      <c r="B649" s="43" t="str">
        <f t="shared" si="256"/>
        <v/>
      </c>
      <c r="C649" s="96" t="str">
        <f t="shared" si="255"/>
        <v/>
      </c>
      <c r="D649" s="44" t="str">
        <f t="shared" si="257"/>
        <v/>
      </c>
      <c r="E649" s="52"/>
      <c r="F649" s="63" t="str">
        <f t="shared" si="258"/>
        <v/>
      </c>
      <c r="G649" s="56" t="str">
        <f t="shared" si="259"/>
        <v/>
      </c>
      <c r="H649" s="42"/>
      <c r="I649" s="2" t="str">
        <f t="shared" si="260"/>
        <v/>
      </c>
      <c r="J649" s="54" t="str">
        <f t="shared" si="247"/>
        <v/>
      </c>
      <c r="K649" s="55" t="str">
        <f t="shared" si="261"/>
        <v/>
      </c>
      <c r="L649" s="63" t="str">
        <f t="shared" si="262"/>
        <v/>
      </c>
      <c r="M649" s="96" t="str">
        <f t="shared" si="248"/>
        <v/>
      </c>
      <c r="N649" s="96" t="str">
        <f>IF(A649="","",IF(A649=Expiry,0,EXP(-q*Q649)*_xlfn.NORM.S.DIST(Y649,0)/(sigma*SQRT(Q649))*I649*Mult/100))</f>
        <v/>
      </c>
      <c r="O649" s="96" t="str">
        <f>IF(A649="","",IF(A649=Expiry,0,D649*E649*E649*EXP(-q*Q649)*_xlfn.NORM.S.DIST(Y649,0)*SQRT(Q649)/100))</f>
        <v/>
      </c>
      <c r="P649" s="69" t="str">
        <f>IF(A649="","",IF(A649=Expiry,0,AK649*I649*Mult*((-EXP(-q*Q649)*E649*_xlfn.NORM.S.DIST(Y649,0)*sigma/(2*SQRT(Q649))-r_dom*K*EXP(-r_dom*Q649)*_xlfn.NORM.S.DIST(Z649,1)+q*E649*EXP(-q*Q649)*_xlfn.NORM.S.DIST(Y649,1))/365)))</f>
        <v/>
      </c>
      <c r="Q649" s="83" t="str">
        <f t="shared" si="263"/>
        <v/>
      </c>
      <c r="R649" s="38"/>
      <c r="S649" s="68" t="str">
        <f t="shared" si="264"/>
        <v/>
      </c>
      <c r="T649" s="69" t="str">
        <f t="shared" si="265"/>
        <v/>
      </c>
      <c r="U649" s="70" t="str">
        <f t="shared" si="266"/>
        <v/>
      </c>
      <c r="V649" s="72" t="str">
        <f t="shared" si="267"/>
        <v/>
      </c>
      <c r="W649" s="2" t="str">
        <f t="shared" si="254"/>
        <v/>
      </c>
      <c r="X649" s="2" t="str">
        <f t="shared" si="249"/>
        <v/>
      </c>
      <c r="Y649" s="35" t="str">
        <f t="shared" ca="1" si="268"/>
        <v/>
      </c>
      <c r="Z649" s="36" t="str">
        <f t="shared" ca="1" si="269"/>
        <v/>
      </c>
      <c r="AA649" s="70" t="str">
        <f t="shared" si="270"/>
        <v/>
      </c>
      <c r="AB649" s="2"/>
      <c r="AC649" s="94" t="str">
        <f t="shared" si="250"/>
        <v/>
      </c>
      <c r="AD649" s="95" t="str">
        <f t="shared" si="251"/>
        <v/>
      </c>
      <c r="AE649" s="96" t="str">
        <f t="shared" si="252"/>
        <v/>
      </c>
      <c r="AF649" s="124" t="str">
        <f t="shared" si="253"/>
        <v/>
      </c>
      <c r="AG649" s="2"/>
      <c r="AH649" s="2"/>
      <c r="AI649" s="2"/>
      <c r="AJ649" s="2"/>
      <c r="AK649" s="2"/>
      <c r="AL649" s="2"/>
    </row>
    <row r="650" spans="1:38" x14ac:dyDescent="0.2">
      <c r="A650" s="45"/>
      <c r="B650" s="43" t="str">
        <f t="shared" si="256"/>
        <v/>
      </c>
      <c r="C650" s="96" t="str">
        <f t="shared" si="255"/>
        <v/>
      </c>
      <c r="D650" s="44" t="str">
        <f t="shared" si="257"/>
        <v/>
      </c>
      <c r="E650" s="52"/>
      <c r="F650" s="63" t="str">
        <f t="shared" si="258"/>
        <v/>
      </c>
      <c r="G650" s="56" t="str">
        <f t="shared" si="259"/>
        <v/>
      </c>
      <c r="H650" s="42"/>
      <c r="I650" s="2" t="str">
        <f t="shared" si="260"/>
        <v/>
      </c>
      <c r="J650" s="54" t="str">
        <f t="shared" si="247"/>
        <v/>
      </c>
      <c r="K650" s="55" t="str">
        <f t="shared" si="261"/>
        <v/>
      </c>
      <c r="L650" s="63" t="str">
        <f t="shared" si="262"/>
        <v/>
      </c>
      <c r="M650" s="96" t="str">
        <f t="shared" si="248"/>
        <v/>
      </c>
      <c r="N650" s="96" t="str">
        <f>IF(A650="","",IF(A650=Expiry,0,EXP(-q*Q650)*_xlfn.NORM.S.DIST(Y650,0)/(sigma*SQRT(Q650))*I650*Mult/100))</f>
        <v/>
      </c>
      <c r="O650" s="96" t="str">
        <f>IF(A650="","",IF(A650=Expiry,0,D650*E650*E650*EXP(-q*Q650)*_xlfn.NORM.S.DIST(Y650,0)*SQRT(Q650)/100))</f>
        <v/>
      </c>
      <c r="P650" s="69" t="str">
        <f>IF(A650="","",IF(A650=Expiry,0,AK650*I650*Mult*((-EXP(-q*Q650)*E650*_xlfn.NORM.S.DIST(Y650,0)*sigma/(2*SQRT(Q650))-r_dom*K*EXP(-r_dom*Q650)*_xlfn.NORM.S.DIST(Z650,1)+q*E650*EXP(-q*Q650)*_xlfn.NORM.S.DIST(Y650,1))/365)))</f>
        <v/>
      </c>
      <c r="Q650" s="83" t="str">
        <f t="shared" si="263"/>
        <v/>
      </c>
      <c r="R650" s="38"/>
      <c r="S650" s="68" t="str">
        <f t="shared" si="264"/>
        <v/>
      </c>
      <c r="T650" s="69" t="str">
        <f t="shared" si="265"/>
        <v/>
      </c>
      <c r="U650" s="70" t="str">
        <f t="shared" si="266"/>
        <v/>
      </c>
      <c r="V650" s="72" t="str">
        <f t="shared" si="267"/>
        <v/>
      </c>
      <c r="W650" s="2" t="str">
        <f t="shared" si="254"/>
        <v/>
      </c>
      <c r="X650" s="2" t="str">
        <f t="shared" si="249"/>
        <v/>
      </c>
      <c r="Y650" s="35" t="str">
        <f t="shared" ca="1" si="268"/>
        <v/>
      </c>
      <c r="Z650" s="36" t="str">
        <f t="shared" ca="1" si="269"/>
        <v/>
      </c>
      <c r="AA650" s="70" t="str">
        <f t="shared" si="270"/>
        <v/>
      </c>
      <c r="AB650" s="2"/>
      <c r="AC650" s="94" t="str">
        <f t="shared" si="250"/>
        <v/>
      </c>
      <c r="AD650" s="95" t="str">
        <f t="shared" si="251"/>
        <v/>
      </c>
      <c r="AE650" s="96" t="str">
        <f t="shared" si="252"/>
        <v/>
      </c>
      <c r="AF650" s="124" t="str">
        <f t="shared" si="253"/>
        <v/>
      </c>
      <c r="AG650" s="2"/>
      <c r="AH650" s="2"/>
      <c r="AI650" s="2"/>
      <c r="AJ650" s="2"/>
      <c r="AK650" s="2"/>
      <c r="AL650" s="2"/>
    </row>
    <row r="651" spans="1:38" x14ac:dyDescent="0.2">
      <c r="A651" s="45"/>
      <c r="B651" s="43" t="str">
        <f t="shared" si="256"/>
        <v/>
      </c>
      <c r="C651" s="96" t="str">
        <f t="shared" si="255"/>
        <v/>
      </c>
      <c r="D651" s="44" t="str">
        <f t="shared" si="257"/>
        <v/>
      </c>
      <c r="E651" s="52"/>
      <c r="F651" s="63" t="str">
        <f t="shared" si="258"/>
        <v/>
      </c>
      <c r="G651" s="56" t="str">
        <f t="shared" si="259"/>
        <v/>
      </c>
      <c r="H651" s="42"/>
      <c r="I651" s="2" t="str">
        <f t="shared" si="260"/>
        <v/>
      </c>
      <c r="J651" s="54" t="str">
        <f t="shared" si="247"/>
        <v/>
      </c>
      <c r="K651" s="55" t="str">
        <f t="shared" si="261"/>
        <v/>
      </c>
      <c r="L651" s="63" t="str">
        <f t="shared" si="262"/>
        <v/>
      </c>
      <c r="M651" s="96" t="str">
        <f t="shared" si="248"/>
        <v/>
      </c>
      <c r="N651" s="96" t="str">
        <f>IF(A651="","",IF(A651=Expiry,0,EXP(-q*Q651)*_xlfn.NORM.S.DIST(Y651,0)/(sigma*SQRT(Q651))*I651*Mult/100))</f>
        <v/>
      </c>
      <c r="O651" s="96" t="str">
        <f>IF(A651="","",IF(A651=Expiry,0,D651*E651*E651*EXP(-q*Q651)*_xlfn.NORM.S.DIST(Y651,0)*SQRT(Q651)/100))</f>
        <v/>
      </c>
      <c r="P651" s="69" t="str">
        <f>IF(A651="","",IF(A651=Expiry,0,AK651*I651*Mult*((-EXP(-q*Q651)*E651*_xlfn.NORM.S.DIST(Y651,0)*sigma/(2*SQRT(Q651))-r_dom*K*EXP(-r_dom*Q651)*_xlfn.NORM.S.DIST(Z651,1)+q*E651*EXP(-q*Q651)*_xlfn.NORM.S.DIST(Y651,1))/365)))</f>
        <v/>
      </c>
      <c r="Q651" s="83" t="str">
        <f t="shared" si="263"/>
        <v/>
      </c>
      <c r="R651" s="38"/>
      <c r="S651" s="68" t="str">
        <f t="shared" si="264"/>
        <v/>
      </c>
      <c r="T651" s="69" t="str">
        <f t="shared" si="265"/>
        <v/>
      </c>
      <c r="U651" s="70" t="str">
        <f t="shared" si="266"/>
        <v/>
      </c>
      <c r="V651" s="72" t="str">
        <f t="shared" si="267"/>
        <v/>
      </c>
      <c r="W651" s="2" t="str">
        <f t="shared" si="254"/>
        <v/>
      </c>
      <c r="X651" s="2" t="str">
        <f t="shared" si="249"/>
        <v/>
      </c>
      <c r="Y651" s="35" t="str">
        <f t="shared" ca="1" si="268"/>
        <v/>
      </c>
      <c r="Z651" s="36" t="str">
        <f t="shared" ca="1" si="269"/>
        <v/>
      </c>
      <c r="AA651" s="70" t="str">
        <f t="shared" si="270"/>
        <v/>
      </c>
      <c r="AB651" s="2"/>
      <c r="AC651" s="94" t="str">
        <f t="shared" si="250"/>
        <v/>
      </c>
      <c r="AD651" s="95" t="str">
        <f t="shared" si="251"/>
        <v/>
      </c>
      <c r="AE651" s="96" t="str">
        <f t="shared" si="252"/>
        <v/>
      </c>
      <c r="AF651" s="124" t="str">
        <f t="shared" si="253"/>
        <v/>
      </c>
      <c r="AG651" s="2"/>
      <c r="AH651" s="2"/>
      <c r="AI651" s="2"/>
      <c r="AJ651" s="2"/>
      <c r="AK651" s="2"/>
      <c r="AL651" s="2"/>
    </row>
    <row r="652" spans="1:38" x14ac:dyDescent="0.2">
      <c r="A652" s="45"/>
      <c r="B652" s="43" t="str">
        <f t="shared" si="256"/>
        <v/>
      </c>
      <c r="C652" s="96" t="str">
        <f t="shared" si="255"/>
        <v/>
      </c>
      <c r="D652" s="44" t="str">
        <f t="shared" si="257"/>
        <v/>
      </c>
      <c r="E652" s="52"/>
      <c r="F652" s="63" t="str">
        <f t="shared" si="258"/>
        <v/>
      </c>
      <c r="G652" s="56" t="str">
        <f t="shared" si="259"/>
        <v/>
      </c>
      <c r="H652" s="42"/>
      <c r="I652" s="2" t="str">
        <f t="shared" si="260"/>
        <v/>
      </c>
      <c r="J652" s="54" t="str">
        <f t="shared" si="247"/>
        <v/>
      </c>
      <c r="K652" s="55" t="str">
        <f t="shared" si="261"/>
        <v/>
      </c>
      <c r="L652" s="63" t="str">
        <f t="shared" si="262"/>
        <v/>
      </c>
      <c r="M652" s="96" t="str">
        <f t="shared" si="248"/>
        <v/>
      </c>
      <c r="N652" s="96" t="str">
        <f>IF(A652="","",IF(A652=Expiry,0,EXP(-q*Q652)*_xlfn.NORM.S.DIST(Y652,0)/(sigma*SQRT(Q652))*I652*Mult/100))</f>
        <v/>
      </c>
      <c r="O652" s="96" t="str">
        <f>IF(A652="","",IF(A652=Expiry,0,D652*E652*E652*EXP(-q*Q652)*_xlfn.NORM.S.DIST(Y652,0)*SQRT(Q652)/100))</f>
        <v/>
      </c>
      <c r="P652" s="69" t="str">
        <f>IF(A652="","",IF(A652=Expiry,0,AK652*I652*Mult*((-EXP(-q*Q652)*E652*_xlfn.NORM.S.DIST(Y652,0)*sigma/(2*SQRT(Q652))-r_dom*K*EXP(-r_dom*Q652)*_xlfn.NORM.S.DIST(Z652,1)+q*E652*EXP(-q*Q652)*_xlfn.NORM.S.DIST(Y652,1))/365)))</f>
        <v/>
      </c>
      <c r="Q652" s="83" t="str">
        <f t="shared" si="263"/>
        <v/>
      </c>
      <c r="R652" s="38"/>
      <c r="S652" s="68" t="str">
        <f t="shared" si="264"/>
        <v/>
      </c>
      <c r="T652" s="69" t="str">
        <f t="shared" si="265"/>
        <v/>
      </c>
      <c r="U652" s="70" t="str">
        <f t="shared" si="266"/>
        <v/>
      </c>
      <c r="V652" s="72" t="str">
        <f t="shared" si="267"/>
        <v/>
      </c>
      <c r="W652" s="2" t="str">
        <f t="shared" si="254"/>
        <v/>
      </c>
      <c r="X652" s="2" t="str">
        <f t="shared" si="249"/>
        <v/>
      </c>
      <c r="Y652" s="35" t="str">
        <f t="shared" ca="1" si="268"/>
        <v/>
      </c>
      <c r="Z652" s="36" t="str">
        <f t="shared" ca="1" si="269"/>
        <v/>
      </c>
      <c r="AA652" s="70" t="str">
        <f t="shared" si="270"/>
        <v/>
      </c>
      <c r="AB652" s="2"/>
      <c r="AC652" s="94" t="str">
        <f t="shared" si="250"/>
        <v/>
      </c>
      <c r="AD652" s="95" t="str">
        <f t="shared" si="251"/>
        <v/>
      </c>
      <c r="AE652" s="96" t="str">
        <f t="shared" si="252"/>
        <v/>
      </c>
      <c r="AF652" s="124" t="str">
        <f t="shared" si="253"/>
        <v/>
      </c>
      <c r="AG652" s="2"/>
      <c r="AH652" s="2"/>
      <c r="AI652" s="2"/>
      <c r="AJ652" s="2"/>
      <c r="AK652" s="2"/>
      <c r="AL652" s="2"/>
    </row>
    <row r="653" spans="1:38" x14ac:dyDescent="0.2">
      <c r="A653" s="45"/>
      <c r="B653" s="43" t="str">
        <f t="shared" si="256"/>
        <v/>
      </c>
      <c r="C653" s="96" t="str">
        <f t="shared" si="255"/>
        <v/>
      </c>
      <c r="D653" s="44" t="str">
        <f t="shared" si="257"/>
        <v/>
      </c>
      <c r="E653" s="52"/>
      <c r="F653" s="63" t="str">
        <f t="shared" si="258"/>
        <v/>
      </c>
      <c r="G653" s="56" t="str">
        <f t="shared" si="259"/>
        <v/>
      </c>
      <c r="H653" s="42"/>
      <c r="I653" s="2" t="str">
        <f t="shared" si="260"/>
        <v/>
      </c>
      <c r="J653" s="54" t="str">
        <f t="shared" si="247"/>
        <v/>
      </c>
      <c r="K653" s="55" t="str">
        <f t="shared" si="261"/>
        <v/>
      </c>
      <c r="L653" s="63" t="str">
        <f t="shared" si="262"/>
        <v/>
      </c>
      <c r="M653" s="96" t="str">
        <f t="shared" si="248"/>
        <v/>
      </c>
      <c r="N653" s="96" t="str">
        <f>IF(A653="","",IF(A653=Expiry,0,EXP(-q*Q653)*_xlfn.NORM.S.DIST(Y653,0)/(sigma*SQRT(Q653))*I653*Mult/100))</f>
        <v/>
      </c>
      <c r="O653" s="96" t="str">
        <f>IF(A653="","",IF(A653=Expiry,0,D653*E653*E653*EXP(-q*Q653)*_xlfn.NORM.S.DIST(Y653,0)*SQRT(Q653)/100))</f>
        <v/>
      </c>
      <c r="P653" s="69" t="str">
        <f>IF(A653="","",IF(A653=Expiry,0,AK653*I653*Mult*((-EXP(-q*Q653)*E653*_xlfn.NORM.S.DIST(Y653,0)*sigma/(2*SQRT(Q653))-r_dom*K*EXP(-r_dom*Q653)*_xlfn.NORM.S.DIST(Z653,1)+q*E653*EXP(-q*Q653)*_xlfn.NORM.S.DIST(Y653,1))/365)))</f>
        <v/>
      </c>
      <c r="Q653" s="83" t="str">
        <f t="shared" si="263"/>
        <v/>
      </c>
      <c r="R653" s="38"/>
      <c r="S653" s="68" t="str">
        <f t="shared" si="264"/>
        <v/>
      </c>
      <c r="T653" s="69" t="str">
        <f t="shared" si="265"/>
        <v/>
      </c>
      <c r="U653" s="70" t="str">
        <f t="shared" si="266"/>
        <v/>
      </c>
      <c r="V653" s="72" t="str">
        <f t="shared" si="267"/>
        <v/>
      </c>
      <c r="W653" s="2" t="str">
        <f t="shared" si="254"/>
        <v/>
      </c>
      <c r="X653" s="2" t="str">
        <f t="shared" si="249"/>
        <v/>
      </c>
      <c r="Y653" s="35" t="str">
        <f t="shared" ca="1" si="268"/>
        <v/>
      </c>
      <c r="Z653" s="36" t="str">
        <f t="shared" ca="1" si="269"/>
        <v/>
      </c>
      <c r="AA653" s="70" t="str">
        <f t="shared" si="270"/>
        <v/>
      </c>
      <c r="AB653" s="2"/>
      <c r="AC653" s="94" t="str">
        <f t="shared" si="250"/>
        <v/>
      </c>
      <c r="AD653" s="95" t="str">
        <f t="shared" si="251"/>
        <v/>
      </c>
      <c r="AE653" s="96" t="str">
        <f t="shared" si="252"/>
        <v/>
      </c>
      <c r="AF653" s="124" t="str">
        <f t="shared" si="253"/>
        <v/>
      </c>
      <c r="AG653" s="2"/>
      <c r="AH653" s="2"/>
      <c r="AI653" s="2"/>
      <c r="AJ653" s="2"/>
      <c r="AK653" s="2"/>
      <c r="AL653" s="2"/>
    </row>
    <row r="654" spans="1:38" x14ac:dyDescent="0.2">
      <c r="A654" s="45"/>
      <c r="B654" s="43" t="str">
        <f t="shared" si="256"/>
        <v/>
      </c>
      <c r="C654" s="96" t="str">
        <f t="shared" si="255"/>
        <v/>
      </c>
      <c r="D654" s="44" t="str">
        <f t="shared" si="257"/>
        <v/>
      </c>
      <c r="E654" s="52"/>
      <c r="F654" s="63" t="str">
        <f t="shared" si="258"/>
        <v/>
      </c>
      <c r="G654" s="56" t="str">
        <f t="shared" si="259"/>
        <v/>
      </c>
      <c r="H654" s="42"/>
      <c r="I654" s="2" t="str">
        <f t="shared" si="260"/>
        <v/>
      </c>
      <c r="J654" s="54" t="str">
        <f t="shared" si="247"/>
        <v/>
      </c>
      <c r="K654" s="55" t="str">
        <f t="shared" si="261"/>
        <v/>
      </c>
      <c r="L654" s="63" t="str">
        <f t="shared" si="262"/>
        <v/>
      </c>
      <c r="M654" s="96" t="str">
        <f t="shared" si="248"/>
        <v/>
      </c>
      <c r="N654" s="96" t="str">
        <f>IF(A654="","",IF(A654=Expiry,0,EXP(-q*Q654)*_xlfn.NORM.S.DIST(Y654,0)/(sigma*SQRT(Q654))*I654*Mult/100))</f>
        <v/>
      </c>
      <c r="O654" s="96" t="str">
        <f>IF(A654="","",IF(A654=Expiry,0,D654*E654*E654*EXP(-q*Q654)*_xlfn.NORM.S.DIST(Y654,0)*SQRT(Q654)/100))</f>
        <v/>
      </c>
      <c r="P654" s="69" t="str">
        <f>IF(A654="","",IF(A654=Expiry,0,AK654*I654*Mult*((-EXP(-q*Q654)*E654*_xlfn.NORM.S.DIST(Y654,0)*sigma/(2*SQRT(Q654))-r_dom*K*EXP(-r_dom*Q654)*_xlfn.NORM.S.DIST(Z654,1)+q*E654*EXP(-q*Q654)*_xlfn.NORM.S.DIST(Y654,1))/365)))</f>
        <v/>
      </c>
      <c r="Q654" s="83" t="str">
        <f t="shared" si="263"/>
        <v/>
      </c>
      <c r="R654" s="38"/>
      <c r="S654" s="68" t="str">
        <f t="shared" si="264"/>
        <v/>
      </c>
      <c r="T654" s="69" t="str">
        <f t="shared" si="265"/>
        <v/>
      </c>
      <c r="U654" s="70" t="str">
        <f t="shared" si="266"/>
        <v/>
      </c>
      <c r="V654" s="72" t="str">
        <f t="shared" si="267"/>
        <v/>
      </c>
      <c r="W654" s="2" t="str">
        <f t="shared" si="254"/>
        <v/>
      </c>
      <c r="X654" s="2" t="str">
        <f t="shared" si="249"/>
        <v/>
      </c>
      <c r="Y654" s="35" t="str">
        <f t="shared" ca="1" si="268"/>
        <v/>
      </c>
      <c r="Z654" s="36" t="str">
        <f t="shared" ca="1" si="269"/>
        <v/>
      </c>
      <c r="AA654" s="70" t="str">
        <f t="shared" si="270"/>
        <v/>
      </c>
      <c r="AB654" s="2"/>
      <c r="AC654" s="94" t="str">
        <f t="shared" si="250"/>
        <v/>
      </c>
      <c r="AD654" s="95" t="str">
        <f t="shared" si="251"/>
        <v/>
      </c>
      <c r="AE654" s="96" t="str">
        <f t="shared" si="252"/>
        <v/>
      </c>
      <c r="AF654" s="124" t="str">
        <f t="shared" si="253"/>
        <v/>
      </c>
      <c r="AG654" s="2"/>
      <c r="AH654" s="2"/>
      <c r="AI654" s="2"/>
      <c r="AJ654" s="2"/>
      <c r="AK654" s="2"/>
      <c r="AL654" s="2"/>
    </row>
    <row r="655" spans="1:38" x14ac:dyDescent="0.2">
      <c r="A655" s="45"/>
      <c r="B655" s="43" t="str">
        <f t="shared" si="256"/>
        <v/>
      </c>
      <c r="C655" s="96" t="str">
        <f t="shared" si="255"/>
        <v/>
      </c>
      <c r="D655" s="44" t="str">
        <f t="shared" si="257"/>
        <v/>
      </c>
      <c r="E655" s="52"/>
      <c r="F655" s="63" t="str">
        <f t="shared" si="258"/>
        <v/>
      </c>
      <c r="G655" s="56" t="str">
        <f t="shared" si="259"/>
        <v/>
      </c>
      <c r="H655" s="42"/>
      <c r="I655" s="2" t="str">
        <f t="shared" si="260"/>
        <v/>
      </c>
      <c r="J655" s="54" t="str">
        <f t="shared" si="247"/>
        <v/>
      </c>
      <c r="K655" s="55" t="str">
        <f t="shared" si="261"/>
        <v/>
      </c>
      <c r="L655" s="63" t="str">
        <f t="shared" si="262"/>
        <v/>
      </c>
      <c r="M655" s="96" t="str">
        <f t="shared" si="248"/>
        <v/>
      </c>
      <c r="N655" s="96" t="str">
        <f>IF(A655="","",IF(A655=Expiry,0,EXP(-q*Q655)*_xlfn.NORM.S.DIST(Y655,0)/(sigma*SQRT(Q655))*I655*Mult/100))</f>
        <v/>
      </c>
      <c r="O655" s="96" t="str">
        <f>IF(A655="","",IF(A655=Expiry,0,D655*E655*E655*EXP(-q*Q655)*_xlfn.NORM.S.DIST(Y655,0)*SQRT(Q655)/100))</f>
        <v/>
      </c>
      <c r="P655" s="69" t="str">
        <f>IF(A655="","",IF(A655=Expiry,0,AK655*I655*Mult*((-EXP(-q*Q655)*E655*_xlfn.NORM.S.DIST(Y655,0)*sigma/(2*SQRT(Q655))-r_dom*K*EXP(-r_dom*Q655)*_xlfn.NORM.S.DIST(Z655,1)+q*E655*EXP(-q*Q655)*_xlfn.NORM.S.DIST(Y655,1))/365)))</f>
        <v/>
      </c>
      <c r="Q655" s="83" t="str">
        <f t="shared" si="263"/>
        <v/>
      </c>
      <c r="R655" s="38"/>
      <c r="S655" s="68" t="str">
        <f t="shared" si="264"/>
        <v/>
      </c>
      <c r="T655" s="69" t="str">
        <f t="shared" si="265"/>
        <v/>
      </c>
      <c r="U655" s="70" t="str">
        <f t="shared" si="266"/>
        <v/>
      </c>
      <c r="V655" s="72" t="str">
        <f t="shared" si="267"/>
        <v/>
      </c>
      <c r="W655" s="2" t="str">
        <f t="shared" si="254"/>
        <v/>
      </c>
      <c r="X655" s="2" t="str">
        <f t="shared" si="249"/>
        <v/>
      </c>
      <c r="Y655" s="35" t="str">
        <f t="shared" ca="1" si="268"/>
        <v/>
      </c>
      <c r="Z655" s="36" t="str">
        <f t="shared" ca="1" si="269"/>
        <v/>
      </c>
      <c r="AA655" s="70" t="str">
        <f t="shared" si="270"/>
        <v/>
      </c>
      <c r="AB655" s="2"/>
      <c r="AC655" s="94" t="str">
        <f t="shared" si="250"/>
        <v/>
      </c>
      <c r="AD655" s="95" t="str">
        <f t="shared" si="251"/>
        <v/>
      </c>
      <c r="AE655" s="96" t="str">
        <f t="shared" si="252"/>
        <v/>
      </c>
      <c r="AF655" s="124" t="str">
        <f t="shared" si="253"/>
        <v/>
      </c>
      <c r="AG655" s="2"/>
      <c r="AH655" s="2"/>
      <c r="AI655" s="2"/>
      <c r="AJ655" s="2"/>
      <c r="AK655" s="2"/>
      <c r="AL655" s="2"/>
    </row>
    <row r="656" spans="1:38" x14ac:dyDescent="0.2">
      <c r="A656" s="45"/>
      <c r="B656" s="43" t="str">
        <f t="shared" si="256"/>
        <v/>
      </c>
      <c r="C656" s="96" t="str">
        <f t="shared" si="255"/>
        <v/>
      </c>
      <c r="D656" s="44" t="str">
        <f t="shared" si="257"/>
        <v/>
      </c>
      <c r="E656" s="52"/>
      <c r="F656" s="63" t="str">
        <f t="shared" si="258"/>
        <v/>
      </c>
      <c r="G656" s="56" t="str">
        <f t="shared" si="259"/>
        <v/>
      </c>
      <c r="H656" s="42"/>
      <c r="I656" s="2" t="str">
        <f t="shared" si="260"/>
        <v/>
      </c>
      <c r="J656" s="54" t="str">
        <f t="shared" si="247"/>
        <v/>
      </c>
      <c r="K656" s="55" t="str">
        <f t="shared" si="261"/>
        <v/>
      </c>
      <c r="L656" s="63" t="str">
        <f t="shared" si="262"/>
        <v/>
      </c>
      <c r="M656" s="96" t="str">
        <f t="shared" si="248"/>
        <v/>
      </c>
      <c r="N656" s="96" t="str">
        <f>IF(A656="","",IF(A656=Expiry,0,EXP(-q*Q656)*_xlfn.NORM.S.DIST(Y656,0)/(sigma*SQRT(Q656))*I656*Mult/100))</f>
        <v/>
      </c>
      <c r="O656" s="96" t="str">
        <f>IF(A656="","",IF(A656=Expiry,0,D656*E656*E656*EXP(-q*Q656)*_xlfn.NORM.S.DIST(Y656,0)*SQRT(Q656)/100))</f>
        <v/>
      </c>
      <c r="P656" s="69" t="str">
        <f>IF(A656="","",IF(A656=Expiry,0,AK656*I656*Mult*((-EXP(-q*Q656)*E656*_xlfn.NORM.S.DIST(Y656,0)*sigma/(2*SQRT(Q656))-r_dom*K*EXP(-r_dom*Q656)*_xlfn.NORM.S.DIST(Z656,1)+q*E656*EXP(-q*Q656)*_xlfn.NORM.S.DIST(Y656,1))/365)))</f>
        <v/>
      </c>
      <c r="Q656" s="83" t="str">
        <f t="shared" si="263"/>
        <v/>
      </c>
      <c r="R656" s="38"/>
      <c r="S656" s="68" t="str">
        <f t="shared" si="264"/>
        <v/>
      </c>
      <c r="T656" s="69" t="str">
        <f t="shared" si="265"/>
        <v/>
      </c>
      <c r="U656" s="70" t="str">
        <f t="shared" si="266"/>
        <v/>
      </c>
      <c r="V656" s="72" t="str">
        <f t="shared" si="267"/>
        <v/>
      </c>
      <c r="W656" s="2" t="str">
        <f t="shared" si="254"/>
        <v/>
      </c>
      <c r="X656" s="2" t="str">
        <f t="shared" si="249"/>
        <v/>
      </c>
      <c r="Y656" s="35" t="str">
        <f t="shared" ca="1" si="268"/>
        <v/>
      </c>
      <c r="Z656" s="36" t="str">
        <f t="shared" ca="1" si="269"/>
        <v/>
      </c>
      <c r="AA656" s="70" t="str">
        <f t="shared" si="270"/>
        <v/>
      </c>
      <c r="AB656" s="2"/>
      <c r="AC656" s="94" t="str">
        <f t="shared" si="250"/>
        <v/>
      </c>
      <c r="AD656" s="95" t="str">
        <f t="shared" si="251"/>
        <v/>
      </c>
      <c r="AE656" s="96" t="str">
        <f t="shared" si="252"/>
        <v/>
      </c>
      <c r="AF656" s="124" t="str">
        <f t="shared" si="253"/>
        <v/>
      </c>
      <c r="AG656" s="2"/>
      <c r="AH656" s="2"/>
      <c r="AI656" s="2"/>
      <c r="AJ656" s="2"/>
      <c r="AK656" s="2"/>
      <c r="AL656" s="2"/>
    </row>
    <row r="657" spans="1:38" x14ac:dyDescent="0.2">
      <c r="A657" s="45"/>
      <c r="B657" s="43" t="str">
        <f t="shared" si="256"/>
        <v/>
      </c>
      <c r="C657" s="96" t="str">
        <f t="shared" si="255"/>
        <v/>
      </c>
      <c r="D657" s="44" t="str">
        <f t="shared" si="257"/>
        <v/>
      </c>
      <c r="E657" s="52"/>
      <c r="F657" s="63" t="str">
        <f t="shared" si="258"/>
        <v/>
      </c>
      <c r="G657" s="56" t="str">
        <f t="shared" si="259"/>
        <v/>
      </c>
      <c r="H657" s="42"/>
      <c r="I657" s="2" t="str">
        <f t="shared" si="260"/>
        <v/>
      </c>
      <c r="J657" s="54" t="str">
        <f t="shared" si="247"/>
        <v/>
      </c>
      <c r="K657" s="55" t="str">
        <f t="shared" si="261"/>
        <v/>
      </c>
      <c r="L657" s="63" t="str">
        <f t="shared" si="262"/>
        <v/>
      </c>
      <c r="M657" s="96" t="str">
        <f t="shared" si="248"/>
        <v/>
      </c>
      <c r="N657" s="96" t="str">
        <f>IF(A657="","",IF(A657=Expiry,0,EXP(-q*Q657)*_xlfn.NORM.S.DIST(Y657,0)/(sigma*SQRT(Q657))*I657*Mult/100))</f>
        <v/>
      </c>
      <c r="O657" s="96" t="str">
        <f>IF(A657="","",IF(A657=Expiry,0,D657*E657*E657*EXP(-q*Q657)*_xlfn.NORM.S.DIST(Y657,0)*SQRT(Q657)/100))</f>
        <v/>
      </c>
      <c r="P657" s="69" t="str">
        <f>IF(A657="","",IF(A657=Expiry,0,AK657*I657*Mult*((-EXP(-q*Q657)*E657*_xlfn.NORM.S.DIST(Y657,0)*sigma/(2*SQRT(Q657))-r_dom*K*EXP(-r_dom*Q657)*_xlfn.NORM.S.DIST(Z657,1)+q*E657*EXP(-q*Q657)*_xlfn.NORM.S.DIST(Y657,1))/365)))</f>
        <v/>
      </c>
      <c r="Q657" s="83" t="str">
        <f t="shared" si="263"/>
        <v/>
      </c>
      <c r="R657" s="38"/>
      <c r="S657" s="68" t="str">
        <f t="shared" si="264"/>
        <v/>
      </c>
      <c r="T657" s="69" t="str">
        <f t="shared" si="265"/>
        <v/>
      </c>
      <c r="U657" s="70" t="str">
        <f t="shared" si="266"/>
        <v/>
      </c>
      <c r="V657" s="72" t="str">
        <f t="shared" si="267"/>
        <v/>
      </c>
      <c r="W657" s="2" t="str">
        <f t="shared" si="254"/>
        <v/>
      </c>
      <c r="X657" s="2" t="str">
        <f t="shared" si="249"/>
        <v/>
      </c>
      <c r="Y657" s="35" t="str">
        <f t="shared" ca="1" si="268"/>
        <v/>
      </c>
      <c r="Z657" s="36" t="str">
        <f t="shared" ca="1" si="269"/>
        <v/>
      </c>
      <c r="AA657" s="70" t="str">
        <f t="shared" si="270"/>
        <v/>
      </c>
      <c r="AB657" s="2"/>
      <c r="AC657" s="94" t="str">
        <f t="shared" si="250"/>
        <v/>
      </c>
      <c r="AD657" s="95" t="str">
        <f t="shared" si="251"/>
        <v/>
      </c>
      <c r="AE657" s="96" t="str">
        <f t="shared" si="252"/>
        <v/>
      </c>
      <c r="AF657" s="124" t="str">
        <f t="shared" si="253"/>
        <v/>
      </c>
      <c r="AG657" s="2"/>
      <c r="AH657" s="2"/>
      <c r="AI657" s="2"/>
      <c r="AJ657" s="2"/>
      <c r="AK657" s="2"/>
      <c r="AL657" s="2"/>
    </row>
    <row r="658" spans="1:38" x14ac:dyDescent="0.2">
      <c r="A658" s="45"/>
      <c r="B658" s="43" t="str">
        <f t="shared" si="256"/>
        <v/>
      </c>
      <c r="C658" s="96" t="str">
        <f t="shared" si="255"/>
        <v/>
      </c>
      <c r="D658" s="44" t="str">
        <f t="shared" si="257"/>
        <v/>
      </c>
      <c r="E658" s="52"/>
      <c r="F658" s="63" t="str">
        <f t="shared" si="258"/>
        <v/>
      </c>
      <c r="G658" s="56" t="str">
        <f t="shared" si="259"/>
        <v/>
      </c>
      <c r="H658" s="42"/>
      <c r="I658" s="2" t="str">
        <f t="shared" si="260"/>
        <v/>
      </c>
      <c r="J658" s="54" t="str">
        <f t="shared" si="247"/>
        <v/>
      </c>
      <c r="K658" s="55" t="str">
        <f t="shared" si="261"/>
        <v/>
      </c>
      <c r="L658" s="63" t="str">
        <f t="shared" si="262"/>
        <v/>
      </c>
      <c r="M658" s="96" t="str">
        <f t="shared" si="248"/>
        <v/>
      </c>
      <c r="N658" s="96" t="str">
        <f>IF(A658="","",IF(A658=Expiry,0,EXP(-q*Q658)*_xlfn.NORM.S.DIST(Y658,0)/(sigma*SQRT(Q658))*I658*Mult/100))</f>
        <v/>
      </c>
      <c r="O658" s="96" t="str">
        <f>IF(A658="","",IF(A658=Expiry,0,D658*E658*E658*EXP(-q*Q658)*_xlfn.NORM.S.DIST(Y658,0)*SQRT(Q658)/100))</f>
        <v/>
      </c>
      <c r="P658" s="69" t="str">
        <f>IF(A658="","",IF(A658=Expiry,0,AK658*I658*Mult*((-EXP(-q*Q658)*E658*_xlfn.NORM.S.DIST(Y658,0)*sigma/(2*SQRT(Q658))-r_dom*K*EXP(-r_dom*Q658)*_xlfn.NORM.S.DIST(Z658,1)+q*E658*EXP(-q*Q658)*_xlfn.NORM.S.DIST(Y658,1))/365)))</f>
        <v/>
      </c>
      <c r="Q658" s="83" t="str">
        <f t="shared" si="263"/>
        <v/>
      </c>
      <c r="R658" s="38"/>
      <c r="S658" s="68" t="str">
        <f t="shared" si="264"/>
        <v/>
      </c>
      <c r="T658" s="69" t="str">
        <f t="shared" si="265"/>
        <v/>
      </c>
      <c r="U658" s="70" t="str">
        <f t="shared" si="266"/>
        <v/>
      </c>
      <c r="V658" s="72" t="str">
        <f t="shared" si="267"/>
        <v/>
      </c>
      <c r="W658" s="2" t="str">
        <f t="shared" si="254"/>
        <v/>
      </c>
      <c r="X658" s="2" t="str">
        <f t="shared" si="249"/>
        <v/>
      </c>
      <c r="Y658" s="35" t="str">
        <f t="shared" ca="1" si="268"/>
        <v/>
      </c>
      <c r="Z658" s="36" t="str">
        <f t="shared" ca="1" si="269"/>
        <v/>
      </c>
      <c r="AA658" s="70" t="str">
        <f t="shared" si="270"/>
        <v/>
      </c>
      <c r="AB658" s="2"/>
      <c r="AC658" s="94" t="str">
        <f t="shared" si="250"/>
        <v/>
      </c>
      <c r="AD658" s="95" t="str">
        <f t="shared" si="251"/>
        <v/>
      </c>
      <c r="AE658" s="96" t="str">
        <f t="shared" si="252"/>
        <v/>
      </c>
      <c r="AF658" s="124" t="str">
        <f t="shared" si="253"/>
        <v/>
      </c>
      <c r="AG658" s="2"/>
      <c r="AH658" s="2"/>
      <c r="AI658" s="2"/>
      <c r="AJ658" s="2"/>
      <c r="AK658" s="2"/>
      <c r="AL658" s="2"/>
    </row>
    <row r="659" spans="1:38" x14ac:dyDescent="0.2">
      <c r="A659" s="45"/>
      <c r="B659" s="43" t="str">
        <f t="shared" si="256"/>
        <v/>
      </c>
      <c r="C659" s="96" t="str">
        <f t="shared" si="255"/>
        <v/>
      </c>
      <c r="D659" s="44" t="str">
        <f t="shared" si="257"/>
        <v/>
      </c>
      <c r="E659" s="52"/>
      <c r="F659" s="63" t="str">
        <f t="shared" si="258"/>
        <v/>
      </c>
      <c r="G659" s="56" t="str">
        <f t="shared" si="259"/>
        <v/>
      </c>
      <c r="H659" s="42"/>
      <c r="I659" s="2" t="str">
        <f t="shared" si="260"/>
        <v/>
      </c>
      <c r="J659" s="54" t="str">
        <f t="shared" si="247"/>
        <v/>
      </c>
      <c r="K659" s="55" t="str">
        <f t="shared" si="261"/>
        <v/>
      </c>
      <c r="L659" s="63" t="str">
        <f t="shared" si="262"/>
        <v/>
      </c>
      <c r="M659" s="96" t="str">
        <f t="shared" si="248"/>
        <v/>
      </c>
      <c r="N659" s="96" t="str">
        <f>IF(A659="","",IF(A659=Expiry,0,EXP(-q*Q659)*_xlfn.NORM.S.DIST(Y659,0)/(sigma*SQRT(Q659))*I659*Mult/100))</f>
        <v/>
      </c>
      <c r="O659" s="96" t="str">
        <f>IF(A659="","",IF(A659=Expiry,0,D659*E659*E659*EXP(-q*Q659)*_xlfn.NORM.S.DIST(Y659,0)*SQRT(Q659)/100))</f>
        <v/>
      </c>
      <c r="P659" s="69" t="str">
        <f>IF(A659="","",IF(A659=Expiry,0,AK659*I659*Mult*((-EXP(-q*Q659)*E659*_xlfn.NORM.S.DIST(Y659,0)*sigma/(2*SQRT(Q659))-r_dom*K*EXP(-r_dom*Q659)*_xlfn.NORM.S.DIST(Z659,1)+q*E659*EXP(-q*Q659)*_xlfn.NORM.S.DIST(Y659,1))/365)))</f>
        <v/>
      </c>
      <c r="Q659" s="83" t="str">
        <f t="shared" si="263"/>
        <v/>
      </c>
      <c r="R659" s="38"/>
      <c r="S659" s="68" t="str">
        <f t="shared" si="264"/>
        <v/>
      </c>
      <c r="T659" s="69" t="str">
        <f t="shared" si="265"/>
        <v/>
      </c>
      <c r="U659" s="70" t="str">
        <f t="shared" si="266"/>
        <v/>
      </c>
      <c r="V659" s="72" t="str">
        <f t="shared" si="267"/>
        <v/>
      </c>
      <c r="W659" s="2" t="str">
        <f t="shared" si="254"/>
        <v/>
      </c>
      <c r="X659" s="2" t="str">
        <f t="shared" si="249"/>
        <v/>
      </c>
      <c r="Y659" s="35" t="str">
        <f t="shared" ca="1" si="268"/>
        <v/>
      </c>
      <c r="Z659" s="36" t="str">
        <f t="shared" ca="1" si="269"/>
        <v/>
      </c>
      <c r="AA659" s="70" t="str">
        <f t="shared" si="270"/>
        <v/>
      </c>
      <c r="AB659" s="2"/>
      <c r="AC659" s="94" t="str">
        <f t="shared" si="250"/>
        <v/>
      </c>
      <c r="AD659" s="95" t="str">
        <f t="shared" si="251"/>
        <v/>
      </c>
      <c r="AE659" s="96" t="str">
        <f t="shared" si="252"/>
        <v/>
      </c>
      <c r="AF659" s="124" t="str">
        <f t="shared" si="253"/>
        <v/>
      </c>
      <c r="AG659" s="2"/>
      <c r="AH659" s="2"/>
      <c r="AI659" s="2"/>
      <c r="AJ659" s="2"/>
      <c r="AK659" s="2"/>
      <c r="AL659" s="2"/>
    </row>
    <row r="660" spans="1:38" x14ac:dyDescent="0.2">
      <c r="A660" s="45"/>
      <c r="B660" s="43" t="str">
        <f t="shared" si="256"/>
        <v/>
      </c>
      <c r="C660" s="96" t="str">
        <f t="shared" si="255"/>
        <v/>
      </c>
      <c r="D660" s="44" t="str">
        <f t="shared" si="257"/>
        <v/>
      </c>
      <c r="E660" s="52"/>
      <c r="F660" s="63" t="str">
        <f t="shared" si="258"/>
        <v/>
      </c>
      <c r="G660" s="56" t="str">
        <f t="shared" si="259"/>
        <v/>
      </c>
      <c r="H660" s="42"/>
      <c r="I660" s="2" t="str">
        <f t="shared" si="260"/>
        <v/>
      </c>
      <c r="J660" s="54" t="str">
        <f t="shared" si="247"/>
        <v/>
      </c>
      <c r="K660" s="55" t="str">
        <f t="shared" si="261"/>
        <v/>
      </c>
      <c r="L660" s="63" t="str">
        <f t="shared" si="262"/>
        <v/>
      </c>
      <c r="M660" s="96" t="str">
        <f t="shared" si="248"/>
        <v/>
      </c>
      <c r="N660" s="96" t="str">
        <f>IF(A660="","",IF(A660=Expiry,0,EXP(-q*Q660)*_xlfn.NORM.S.DIST(Y660,0)/(sigma*SQRT(Q660))*I660*Mult/100))</f>
        <v/>
      </c>
      <c r="O660" s="96" t="str">
        <f>IF(A660="","",IF(A660=Expiry,0,D660*E660*E660*EXP(-q*Q660)*_xlfn.NORM.S.DIST(Y660,0)*SQRT(Q660)/100))</f>
        <v/>
      </c>
      <c r="P660" s="69" t="str">
        <f>IF(A660="","",IF(A660=Expiry,0,AK660*I660*Mult*((-EXP(-q*Q660)*E660*_xlfn.NORM.S.DIST(Y660,0)*sigma/(2*SQRT(Q660))-r_dom*K*EXP(-r_dom*Q660)*_xlfn.NORM.S.DIST(Z660,1)+q*E660*EXP(-q*Q660)*_xlfn.NORM.S.DIST(Y660,1))/365)))</f>
        <v/>
      </c>
      <c r="Q660" s="83" t="str">
        <f t="shared" si="263"/>
        <v/>
      </c>
      <c r="R660" s="38"/>
      <c r="S660" s="68" t="str">
        <f t="shared" si="264"/>
        <v/>
      </c>
      <c r="T660" s="69" t="str">
        <f t="shared" si="265"/>
        <v/>
      </c>
      <c r="U660" s="70" t="str">
        <f t="shared" si="266"/>
        <v/>
      </c>
      <c r="V660" s="72" t="str">
        <f t="shared" si="267"/>
        <v/>
      </c>
      <c r="W660" s="2" t="str">
        <f t="shared" si="254"/>
        <v/>
      </c>
      <c r="X660" s="2" t="str">
        <f t="shared" si="249"/>
        <v/>
      </c>
      <c r="Y660" s="35" t="str">
        <f t="shared" ca="1" si="268"/>
        <v/>
      </c>
      <c r="Z660" s="36" t="str">
        <f t="shared" ca="1" si="269"/>
        <v/>
      </c>
      <c r="AA660" s="70" t="str">
        <f t="shared" si="270"/>
        <v/>
      </c>
      <c r="AB660" s="2"/>
      <c r="AC660" s="94" t="str">
        <f t="shared" si="250"/>
        <v/>
      </c>
      <c r="AD660" s="95" t="str">
        <f t="shared" si="251"/>
        <v/>
      </c>
      <c r="AE660" s="96" t="str">
        <f t="shared" si="252"/>
        <v/>
      </c>
      <c r="AF660" s="124" t="str">
        <f t="shared" si="253"/>
        <v/>
      </c>
      <c r="AG660" s="2"/>
      <c r="AH660" s="2"/>
      <c r="AI660" s="2"/>
      <c r="AJ660" s="2"/>
      <c r="AK660" s="2"/>
      <c r="AL660" s="2"/>
    </row>
    <row r="661" spans="1:38" x14ac:dyDescent="0.2">
      <c r="A661" s="45"/>
      <c r="B661" s="43" t="str">
        <f t="shared" si="256"/>
        <v/>
      </c>
      <c r="C661" s="96" t="str">
        <f t="shared" si="255"/>
        <v/>
      </c>
      <c r="D661" s="44" t="str">
        <f t="shared" si="257"/>
        <v/>
      </c>
      <c r="E661" s="52"/>
      <c r="F661" s="63" t="str">
        <f t="shared" si="258"/>
        <v/>
      </c>
      <c r="G661" s="56" t="str">
        <f t="shared" si="259"/>
        <v/>
      </c>
      <c r="H661" s="42"/>
      <c r="I661" s="2" t="str">
        <f t="shared" si="260"/>
        <v/>
      </c>
      <c r="J661" s="54" t="str">
        <f t="shared" si="247"/>
        <v/>
      </c>
      <c r="K661" s="55" t="str">
        <f t="shared" si="261"/>
        <v/>
      </c>
      <c r="L661" s="63" t="str">
        <f t="shared" si="262"/>
        <v/>
      </c>
      <c r="M661" s="96" t="str">
        <f t="shared" si="248"/>
        <v/>
      </c>
      <c r="N661" s="96" t="str">
        <f>IF(A661="","",IF(A661=Expiry,0,EXP(-q*Q661)*_xlfn.NORM.S.DIST(Y661,0)/(sigma*SQRT(Q661))*I661*Mult/100))</f>
        <v/>
      </c>
      <c r="O661" s="96" t="str">
        <f>IF(A661="","",IF(A661=Expiry,0,D661*E661*E661*EXP(-q*Q661)*_xlfn.NORM.S.DIST(Y661,0)*SQRT(Q661)/100))</f>
        <v/>
      </c>
      <c r="P661" s="69" t="str">
        <f>IF(A661="","",IF(A661=Expiry,0,AK661*I661*Mult*((-EXP(-q*Q661)*E661*_xlfn.NORM.S.DIST(Y661,0)*sigma/(2*SQRT(Q661))-r_dom*K*EXP(-r_dom*Q661)*_xlfn.NORM.S.DIST(Z661,1)+q*E661*EXP(-q*Q661)*_xlfn.NORM.S.DIST(Y661,1))/365)))</f>
        <v/>
      </c>
      <c r="Q661" s="83" t="str">
        <f t="shared" si="263"/>
        <v/>
      </c>
      <c r="R661" s="38"/>
      <c r="S661" s="68" t="str">
        <f t="shared" si="264"/>
        <v/>
      </c>
      <c r="T661" s="69" t="str">
        <f t="shared" si="265"/>
        <v/>
      </c>
      <c r="U661" s="70" t="str">
        <f t="shared" si="266"/>
        <v/>
      </c>
      <c r="V661" s="72" t="str">
        <f t="shared" si="267"/>
        <v/>
      </c>
      <c r="W661" s="2" t="str">
        <f t="shared" si="254"/>
        <v/>
      </c>
      <c r="X661" s="2" t="str">
        <f t="shared" si="249"/>
        <v/>
      </c>
      <c r="Y661" s="35" t="str">
        <f t="shared" ca="1" si="268"/>
        <v/>
      </c>
      <c r="Z661" s="36" t="str">
        <f t="shared" ca="1" si="269"/>
        <v/>
      </c>
      <c r="AA661" s="70" t="str">
        <f t="shared" si="270"/>
        <v/>
      </c>
      <c r="AB661" s="2"/>
      <c r="AC661" s="94" t="str">
        <f t="shared" si="250"/>
        <v/>
      </c>
      <c r="AD661" s="95" t="str">
        <f t="shared" si="251"/>
        <v/>
      </c>
      <c r="AE661" s="96" t="str">
        <f t="shared" si="252"/>
        <v/>
      </c>
      <c r="AF661" s="124" t="str">
        <f t="shared" si="253"/>
        <v/>
      </c>
      <c r="AG661" s="2"/>
      <c r="AH661" s="2"/>
      <c r="AI661" s="2"/>
      <c r="AJ661" s="2"/>
      <c r="AK661" s="2"/>
      <c r="AL661" s="2"/>
    </row>
    <row r="662" spans="1:38" x14ac:dyDescent="0.2">
      <c r="A662" s="45"/>
      <c r="B662" s="43" t="str">
        <f t="shared" si="256"/>
        <v/>
      </c>
      <c r="C662" s="96" t="str">
        <f t="shared" si="255"/>
        <v/>
      </c>
      <c r="D662" s="44" t="str">
        <f t="shared" si="257"/>
        <v/>
      </c>
      <c r="E662" s="52"/>
      <c r="F662" s="63" t="str">
        <f t="shared" si="258"/>
        <v/>
      </c>
      <c r="G662" s="56" t="str">
        <f t="shared" si="259"/>
        <v/>
      </c>
      <c r="H662" s="42"/>
      <c r="I662" s="2" t="str">
        <f t="shared" si="260"/>
        <v/>
      </c>
      <c r="J662" s="54" t="str">
        <f t="shared" si="247"/>
        <v/>
      </c>
      <c r="K662" s="55" t="str">
        <f t="shared" si="261"/>
        <v/>
      </c>
      <c r="L662" s="63" t="str">
        <f t="shared" si="262"/>
        <v/>
      </c>
      <c r="M662" s="96" t="str">
        <f t="shared" si="248"/>
        <v/>
      </c>
      <c r="N662" s="96" t="str">
        <f>IF(A662="","",IF(A662=Expiry,0,EXP(-q*Q662)*_xlfn.NORM.S.DIST(Y662,0)/(sigma*SQRT(Q662))*I662*Mult/100))</f>
        <v/>
      </c>
      <c r="O662" s="96" t="str">
        <f>IF(A662="","",IF(A662=Expiry,0,D662*E662*E662*EXP(-q*Q662)*_xlfn.NORM.S.DIST(Y662,0)*SQRT(Q662)/100))</f>
        <v/>
      </c>
      <c r="P662" s="69" t="str">
        <f>IF(A662="","",IF(A662=Expiry,0,AK662*I662*Mult*((-EXP(-q*Q662)*E662*_xlfn.NORM.S.DIST(Y662,0)*sigma/(2*SQRT(Q662))-r_dom*K*EXP(-r_dom*Q662)*_xlfn.NORM.S.DIST(Z662,1)+q*E662*EXP(-q*Q662)*_xlfn.NORM.S.DIST(Y662,1))/365)))</f>
        <v/>
      </c>
      <c r="Q662" s="83" t="str">
        <f t="shared" si="263"/>
        <v/>
      </c>
      <c r="R662" s="38"/>
      <c r="S662" s="68" t="str">
        <f t="shared" si="264"/>
        <v/>
      </c>
      <c r="T662" s="69" t="str">
        <f t="shared" si="265"/>
        <v/>
      </c>
      <c r="U662" s="70" t="str">
        <f t="shared" si="266"/>
        <v/>
      </c>
      <c r="V662" s="72" t="str">
        <f t="shared" si="267"/>
        <v/>
      </c>
      <c r="W662" s="2" t="str">
        <f t="shared" si="254"/>
        <v/>
      </c>
      <c r="X662" s="2" t="str">
        <f t="shared" si="249"/>
        <v/>
      </c>
      <c r="Y662" s="35" t="str">
        <f t="shared" ca="1" si="268"/>
        <v/>
      </c>
      <c r="Z662" s="36" t="str">
        <f t="shared" ca="1" si="269"/>
        <v/>
      </c>
      <c r="AA662" s="70" t="str">
        <f t="shared" si="270"/>
        <v/>
      </c>
      <c r="AB662" s="2"/>
      <c r="AC662" s="94" t="str">
        <f t="shared" si="250"/>
        <v/>
      </c>
      <c r="AD662" s="95" t="str">
        <f t="shared" si="251"/>
        <v/>
      </c>
      <c r="AE662" s="96" t="str">
        <f t="shared" si="252"/>
        <v/>
      </c>
      <c r="AF662" s="124" t="str">
        <f t="shared" si="253"/>
        <v/>
      </c>
      <c r="AG662" s="2"/>
      <c r="AH662" s="2"/>
      <c r="AI662" s="2"/>
      <c r="AJ662" s="2"/>
      <c r="AK662" s="2"/>
      <c r="AL662" s="2"/>
    </row>
    <row r="663" spans="1:38" x14ac:dyDescent="0.2">
      <c r="A663" s="45"/>
      <c r="B663" s="43" t="str">
        <f t="shared" si="256"/>
        <v/>
      </c>
      <c r="C663" s="96" t="str">
        <f t="shared" si="255"/>
        <v/>
      </c>
      <c r="D663" s="44" t="str">
        <f t="shared" si="257"/>
        <v/>
      </c>
      <c r="E663" s="52"/>
      <c r="F663" s="63" t="str">
        <f t="shared" si="258"/>
        <v/>
      </c>
      <c r="G663" s="56" t="str">
        <f t="shared" si="259"/>
        <v/>
      </c>
      <c r="H663" s="42"/>
      <c r="I663" s="2" t="str">
        <f t="shared" si="260"/>
        <v/>
      </c>
      <c r="J663" s="54" t="str">
        <f t="shared" si="247"/>
        <v/>
      </c>
      <c r="K663" s="55" t="str">
        <f t="shared" si="261"/>
        <v/>
      </c>
      <c r="L663" s="63" t="str">
        <f t="shared" si="262"/>
        <v/>
      </c>
      <c r="M663" s="96" t="str">
        <f t="shared" si="248"/>
        <v/>
      </c>
      <c r="N663" s="96" t="str">
        <f>IF(A663="","",IF(A663=Expiry,0,EXP(-q*Q663)*_xlfn.NORM.S.DIST(Y663,0)/(sigma*SQRT(Q663))*I663*Mult/100))</f>
        <v/>
      </c>
      <c r="O663" s="96" t="str">
        <f>IF(A663="","",IF(A663=Expiry,0,D663*E663*E663*EXP(-q*Q663)*_xlfn.NORM.S.DIST(Y663,0)*SQRT(Q663)/100))</f>
        <v/>
      </c>
      <c r="P663" s="69" t="str">
        <f>IF(A663="","",IF(A663=Expiry,0,AK663*I663*Mult*((-EXP(-q*Q663)*E663*_xlfn.NORM.S.DIST(Y663,0)*sigma/(2*SQRT(Q663))-r_dom*K*EXP(-r_dom*Q663)*_xlfn.NORM.S.DIST(Z663,1)+q*E663*EXP(-q*Q663)*_xlfn.NORM.S.DIST(Y663,1))/365)))</f>
        <v/>
      </c>
      <c r="Q663" s="83" t="str">
        <f t="shared" si="263"/>
        <v/>
      </c>
      <c r="R663" s="38"/>
      <c r="S663" s="68" t="str">
        <f t="shared" si="264"/>
        <v/>
      </c>
      <c r="T663" s="69" t="str">
        <f t="shared" si="265"/>
        <v/>
      </c>
      <c r="U663" s="70" t="str">
        <f t="shared" si="266"/>
        <v/>
      </c>
      <c r="V663" s="72" t="str">
        <f t="shared" si="267"/>
        <v/>
      </c>
      <c r="W663" s="2" t="str">
        <f t="shared" si="254"/>
        <v/>
      </c>
      <c r="X663" s="2" t="str">
        <f t="shared" si="249"/>
        <v/>
      </c>
      <c r="Y663" s="35" t="str">
        <f t="shared" ca="1" si="268"/>
        <v/>
      </c>
      <c r="Z663" s="36" t="str">
        <f t="shared" ca="1" si="269"/>
        <v/>
      </c>
      <c r="AA663" s="70" t="str">
        <f t="shared" si="270"/>
        <v/>
      </c>
      <c r="AB663" s="2"/>
      <c r="AC663" s="94" t="str">
        <f t="shared" si="250"/>
        <v/>
      </c>
      <c r="AD663" s="95" t="str">
        <f t="shared" si="251"/>
        <v/>
      </c>
      <c r="AE663" s="96" t="str">
        <f t="shared" si="252"/>
        <v/>
      </c>
      <c r="AF663" s="124" t="str">
        <f t="shared" si="253"/>
        <v/>
      </c>
      <c r="AG663" s="2"/>
      <c r="AH663" s="2"/>
      <c r="AI663" s="2"/>
      <c r="AJ663" s="2"/>
      <c r="AK663" s="2"/>
      <c r="AL663" s="2"/>
    </row>
    <row r="664" spans="1:38" x14ac:dyDescent="0.2">
      <c r="A664" s="45"/>
      <c r="B664" s="43" t="str">
        <f t="shared" si="256"/>
        <v/>
      </c>
      <c r="C664" s="96" t="str">
        <f t="shared" si="255"/>
        <v/>
      </c>
      <c r="D664" s="44" t="str">
        <f t="shared" si="257"/>
        <v/>
      </c>
      <c r="E664" s="52"/>
      <c r="F664" s="63" t="str">
        <f t="shared" si="258"/>
        <v/>
      </c>
      <c r="G664" s="56" t="str">
        <f t="shared" si="259"/>
        <v/>
      </c>
      <c r="H664" s="42"/>
      <c r="I664" s="2" t="str">
        <f t="shared" si="260"/>
        <v/>
      </c>
      <c r="J664" s="54" t="str">
        <f t="shared" si="247"/>
        <v/>
      </c>
      <c r="K664" s="55" t="str">
        <f t="shared" si="261"/>
        <v/>
      </c>
      <c r="L664" s="63" t="str">
        <f t="shared" si="262"/>
        <v/>
      </c>
      <c r="M664" s="96" t="str">
        <f t="shared" si="248"/>
        <v/>
      </c>
      <c r="N664" s="96" t="str">
        <f>IF(A664="","",IF(A664=Expiry,0,EXP(-q*Q664)*_xlfn.NORM.S.DIST(Y664,0)/(sigma*SQRT(Q664))*I664*Mult/100))</f>
        <v/>
      </c>
      <c r="O664" s="96" t="str">
        <f>IF(A664="","",IF(A664=Expiry,0,D664*E664*E664*EXP(-q*Q664)*_xlfn.NORM.S.DIST(Y664,0)*SQRT(Q664)/100))</f>
        <v/>
      </c>
      <c r="P664" s="69" t="str">
        <f>IF(A664="","",IF(A664=Expiry,0,AK664*I664*Mult*((-EXP(-q*Q664)*E664*_xlfn.NORM.S.DIST(Y664,0)*sigma/(2*SQRT(Q664))-r_dom*K*EXP(-r_dom*Q664)*_xlfn.NORM.S.DIST(Z664,1)+q*E664*EXP(-q*Q664)*_xlfn.NORM.S.DIST(Y664,1))/365)))</f>
        <v/>
      </c>
      <c r="Q664" s="83" t="str">
        <f t="shared" si="263"/>
        <v/>
      </c>
      <c r="R664" s="38"/>
      <c r="S664" s="68" t="str">
        <f t="shared" si="264"/>
        <v/>
      </c>
      <c r="T664" s="69" t="str">
        <f t="shared" si="265"/>
        <v/>
      </c>
      <c r="U664" s="70" t="str">
        <f t="shared" si="266"/>
        <v/>
      </c>
      <c r="V664" s="72" t="str">
        <f t="shared" si="267"/>
        <v/>
      </c>
      <c r="W664" s="2" t="str">
        <f t="shared" si="254"/>
        <v/>
      </c>
      <c r="X664" s="2" t="str">
        <f t="shared" si="249"/>
        <v/>
      </c>
      <c r="Y664" s="35" t="str">
        <f t="shared" ca="1" si="268"/>
        <v/>
      </c>
      <c r="Z664" s="36" t="str">
        <f t="shared" ca="1" si="269"/>
        <v/>
      </c>
      <c r="AA664" s="70" t="str">
        <f t="shared" si="270"/>
        <v/>
      </c>
      <c r="AB664" s="2"/>
      <c r="AC664" s="94" t="str">
        <f t="shared" si="250"/>
        <v/>
      </c>
      <c r="AD664" s="95" t="str">
        <f t="shared" si="251"/>
        <v/>
      </c>
      <c r="AE664" s="96" t="str">
        <f t="shared" si="252"/>
        <v/>
      </c>
      <c r="AF664" s="124" t="str">
        <f t="shared" si="253"/>
        <v/>
      </c>
      <c r="AG664" s="2"/>
      <c r="AH664" s="2"/>
      <c r="AI664" s="2"/>
      <c r="AJ664" s="2"/>
      <c r="AK664" s="2"/>
      <c r="AL664" s="2"/>
    </row>
    <row r="665" spans="1:38" x14ac:dyDescent="0.2">
      <c r="A665" s="45"/>
      <c r="B665" s="43" t="str">
        <f t="shared" si="256"/>
        <v/>
      </c>
      <c r="C665" s="96" t="str">
        <f t="shared" si="255"/>
        <v/>
      </c>
      <c r="D665" s="44" t="str">
        <f t="shared" si="257"/>
        <v/>
      </c>
      <c r="E665" s="52"/>
      <c r="F665" s="63" t="str">
        <f t="shared" si="258"/>
        <v/>
      </c>
      <c r="G665" s="56" t="str">
        <f t="shared" si="259"/>
        <v/>
      </c>
      <c r="H665" s="42"/>
      <c r="I665" s="2" t="str">
        <f t="shared" si="260"/>
        <v/>
      </c>
      <c r="J665" s="54" t="str">
        <f t="shared" si="247"/>
        <v/>
      </c>
      <c r="K665" s="55" t="str">
        <f t="shared" si="261"/>
        <v/>
      </c>
      <c r="L665" s="63" t="str">
        <f t="shared" si="262"/>
        <v/>
      </c>
      <c r="M665" s="96" t="str">
        <f t="shared" si="248"/>
        <v/>
      </c>
      <c r="N665" s="96" t="str">
        <f>IF(A665="","",IF(A665=Expiry,0,EXP(-q*Q665)*_xlfn.NORM.S.DIST(Y665,0)/(sigma*SQRT(Q665))*I665*Mult/100))</f>
        <v/>
      </c>
      <c r="O665" s="96" t="str">
        <f>IF(A665="","",IF(A665=Expiry,0,D665*E665*E665*EXP(-q*Q665)*_xlfn.NORM.S.DIST(Y665,0)*SQRT(Q665)/100))</f>
        <v/>
      </c>
      <c r="P665" s="69" t="str">
        <f>IF(A665="","",IF(A665=Expiry,0,AK665*I665*Mult*((-EXP(-q*Q665)*E665*_xlfn.NORM.S.DIST(Y665,0)*sigma/(2*SQRT(Q665))-r_dom*K*EXP(-r_dom*Q665)*_xlfn.NORM.S.DIST(Z665,1)+q*E665*EXP(-q*Q665)*_xlfn.NORM.S.DIST(Y665,1))/365)))</f>
        <v/>
      </c>
      <c r="Q665" s="83" t="str">
        <f t="shared" si="263"/>
        <v/>
      </c>
      <c r="R665" s="38"/>
      <c r="S665" s="68" t="str">
        <f t="shared" si="264"/>
        <v/>
      </c>
      <c r="T665" s="69" t="str">
        <f t="shared" si="265"/>
        <v/>
      </c>
      <c r="U665" s="70" t="str">
        <f t="shared" si="266"/>
        <v/>
      </c>
      <c r="V665" s="72" t="str">
        <f t="shared" si="267"/>
        <v/>
      </c>
      <c r="W665" s="2" t="str">
        <f t="shared" si="254"/>
        <v/>
      </c>
      <c r="X665" s="2" t="str">
        <f t="shared" si="249"/>
        <v/>
      </c>
      <c r="Y665" s="35" t="str">
        <f t="shared" ca="1" si="268"/>
        <v/>
      </c>
      <c r="Z665" s="36" t="str">
        <f t="shared" ca="1" si="269"/>
        <v/>
      </c>
      <c r="AA665" s="70" t="str">
        <f t="shared" si="270"/>
        <v/>
      </c>
      <c r="AB665" s="2"/>
      <c r="AC665" s="94" t="str">
        <f t="shared" si="250"/>
        <v/>
      </c>
      <c r="AD665" s="95" t="str">
        <f t="shared" si="251"/>
        <v/>
      </c>
      <c r="AE665" s="96" t="str">
        <f t="shared" si="252"/>
        <v/>
      </c>
      <c r="AF665" s="124" t="str">
        <f t="shared" si="253"/>
        <v/>
      </c>
      <c r="AG665" s="2"/>
      <c r="AH665" s="2"/>
      <c r="AI665" s="2"/>
      <c r="AJ665" s="2"/>
      <c r="AK665" s="2"/>
      <c r="AL665" s="2"/>
    </row>
    <row r="666" spans="1:38" x14ac:dyDescent="0.2">
      <c r="A666" s="45"/>
      <c r="B666" s="43" t="str">
        <f t="shared" si="256"/>
        <v/>
      </c>
      <c r="C666" s="96" t="str">
        <f t="shared" si="255"/>
        <v/>
      </c>
      <c r="D666" s="44" t="str">
        <f t="shared" si="257"/>
        <v/>
      </c>
      <c r="E666" s="52"/>
      <c r="F666" s="63" t="str">
        <f t="shared" si="258"/>
        <v/>
      </c>
      <c r="G666" s="56" t="str">
        <f t="shared" si="259"/>
        <v/>
      </c>
      <c r="H666" s="42"/>
      <c r="I666" s="2" t="str">
        <f t="shared" si="260"/>
        <v/>
      </c>
      <c r="J666" s="54" t="str">
        <f t="shared" si="247"/>
        <v/>
      </c>
      <c r="K666" s="55" t="str">
        <f t="shared" si="261"/>
        <v/>
      </c>
      <c r="L666" s="63" t="str">
        <f t="shared" si="262"/>
        <v/>
      </c>
      <c r="M666" s="96" t="str">
        <f t="shared" si="248"/>
        <v/>
      </c>
      <c r="N666" s="96" t="str">
        <f>IF(A666="","",IF(A666=Expiry,0,EXP(-q*Q666)*_xlfn.NORM.S.DIST(Y666,0)/(sigma*SQRT(Q666))*I666*Mult/100))</f>
        <v/>
      </c>
      <c r="O666" s="96" t="str">
        <f>IF(A666="","",IF(A666=Expiry,0,D666*E666*E666*EXP(-q*Q666)*_xlfn.NORM.S.DIST(Y666,0)*SQRT(Q666)/100))</f>
        <v/>
      </c>
      <c r="P666" s="69" t="str">
        <f>IF(A666="","",IF(A666=Expiry,0,AK666*I666*Mult*((-EXP(-q*Q666)*E666*_xlfn.NORM.S.DIST(Y666,0)*sigma/(2*SQRT(Q666))-r_dom*K*EXP(-r_dom*Q666)*_xlfn.NORM.S.DIST(Z666,1)+q*E666*EXP(-q*Q666)*_xlfn.NORM.S.DIST(Y666,1))/365)))</f>
        <v/>
      </c>
      <c r="Q666" s="83" t="str">
        <f t="shared" si="263"/>
        <v/>
      </c>
      <c r="R666" s="38"/>
      <c r="S666" s="68" t="str">
        <f t="shared" si="264"/>
        <v/>
      </c>
      <c r="T666" s="69" t="str">
        <f t="shared" si="265"/>
        <v/>
      </c>
      <c r="U666" s="70" t="str">
        <f t="shared" si="266"/>
        <v/>
      </c>
      <c r="V666" s="72" t="str">
        <f t="shared" si="267"/>
        <v/>
      </c>
      <c r="W666" s="2" t="str">
        <f t="shared" si="254"/>
        <v/>
      </c>
      <c r="X666" s="2" t="str">
        <f t="shared" si="249"/>
        <v/>
      </c>
      <c r="Y666" s="35" t="str">
        <f t="shared" ca="1" si="268"/>
        <v/>
      </c>
      <c r="Z666" s="36" t="str">
        <f t="shared" ca="1" si="269"/>
        <v/>
      </c>
      <c r="AA666" s="70" t="str">
        <f t="shared" si="270"/>
        <v/>
      </c>
      <c r="AB666" s="2"/>
      <c r="AC666" s="94" t="str">
        <f t="shared" si="250"/>
        <v/>
      </c>
      <c r="AD666" s="95" t="str">
        <f t="shared" si="251"/>
        <v/>
      </c>
      <c r="AE666" s="96" t="str">
        <f t="shared" si="252"/>
        <v/>
      </c>
      <c r="AF666" s="124" t="str">
        <f t="shared" si="253"/>
        <v/>
      </c>
      <c r="AG666" s="2"/>
      <c r="AH666" s="2"/>
      <c r="AI666" s="2"/>
      <c r="AJ666" s="2"/>
      <c r="AK666" s="2"/>
      <c r="AL666" s="2"/>
    </row>
    <row r="667" spans="1:38" x14ac:dyDescent="0.2">
      <c r="A667" s="45"/>
      <c r="B667" s="43" t="str">
        <f t="shared" si="256"/>
        <v/>
      </c>
      <c r="C667" s="96" t="str">
        <f t="shared" si="255"/>
        <v/>
      </c>
      <c r="D667" s="44" t="str">
        <f t="shared" si="257"/>
        <v/>
      </c>
      <c r="E667" s="52"/>
      <c r="F667" s="63" t="str">
        <f t="shared" si="258"/>
        <v/>
      </c>
      <c r="G667" s="56" t="str">
        <f t="shared" si="259"/>
        <v/>
      </c>
      <c r="H667" s="42"/>
      <c r="I667" s="2" t="str">
        <f t="shared" si="260"/>
        <v/>
      </c>
      <c r="J667" s="54" t="str">
        <f t="shared" si="247"/>
        <v/>
      </c>
      <c r="K667" s="55" t="str">
        <f t="shared" si="261"/>
        <v/>
      </c>
      <c r="L667" s="63" t="str">
        <f t="shared" si="262"/>
        <v/>
      </c>
      <c r="M667" s="96" t="str">
        <f t="shared" si="248"/>
        <v/>
      </c>
      <c r="N667" s="96" t="str">
        <f>IF(A667="","",IF(A667=Expiry,0,EXP(-q*Q667)*_xlfn.NORM.S.DIST(Y667,0)/(sigma*SQRT(Q667))*I667*Mult/100))</f>
        <v/>
      </c>
      <c r="O667" s="96" t="str">
        <f>IF(A667="","",IF(A667=Expiry,0,D667*E667*E667*EXP(-q*Q667)*_xlfn.NORM.S.DIST(Y667,0)*SQRT(Q667)/100))</f>
        <v/>
      </c>
      <c r="P667" s="69" t="str">
        <f>IF(A667="","",IF(A667=Expiry,0,AK667*I667*Mult*((-EXP(-q*Q667)*E667*_xlfn.NORM.S.DIST(Y667,0)*sigma/(2*SQRT(Q667))-r_dom*K*EXP(-r_dom*Q667)*_xlfn.NORM.S.DIST(Z667,1)+q*E667*EXP(-q*Q667)*_xlfn.NORM.S.DIST(Y667,1))/365)))</f>
        <v/>
      </c>
      <c r="Q667" s="83" t="str">
        <f t="shared" si="263"/>
        <v/>
      </c>
      <c r="R667" s="38"/>
      <c r="S667" s="68" t="str">
        <f t="shared" si="264"/>
        <v/>
      </c>
      <c r="T667" s="69" t="str">
        <f t="shared" si="265"/>
        <v/>
      </c>
      <c r="U667" s="70" t="str">
        <f t="shared" si="266"/>
        <v/>
      </c>
      <c r="V667" s="72" t="str">
        <f t="shared" si="267"/>
        <v/>
      </c>
      <c r="W667" s="2" t="str">
        <f t="shared" si="254"/>
        <v/>
      </c>
      <c r="X667" s="2" t="str">
        <f t="shared" si="249"/>
        <v/>
      </c>
      <c r="Y667" s="35" t="str">
        <f t="shared" ca="1" si="268"/>
        <v/>
      </c>
      <c r="Z667" s="36" t="str">
        <f t="shared" ca="1" si="269"/>
        <v/>
      </c>
      <c r="AA667" s="70" t="str">
        <f t="shared" si="270"/>
        <v/>
      </c>
      <c r="AB667" s="2"/>
      <c r="AC667" s="94" t="str">
        <f t="shared" si="250"/>
        <v/>
      </c>
      <c r="AD667" s="95" t="str">
        <f t="shared" si="251"/>
        <v/>
      </c>
      <c r="AE667" s="96" t="str">
        <f t="shared" si="252"/>
        <v/>
      </c>
      <c r="AF667" s="124" t="str">
        <f t="shared" si="253"/>
        <v/>
      </c>
      <c r="AG667" s="2"/>
      <c r="AH667" s="2"/>
      <c r="AI667" s="2"/>
      <c r="AJ667" s="2"/>
      <c r="AK667" s="2"/>
      <c r="AL667" s="2"/>
    </row>
    <row r="668" spans="1:38" x14ac:dyDescent="0.2">
      <c r="A668" s="45"/>
      <c r="B668" s="43" t="str">
        <f t="shared" si="256"/>
        <v/>
      </c>
      <c r="C668" s="96" t="str">
        <f t="shared" si="255"/>
        <v/>
      </c>
      <c r="D668" s="44" t="str">
        <f t="shared" si="257"/>
        <v/>
      </c>
      <c r="E668" s="52"/>
      <c r="F668" s="63" t="str">
        <f t="shared" si="258"/>
        <v/>
      </c>
      <c r="G668" s="56" t="str">
        <f t="shared" si="259"/>
        <v/>
      </c>
      <c r="H668" s="42"/>
      <c r="I668" s="2" t="str">
        <f t="shared" si="260"/>
        <v/>
      </c>
      <c r="J668" s="54" t="str">
        <f t="shared" si="247"/>
        <v/>
      </c>
      <c r="K668" s="55" t="str">
        <f t="shared" si="261"/>
        <v/>
      </c>
      <c r="L668" s="63" t="str">
        <f t="shared" si="262"/>
        <v/>
      </c>
      <c r="M668" s="96" t="str">
        <f t="shared" si="248"/>
        <v/>
      </c>
      <c r="N668" s="96" t="str">
        <f>IF(A668="","",IF(A668=Expiry,0,EXP(-q*Q668)*_xlfn.NORM.S.DIST(Y668,0)/(sigma*SQRT(Q668))*I668*Mult/100))</f>
        <v/>
      </c>
      <c r="O668" s="96" t="str">
        <f>IF(A668="","",IF(A668=Expiry,0,D668*E668*E668*EXP(-q*Q668)*_xlfn.NORM.S.DIST(Y668,0)*SQRT(Q668)/100))</f>
        <v/>
      </c>
      <c r="P668" s="69" t="str">
        <f>IF(A668="","",IF(A668=Expiry,0,AK668*I668*Mult*((-EXP(-q*Q668)*E668*_xlfn.NORM.S.DIST(Y668,0)*sigma/(2*SQRT(Q668))-r_dom*K*EXP(-r_dom*Q668)*_xlfn.NORM.S.DIST(Z668,1)+q*E668*EXP(-q*Q668)*_xlfn.NORM.S.DIST(Y668,1))/365)))</f>
        <v/>
      </c>
      <c r="Q668" s="83" t="str">
        <f t="shared" si="263"/>
        <v/>
      </c>
      <c r="R668" s="38"/>
      <c r="S668" s="68" t="str">
        <f t="shared" si="264"/>
        <v/>
      </c>
      <c r="T668" s="69" t="str">
        <f t="shared" si="265"/>
        <v/>
      </c>
      <c r="U668" s="70" t="str">
        <f t="shared" si="266"/>
        <v/>
      </c>
      <c r="V668" s="72" t="str">
        <f t="shared" si="267"/>
        <v/>
      </c>
      <c r="W668" s="2" t="str">
        <f t="shared" si="254"/>
        <v/>
      </c>
      <c r="X668" s="2" t="str">
        <f t="shared" si="249"/>
        <v/>
      </c>
      <c r="Y668" s="35" t="str">
        <f t="shared" ca="1" si="268"/>
        <v/>
      </c>
      <c r="Z668" s="36" t="str">
        <f t="shared" ca="1" si="269"/>
        <v/>
      </c>
      <c r="AA668" s="70" t="str">
        <f t="shared" si="270"/>
        <v/>
      </c>
      <c r="AB668" s="2"/>
      <c r="AC668" s="94" t="str">
        <f t="shared" si="250"/>
        <v/>
      </c>
      <c r="AD668" s="95" t="str">
        <f t="shared" si="251"/>
        <v/>
      </c>
      <c r="AE668" s="96" t="str">
        <f t="shared" si="252"/>
        <v/>
      </c>
      <c r="AF668" s="124" t="str">
        <f t="shared" si="253"/>
        <v/>
      </c>
      <c r="AG668" s="2"/>
      <c r="AH668" s="2"/>
      <c r="AI668" s="2"/>
      <c r="AJ668" s="2"/>
      <c r="AK668" s="2"/>
      <c r="AL668" s="2"/>
    </row>
    <row r="669" spans="1:38" x14ac:dyDescent="0.2">
      <c r="A669" s="45"/>
      <c r="B669" s="43" t="str">
        <f t="shared" si="256"/>
        <v/>
      </c>
      <c r="C669" s="96" t="str">
        <f t="shared" si="255"/>
        <v/>
      </c>
      <c r="D669" s="44" t="str">
        <f t="shared" si="257"/>
        <v/>
      </c>
      <c r="E669" s="52"/>
      <c r="F669" s="63" t="str">
        <f t="shared" si="258"/>
        <v/>
      </c>
      <c r="G669" s="56" t="str">
        <f t="shared" si="259"/>
        <v/>
      </c>
      <c r="H669" s="42"/>
      <c r="I669" s="2" t="str">
        <f t="shared" si="260"/>
        <v/>
      </c>
      <c r="J669" s="54" t="str">
        <f t="shared" si="247"/>
        <v/>
      </c>
      <c r="K669" s="55" t="str">
        <f t="shared" si="261"/>
        <v/>
      </c>
      <c r="L669" s="63" t="str">
        <f t="shared" si="262"/>
        <v/>
      </c>
      <c r="M669" s="96" t="str">
        <f t="shared" si="248"/>
        <v/>
      </c>
      <c r="N669" s="96" t="str">
        <f>IF(A669="","",IF(A669=Expiry,0,EXP(-q*Q669)*_xlfn.NORM.S.DIST(Y669,0)/(sigma*SQRT(Q669))*I669*Mult/100))</f>
        <v/>
      </c>
      <c r="O669" s="96" t="str">
        <f>IF(A669="","",IF(A669=Expiry,0,D669*E669*E669*EXP(-q*Q669)*_xlfn.NORM.S.DIST(Y669,0)*SQRT(Q669)/100))</f>
        <v/>
      </c>
      <c r="P669" s="69" t="str">
        <f>IF(A669="","",IF(A669=Expiry,0,AK669*I669*Mult*((-EXP(-q*Q669)*E669*_xlfn.NORM.S.DIST(Y669,0)*sigma/(2*SQRT(Q669))-r_dom*K*EXP(-r_dom*Q669)*_xlfn.NORM.S.DIST(Z669,1)+q*E669*EXP(-q*Q669)*_xlfn.NORM.S.DIST(Y669,1))/365)))</f>
        <v/>
      </c>
      <c r="Q669" s="83" t="str">
        <f t="shared" si="263"/>
        <v/>
      </c>
      <c r="R669" s="38"/>
      <c r="S669" s="68" t="str">
        <f t="shared" si="264"/>
        <v/>
      </c>
      <c r="T669" s="69" t="str">
        <f t="shared" si="265"/>
        <v/>
      </c>
      <c r="U669" s="70" t="str">
        <f t="shared" si="266"/>
        <v/>
      </c>
      <c r="V669" s="72" t="str">
        <f t="shared" si="267"/>
        <v/>
      </c>
      <c r="W669" s="2" t="str">
        <f t="shared" si="254"/>
        <v/>
      </c>
      <c r="X669" s="2" t="str">
        <f t="shared" si="249"/>
        <v/>
      </c>
      <c r="Y669" s="35" t="str">
        <f t="shared" ca="1" si="268"/>
        <v/>
      </c>
      <c r="Z669" s="36" t="str">
        <f t="shared" ca="1" si="269"/>
        <v/>
      </c>
      <c r="AA669" s="70" t="str">
        <f t="shared" si="270"/>
        <v/>
      </c>
      <c r="AB669" s="2"/>
      <c r="AC669" s="94" t="str">
        <f t="shared" si="250"/>
        <v/>
      </c>
      <c r="AD669" s="95" t="str">
        <f t="shared" si="251"/>
        <v/>
      </c>
      <c r="AE669" s="96" t="str">
        <f t="shared" si="252"/>
        <v/>
      </c>
      <c r="AF669" s="124" t="str">
        <f t="shared" si="253"/>
        <v/>
      </c>
      <c r="AG669" s="2"/>
      <c r="AH669" s="2"/>
      <c r="AI669" s="2"/>
      <c r="AJ669" s="2"/>
      <c r="AK669" s="2"/>
      <c r="AL669" s="2"/>
    </row>
    <row r="670" spans="1:38" x14ac:dyDescent="0.2">
      <c r="A670" s="45"/>
      <c r="B670" s="43" t="str">
        <f t="shared" si="256"/>
        <v/>
      </c>
      <c r="C670" s="96" t="str">
        <f t="shared" si="255"/>
        <v/>
      </c>
      <c r="D670" s="44" t="str">
        <f t="shared" si="257"/>
        <v/>
      </c>
      <c r="E670" s="52"/>
      <c r="F670" s="63" t="str">
        <f t="shared" si="258"/>
        <v/>
      </c>
      <c r="G670" s="56" t="str">
        <f t="shared" si="259"/>
        <v/>
      </c>
      <c r="H670" s="42"/>
      <c r="I670" s="2" t="str">
        <f t="shared" si="260"/>
        <v/>
      </c>
      <c r="J670" s="54" t="str">
        <f t="shared" si="247"/>
        <v/>
      </c>
      <c r="K670" s="55" t="str">
        <f t="shared" si="261"/>
        <v/>
      </c>
      <c r="L670" s="63" t="str">
        <f t="shared" si="262"/>
        <v/>
      </c>
      <c r="M670" s="96" t="str">
        <f t="shared" si="248"/>
        <v/>
      </c>
      <c r="N670" s="96" t="str">
        <f>IF(A670="","",IF(A670=Expiry,0,EXP(-q*Q670)*_xlfn.NORM.S.DIST(Y670,0)/(sigma*SQRT(Q670))*I670*Mult/100))</f>
        <v/>
      </c>
      <c r="O670" s="96" t="str">
        <f>IF(A670="","",IF(A670=Expiry,0,D670*E670*E670*EXP(-q*Q670)*_xlfn.NORM.S.DIST(Y670,0)*SQRT(Q670)/100))</f>
        <v/>
      </c>
      <c r="P670" s="69" t="str">
        <f>IF(A670="","",IF(A670=Expiry,0,AK670*I670*Mult*((-EXP(-q*Q670)*E670*_xlfn.NORM.S.DIST(Y670,0)*sigma/(2*SQRT(Q670))-r_dom*K*EXP(-r_dom*Q670)*_xlfn.NORM.S.DIST(Z670,1)+q*E670*EXP(-q*Q670)*_xlfn.NORM.S.DIST(Y670,1))/365)))</f>
        <v/>
      </c>
      <c r="Q670" s="83" t="str">
        <f t="shared" si="263"/>
        <v/>
      </c>
      <c r="R670" s="38"/>
      <c r="S670" s="68" t="str">
        <f t="shared" si="264"/>
        <v/>
      </c>
      <c r="T670" s="69" t="str">
        <f t="shared" si="265"/>
        <v/>
      </c>
      <c r="U670" s="70" t="str">
        <f t="shared" si="266"/>
        <v/>
      </c>
      <c r="V670" s="72" t="str">
        <f t="shared" si="267"/>
        <v/>
      </c>
      <c r="W670" s="2" t="str">
        <f t="shared" si="254"/>
        <v/>
      </c>
      <c r="X670" s="2" t="str">
        <f t="shared" si="249"/>
        <v/>
      </c>
      <c r="Y670" s="35" t="str">
        <f t="shared" ca="1" si="268"/>
        <v/>
      </c>
      <c r="Z670" s="36" t="str">
        <f t="shared" ca="1" si="269"/>
        <v/>
      </c>
      <c r="AA670" s="70" t="str">
        <f t="shared" si="270"/>
        <v/>
      </c>
      <c r="AB670" s="2"/>
      <c r="AC670" s="94" t="str">
        <f t="shared" si="250"/>
        <v/>
      </c>
      <c r="AD670" s="95" t="str">
        <f t="shared" si="251"/>
        <v/>
      </c>
      <c r="AE670" s="96" t="str">
        <f t="shared" si="252"/>
        <v/>
      </c>
      <c r="AF670" s="124" t="str">
        <f t="shared" si="253"/>
        <v/>
      </c>
      <c r="AG670" s="2"/>
      <c r="AH670" s="2"/>
      <c r="AI670" s="2"/>
      <c r="AJ670" s="2"/>
      <c r="AK670" s="2"/>
      <c r="AL670" s="2"/>
    </row>
    <row r="671" spans="1:38" x14ac:dyDescent="0.2">
      <c r="A671" s="45"/>
      <c r="B671" s="43" t="str">
        <f t="shared" si="256"/>
        <v/>
      </c>
      <c r="C671" s="96" t="str">
        <f t="shared" si="255"/>
        <v/>
      </c>
      <c r="D671" s="44" t="str">
        <f t="shared" si="257"/>
        <v/>
      </c>
      <c r="E671" s="52"/>
      <c r="F671" s="63" t="str">
        <f t="shared" si="258"/>
        <v/>
      </c>
      <c r="G671" s="56" t="str">
        <f t="shared" si="259"/>
        <v/>
      </c>
      <c r="H671" s="42"/>
      <c r="I671" s="2" t="str">
        <f t="shared" si="260"/>
        <v/>
      </c>
      <c r="J671" s="54" t="str">
        <f t="shared" si="247"/>
        <v/>
      </c>
      <c r="K671" s="55" t="str">
        <f t="shared" si="261"/>
        <v/>
      </c>
      <c r="L671" s="63" t="str">
        <f t="shared" si="262"/>
        <v/>
      </c>
      <c r="M671" s="96" t="str">
        <f t="shared" si="248"/>
        <v/>
      </c>
      <c r="N671" s="96" t="str">
        <f>IF(A671="","",IF(A671=Expiry,0,EXP(-q*Q671)*_xlfn.NORM.S.DIST(Y671,0)/(sigma*SQRT(Q671))*I671*Mult/100))</f>
        <v/>
      </c>
      <c r="O671" s="96" t="str">
        <f>IF(A671="","",IF(A671=Expiry,0,D671*E671*E671*EXP(-q*Q671)*_xlfn.NORM.S.DIST(Y671,0)*SQRT(Q671)/100))</f>
        <v/>
      </c>
      <c r="P671" s="69" t="str">
        <f>IF(A671="","",IF(A671=Expiry,0,AK671*I671*Mult*((-EXP(-q*Q671)*E671*_xlfn.NORM.S.DIST(Y671,0)*sigma/(2*SQRT(Q671))-r_dom*K*EXP(-r_dom*Q671)*_xlfn.NORM.S.DIST(Z671,1)+q*E671*EXP(-q*Q671)*_xlfn.NORM.S.DIST(Y671,1))/365)))</f>
        <v/>
      </c>
      <c r="Q671" s="83" t="str">
        <f t="shared" si="263"/>
        <v/>
      </c>
      <c r="R671" s="38"/>
      <c r="S671" s="68" t="str">
        <f t="shared" si="264"/>
        <v/>
      </c>
      <c r="T671" s="69" t="str">
        <f t="shared" si="265"/>
        <v/>
      </c>
      <c r="U671" s="70" t="str">
        <f t="shared" si="266"/>
        <v/>
      </c>
      <c r="V671" s="72" t="str">
        <f t="shared" si="267"/>
        <v/>
      </c>
      <c r="W671" s="2" t="str">
        <f t="shared" si="254"/>
        <v/>
      </c>
      <c r="X671" s="2" t="str">
        <f t="shared" si="249"/>
        <v/>
      </c>
      <c r="Y671" s="35" t="str">
        <f t="shared" ca="1" si="268"/>
        <v/>
      </c>
      <c r="Z671" s="36" t="str">
        <f t="shared" ca="1" si="269"/>
        <v/>
      </c>
      <c r="AA671" s="70" t="str">
        <f t="shared" si="270"/>
        <v/>
      </c>
      <c r="AB671" s="2"/>
      <c r="AC671" s="94" t="str">
        <f t="shared" si="250"/>
        <v/>
      </c>
      <c r="AD671" s="95" t="str">
        <f t="shared" si="251"/>
        <v/>
      </c>
      <c r="AE671" s="96" t="str">
        <f t="shared" si="252"/>
        <v/>
      </c>
      <c r="AF671" s="124" t="str">
        <f t="shared" si="253"/>
        <v/>
      </c>
      <c r="AG671" s="2"/>
      <c r="AH671" s="2"/>
      <c r="AI671" s="2"/>
      <c r="AJ671" s="2"/>
      <c r="AK671" s="2"/>
      <c r="AL671" s="2"/>
    </row>
    <row r="672" spans="1:38" x14ac:dyDescent="0.2">
      <c r="A672" s="45"/>
      <c r="B672" s="43" t="str">
        <f t="shared" si="256"/>
        <v/>
      </c>
      <c r="C672" s="96" t="str">
        <f t="shared" si="255"/>
        <v/>
      </c>
      <c r="D672" s="44" t="str">
        <f t="shared" si="257"/>
        <v/>
      </c>
      <c r="E672" s="52"/>
      <c r="F672" s="63" t="str">
        <f t="shared" si="258"/>
        <v/>
      </c>
      <c r="G672" s="56" t="str">
        <f t="shared" si="259"/>
        <v/>
      </c>
      <c r="H672" s="42"/>
      <c r="I672" s="2" t="str">
        <f t="shared" si="260"/>
        <v/>
      </c>
      <c r="J672" s="54" t="str">
        <f t="shared" si="247"/>
        <v/>
      </c>
      <c r="K672" s="55" t="str">
        <f t="shared" si="261"/>
        <v/>
      </c>
      <c r="L672" s="63" t="str">
        <f t="shared" si="262"/>
        <v/>
      </c>
      <c r="M672" s="96" t="str">
        <f t="shared" si="248"/>
        <v/>
      </c>
      <c r="N672" s="96" t="str">
        <f>IF(A672="","",IF(A672=Expiry,0,EXP(-q*Q672)*_xlfn.NORM.S.DIST(Y672,0)/(sigma*SQRT(Q672))*I672*Mult/100))</f>
        <v/>
      </c>
      <c r="O672" s="96" t="str">
        <f>IF(A672="","",IF(A672=Expiry,0,D672*E672*E672*EXP(-q*Q672)*_xlfn.NORM.S.DIST(Y672,0)*SQRT(Q672)/100))</f>
        <v/>
      </c>
      <c r="P672" s="69" t="str">
        <f>IF(A672="","",IF(A672=Expiry,0,AK672*I672*Mult*((-EXP(-q*Q672)*E672*_xlfn.NORM.S.DIST(Y672,0)*sigma/(2*SQRT(Q672))-r_dom*K*EXP(-r_dom*Q672)*_xlfn.NORM.S.DIST(Z672,1)+q*E672*EXP(-q*Q672)*_xlfn.NORM.S.DIST(Y672,1))/365)))</f>
        <v/>
      </c>
      <c r="Q672" s="83" t="str">
        <f t="shared" si="263"/>
        <v/>
      </c>
      <c r="R672" s="38"/>
      <c r="S672" s="68" t="str">
        <f t="shared" si="264"/>
        <v/>
      </c>
      <c r="T672" s="69" t="str">
        <f t="shared" si="265"/>
        <v/>
      </c>
      <c r="U672" s="70" t="str">
        <f t="shared" si="266"/>
        <v/>
      </c>
      <c r="V672" s="72" t="str">
        <f t="shared" si="267"/>
        <v/>
      </c>
      <c r="W672" s="2" t="str">
        <f t="shared" si="254"/>
        <v/>
      </c>
      <c r="X672" s="2" t="str">
        <f t="shared" si="249"/>
        <v/>
      </c>
      <c r="Y672" s="35" t="str">
        <f t="shared" ca="1" si="268"/>
        <v/>
      </c>
      <c r="Z672" s="36" t="str">
        <f t="shared" ca="1" si="269"/>
        <v/>
      </c>
      <c r="AA672" s="70" t="str">
        <f t="shared" si="270"/>
        <v/>
      </c>
      <c r="AB672" s="2"/>
      <c r="AC672" s="94" t="str">
        <f t="shared" si="250"/>
        <v/>
      </c>
      <c r="AD672" s="95" t="str">
        <f t="shared" si="251"/>
        <v/>
      </c>
      <c r="AE672" s="96" t="str">
        <f t="shared" si="252"/>
        <v/>
      </c>
      <c r="AF672" s="124" t="str">
        <f t="shared" si="253"/>
        <v/>
      </c>
      <c r="AG672" s="2"/>
      <c r="AH672" s="2"/>
      <c r="AI672" s="2"/>
      <c r="AJ672" s="2"/>
      <c r="AK672" s="2"/>
      <c r="AL672" s="2"/>
    </row>
    <row r="673" spans="1:38" x14ac:dyDescent="0.2">
      <c r="A673" s="45"/>
      <c r="B673" s="43" t="str">
        <f t="shared" si="256"/>
        <v/>
      </c>
      <c r="C673" s="96" t="str">
        <f t="shared" si="255"/>
        <v/>
      </c>
      <c r="D673" s="44" t="str">
        <f t="shared" si="257"/>
        <v/>
      </c>
      <c r="E673" s="52"/>
      <c r="F673" s="63" t="str">
        <f t="shared" si="258"/>
        <v/>
      </c>
      <c r="G673" s="56" t="str">
        <f t="shared" si="259"/>
        <v/>
      </c>
      <c r="H673" s="42"/>
      <c r="I673" s="2" t="str">
        <f t="shared" si="260"/>
        <v/>
      </c>
      <c r="J673" s="54" t="str">
        <f t="shared" si="247"/>
        <v/>
      </c>
      <c r="K673" s="55" t="str">
        <f t="shared" si="261"/>
        <v/>
      </c>
      <c r="L673" s="63" t="str">
        <f t="shared" si="262"/>
        <v/>
      </c>
      <c r="M673" s="96" t="str">
        <f t="shared" si="248"/>
        <v/>
      </c>
      <c r="N673" s="96" t="str">
        <f>IF(A673="","",IF(A673=Expiry,0,EXP(-q*Q673)*_xlfn.NORM.S.DIST(Y673,0)/(sigma*SQRT(Q673))*I673*Mult/100))</f>
        <v/>
      </c>
      <c r="O673" s="96" t="str">
        <f>IF(A673="","",IF(A673=Expiry,0,D673*E673*E673*EXP(-q*Q673)*_xlfn.NORM.S.DIST(Y673,0)*SQRT(Q673)/100))</f>
        <v/>
      </c>
      <c r="P673" s="69" t="str">
        <f>IF(A673="","",IF(A673=Expiry,0,AK673*I673*Mult*((-EXP(-q*Q673)*E673*_xlfn.NORM.S.DIST(Y673,0)*sigma/(2*SQRT(Q673))-r_dom*K*EXP(-r_dom*Q673)*_xlfn.NORM.S.DIST(Z673,1)+q*E673*EXP(-q*Q673)*_xlfn.NORM.S.DIST(Y673,1))/365)))</f>
        <v/>
      </c>
      <c r="Q673" s="83" t="str">
        <f t="shared" si="263"/>
        <v/>
      </c>
      <c r="R673" s="38"/>
      <c r="S673" s="68" t="str">
        <f t="shared" si="264"/>
        <v/>
      </c>
      <c r="T673" s="69" t="str">
        <f t="shared" si="265"/>
        <v/>
      </c>
      <c r="U673" s="70" t="str">
        <f t="shared" si="266"/>
        <v/>
      </c>
      <c r="V673" s="72" t="str">
        <f t="shared" si="267"/>
        <v/>
      </c>
      <c r="W673" s="2" t="str">
        <f t="shared" si="254"/>
        <v/>
      </c>
      <c r="X673" s="2" t="str">
        <f t="shared" si="249"/>
        <v/>
      </c>
      <c r="Y673" s="35" t="str">
        <f t="shared" ca="1" si="268"/>
        <v/>
      </c>
      <c r="Z673" s="36" t="str">
        <f t="shared" ca="1" si="269"/>
        <v/>
      </c>
      <c r="AA673" s="70" t="str">
        <f t="shared" si="270"/>
        <v/>
      </c>
      <c r="AB673" s="2"/>
      <c r="AC673" s="94" t="str">
        <f t="shared" si="250"/>
        <v/>
      </c>
      <c r="AD673" s="95" t="str">
        <f t="shared" si="251"/>
        <v/>
      </c>
      <c r="AE673" s="96" t="str">
        <f t="shared" si="252"/>
        <v/>
      </c>
      <c r="AF673" s="124" t="str">
        <f t="shared" si="253"/>
        <v/>
      </c>
      <c r="AG673" s="2"/>
      <c r="AH673" s="2"/>
      <c r="AI673" s="2"/>
      <c r="AJ673" s="2"/>
      <c r="AK673" s="2"/>
      <c r="AL673" s="2"/>
    </row>
    <row r="674" spans="1:38" x14ac:dyDescent="0.2">
      <c r="A674" s="45"/>
      <c r="B674" s="43" t="str">
        <f t="shared" si="256"/>
        <v/>
      </c>
      <c r="C674" s="96" t="str">
        <f t="shared" si="255"/>
        <v/>
      </c>
      <c r="D674" s="44" t="str">
        <f t="shared" si="257"/>
        <v/>
      </c>
      <c r="E674" s="52"/>
      <c r="F674" s="63" t="str">
        <f t="shared" si="258"/>
        <v/>
      </c>
      <c r="G674" s="56" t="str">
        <f t="shared" si="259"/>
        <v/>
      </c>
      <c r="H674" s="42"/>
      <c r="I674" s="2" t="str">
        <f t="shared" si="260"/>
        <v/>
      </c>
      <c r="J674" s="54" t="str">
        <f t="shared" si="247"/>
        <v/>
      </c>
      <c r="K674" s="55" t="str">
        <f t="shared" si="261"/>
        <v/>
      </c>
      <c r="L674" s="63" t="str">
        <f t="shared" si="262"/>
        <v/>
      </c>
      <c r="M674" s="96" t="str">
        <f t="shared" si="248"/>
        <v/>
      </c>
      <c r="N674" s="96" t="str">
        <f>IF(A674="","",IF(A674=Expiry,0,EXP(-q*Q674)*_xlfn.NORM.S.DIST(Y674,0)/(sigma*SQRT(Q674))*I674*Mult/100))</f>
        <v/>
      </c>
      <c r="O674" s="96" t="str">
        <f>IF(A674="","",IF(A674=Expiry,0,D674*E674*E674*EXP(-q*Q674)*_xlfn.NORM.S.DIST(Y674,0)*SQRT(Q674)/100))</f>
        <v/>
      </c>
      <c r="P674" s="69" t="str">
        <f>IF(A674="","",IF(A674=Expiry,0,AK674*I674*Mult*((-EXP(-q*Q674)*E674*_xlfn.NORM.S.DIST(Y674,0)*sigma/(2*SQRT(Q674))-r_dom*K*EXP(-r_dom*Q674)*_xlfn.NORM.S.DIST(Z674,1)+q*E674*EXP(-q*Q674)*_xlfn.NORM.S.DIST(Y674,1))/365)))</f>
        <v/>
      </c>
      <c r="Q674" s="83" t="str">
        <f t="shared" si="263"/>
        <v/>
      </c>
      <c r="R674" s="38"/>
      <c r="S674" s="68" t="str">
        <f t="shared" si="264"/>
        <v/>
      </c>
      <c r="T674" s="69" t="str">
        <f t="shared" si="265"/>
        <v/>
      </c>
      <c r="U674" s="70" t="str">
        <f t="shared" si="266"/>
        <v/>
      </c>
      <c r="V674" s="72" t="str">
        <f t="shared" si="267"/>
        <v/>
      </c>
      <c r="W674" s="2" t="str">
        <f t="shared" si="254"/>
        <v/>
      </c>
      <c r="X674" s="2" t="str">
        <f t="shared" si="249"/>
        <v/>
      </c>
      <c r="Y674" s="35" t="str">
        <f t="shared" ca="1" si="268"/>
        <v/>
      </c>
      <c r="Z674" s="36" t="str">
        <f t="shared" ca="1" si="269"/>
        <v/>
      </c>
      <c r="AA674" s="70" t="str">
        <f t="shared" si="270"/>
        <v/>
      </c>
      <c r="AB674" s="2"/>
      <c r="AC674" s="94" t="str">
        <f t="shared" si="250"/>
        <v/>
      </c>
      <c r="AD674" s="95" t="str">
        <f t="shared" si="251"/>
        <v/>
      </c>
      <c r="AE674" s="96" t="str">
        <f t="shared" si="252"/>
        <v/>
      </c>
      <c r="AF674" s="124" t="str">
        <f t="shared" si="253"/>
        <v/>
      </c>
      <c r="AG674" s="2"/>
      <c r="AH674" s="2"/>
      <c r="AI674" s="2"/>
      <c r="AJ674" s="2"/>
      <c r="AK674" s="2"/>
      <c r="AL674" s="2"/>
    </row>
    <row r="675" spans="1:38" x14ac:dyDescent="0.2">
      <c r="A675" s="45"/>
      <c r="B675" s="43" t="str">
        <f t="shared" si="256"/>
        <v/>
      </c>
      <c r="C675" s="96" t="str">
        <f t="shared" si="255"/>
        <v/>
      </c>
      <c r="D675" s="44" t="str">
        <f t="shared" si="257"/>
        <v/>
      </c>
      <c r="E675" s="52"/>
      <c r="F675" s="63" t="str">
        <f t="shared" si="258"/>
        <v/>
      </c>
      <c r="G675" s="56" t="str">
        <f t="shared" si="259"/>
        <v/>
      </c>
      <c r="H675" s="42"/>
      <c r="I675" s="2" t="str">
        <f t="shared" si="260"/>
        <v/>
      </c>
      <c r="J675" s="54" t="str">
        <f t="shared" si="247"/>
        <v/>
      </c>
      <c r="K675" s="55" t="str">
        <f t="shared" si="261"/>
        <v/>
      </c>
      <c r="L675" s="63" t="str">
        <f t="shared" si="262"/>
        <v/>
      </c>
      <c r="M675" s="96" t="str">
        <f t="shared" si="248"/>
        <v/>
      </c>
      <c r="N675" s="96" t="str">
        <f>IF(A675="","",IF(A675=Expiry,0,EXP(-q*Q675)*_xlfn.NORM.S.DIST(Y675,0)/(sigma*SQRT(Q675))*I675*Mult/100))</f>
        <v/>
      </c>
      <c r="O675" s="96" t="str">
        <f>IF(A675="","",IF(A675=Expiry,0,D675*E675*E675*EXP(-q*Q675)*_xlfn.NORM.S.DIST(Y675,0)*SQRT(Q675)/100))</f>
        <v/>
      </c>
      <c r="P675" s="69" t="str">
        <f>IF(A675="","",IF(A675=Expiry,0,AK675*I675*Mult*((-EXP(-q*Q675)*E675*_xlfn.NORM.S.DIST(Y675,0)*sigma/(2*SQRT(Q675))-r_dom*K*EXP(-r_dom*Q675)*_xlfn.NORM.S.DIST(Z675,1)+q*E675*EXP(-q*Q675)*_xlfn.NORM.S.DIST(Y675,1))/365)))</f>
        <v/>
      </c>
      <c r="Q675" s="83" t="str">
        <f t="shared" si="263"/>
        <v/>
      </c>
      <c r="R675" s="38"/>
      <c r="S675" s="68" t="str">
        <f t="shared" si="264"/>
        <v/>
      </c>
      <c r="T675" s="69" t="str">
        <f t="shared" si="265"/>
        <v/>
      </c>
      <c r="U675" s="70" t="str">
        <f t="shared" si="266"/>
        <v/>
      </c>
      <c r="V675" s="72" t="str">
        <f t="shared" si="267"/>
        <v/>
      </c>
      <c r="W675" s="2" t="str">
        <f t="shared" si="254"/>
        <v/>
      </c>
      <c r="X675" s="2" t="str">
        <f t="shared" si="249"/>
        <v/>
      </c>
      <c r="Y675" s="35" t="str">
        <f t="shared" ca="1" si="268"/>
        <v/>
      </c>
      <c r="Z675" s="36" t="str">
        <f t="shared" ca="1" si="269"/>
        <v/>
      </c>
      <c r="AA675" s="70" t="str">
        <f t="shared" si="270"/>
        <v/>
      </c>
      <c r="AB675" s="2"/>
      <c r="AC675" s="94" t="str">
        <f t="shared" si="250"/>
        <v/>
      </c>
      <c r="AD675" s="95" t="str">
        <f t="shared" si="251"/>
        <v/>
      </c>
      <c r="AE675" s="96" t="str">
        <f t="shared" si="252"/>
        <v/>
      </c>
      <c r="AF675" s="124" t="str">
        <f t="shared" si="253"/>
        <v/>
      </c>
      <c r="AG675" s="2"/>
      <c r="AH675" s="2"/>
      <c r="AI675" s="2"/>
      <c r="AJ675" s="2"/>
      <c r="AK675" s="2"/>
      <c r="AL675" s="2"/>
    </row>
    <row r="676" spans="1:38" x14ac:dyDescent="0.2">
      <c r="A676" s="45"/>
      <c r="B676" s="43" t="str">
        <f t="shared" si="256"/>
        <v/>
      </c>
      <c r="C676" s="96" t="str">
        <f t="shared" si="255"/>
        <v/>
      </c>
      <c r="D676" s="44" t="str">
        <f t="shared" si="257"/>
        <v/>
      </c>
      <c r="E676" s="52"/>
      <c r="F676" s="63" t="str">
        <f t="shared" si="258"/>
        <v/>
      </c>
      <c r="G676" s="56" t="str">
        <f t="shared" si="259"/>
        <v/>
      </c>
      <c r="H676" s="42"/>
      <c r="I676" s="2" t="str">
        <f t="shared" si="260"/>
        <v/>
      </c>
      <c r="J676" s="54" t="str">
        <f t="shared" ref="J676:J739" si="271">IF(CorP="C",AC676,AD676)</f>
        <v/>
      </c>
      <c r="K676" s="55" t="str">
        <f t="shared" si="261"/>
        <v/>
      </c>
      <c r="L676" s="63" t="str">
        <f t="shared" si="262"/>
        <v/>
      </c>
      <c r="M676" s="96" t="str">
        <f t="shared" ref="M676:M739" si="272">IF(CorP="C",AE676,AF676)</f>
        <v/>
      </c>
      <c r="N676" s="96" t="str">
        <f>IF(A676="","",IF(A676=Expiry,0,EXP(-q*Q676)*_xlfn.NORM.S.DIST(Y676,0)/(sigma*SQRT(Q676))*I676*Mult/100))</f>
        <v/>
      </c>
      <c r="O676" s="96" t="str">
        <f>IF(A676="","",IF(A676=Expiry,0,D676*E676*E676*EXP(-q*Q676)*_xlfn.NORM.S.DIST(Y676,0)*SQRT(Q676)/100))</f>
        <v/>
      </c>
      <c r="P676" s="69" t="str">
        <f>IF(A676="","",IF(A676=Expiry,0,AK676*I676*Mult*((-EXP(-q*Q676)*E676*_xlfn.NORM.S.DIST(Y676,0)*sigma/(2*SQRT(Q676))-r_dom*K*EXP(-r_dom*Q676)*_xlfn.NORM.S.DIST(Z676,1)+q*E676*EXP(-q*Q676)*_xlfn.NORM.S.DIST(Y676,1))/365)))</f>
        <v/>
      </c>
      <c r="Q676" s="83" t="str">
        <f t="shared" si="263"/>
        <v/>
      </c>
      <c r="R676" s="38"/>
      <c r="S676" s="68" t="str">
        <f t="shared" si="264"/>
        <v/>
      </c>
      <c r="T676" s="69" t="str">
        <f t="shared" si="265"/>
        <v/>
      </c>
      <c r="U676" s="70" t="str">
        <f t="shared" si="266"/>
        <v/>
      </c>
      <c r="V676" s="72" t="str">
        <f t="shared" si="267"/>
        <v/>
      </c>
      <c r="W676" s="2" t="str">
        <f t="shared" si="254"/>
        <v/>
      </c>
      <c r="X676" s="2" t="str">
        <f t="shared" ref="X676:X739" si="273">IF(A676="","",K)</f>
        <v/>
      </c>
      <c r="Y676" s="35" t="str">
        <f t="shared" ca="1" si="268"/>
        <v/>
      </c>
      <c r="Z676" s="36" t="str">
        <f t="shared" ca="1" si="269"/>
        <v/>
      </c>
      <c r="AA676" s="70" t="str">
        <f t="shared" si="270"/>
        <v/>
      </c>
      <c r="AB676" s="2"/>
      <c r="AC676" s="94" t="str">
        <f t="shared" ref="AC676:AC739" si="274">IF(A676="","",IF(A676=Expiry,MAX(E676-K,0),E676*EXP(-q*Q676)*_xlfn.NORM.S.DIST(Y676,1)-K*EXP(-r_dom*Q676)*_xlfn.NORM.S.DIST(Z676,1)))</f>
        <v/>
      </c>
      <c r="AD676" s="95" t="str">
        <f t="shared" ref="AD676:AD739" si="275">IF(A676="","",IF(A676=Expiry,MAX(K-E676,0),K*EXP(-r_dom*Q676)*_xlfn.NORM.S.DIST(-Z676,1)-E676*EXP(-q*Q676)*_xlfn.NORM.S.DIST(-Y676,1)))</f>
        <v/>
      </c>
      <c r="AE676" s="96" t="str">
        <f t="shared" ref="AE676:AE739" si="276">IF(A676="","",I676*Mult*IF(A676=Expiry,IF(E676&gt;K,1,0),EXP(-q*Q676)*_xlfn.NORM.S.DIST(Y676,1)))</f>
        <v/>
      </c>
      <c r="AF676" s="124" t="str">
        <f t="shared" ref="AF676:AF739" si="277">IF(A676="","",I676*Mult*IF(A676=Expiry,IF(E676&lt;K,-1,0),-EXP(-q*Q676)*_xlfn.NORM.S.DIST(-Y676,1)))</f>
        <v/>
      </c>
      <c r="AG676" s="2"/>
      <c r="AH676" s="2"/>
      <c r="AI676" s="2"/>
      <c r="AJ676" s="2"/>
      <c r="AK676" s="2"/>
      <c r="AL676" s="2"/>
    </row>
    <row r="677" spans="1:38" x14ac:dyDescent="0.2">
      <c r="A677" s="45"/>
      <c r="B677" s="43" t="str">
        <f t="shared" si="256"/>
        <v/>
      </c>
      <c r="C677" s="96" t="str">
        <f t="shared" si="255"/>
        <v/>
      </c>
      <c r="D677" s="44" t="str">
        <f t="shared" si="257"/>
        <v/>
      </c>
      <c r="E677" s="52"/>
      <c r="F677" s="63" t="str">
        <f t="shared" si="258"/>
        <v/>
      </c>
      <c r="G677" s="56" t="str">
        <f t="shared" si="259"/>
        <v/>
      </c>
      <c r="H677" s="42"/>
      <c r="I677" s="2" t="str">
        <f t="shared" si="260"/>
        <v/>
      </c>
      <c r="J677" s="54" t="str">
        <f t="shared" si="271"/>
        <v/>
      </c>
      <c r="K677" s="55" t="str">
        <f t="shared" si="261"/>
        <v/>
      </c>
      <c r="L677" s="63" t="str">
        <f t="shared" si="262"/>
        <v/>
      </c>
      <c r="M677" s="96" t="str">
        <f t="shared" si="272"/>
        <v/>
      </c>
      <c r="N677" s="96" t="str">
        <f>IF(A677="","",IF(A677=Expiry,0,EXP(-q*Q677)*_xlfn.NORM.S.DIST(Y677,0)/(sigma*SQRT(Q677))*I677*Mult/100))</f>
        <v/>
      </c>
      <c r="O677" s="96" t="str">
        <f>IF(A677="","",IF(A677=Expiry,0,D677*E677*E677*EXP(-q*Q677)*_xlfn.NORM.S.DIST(Y677,0)*SQRT(Q677)/100))</f>
        <v/>
      </c>
      <c r="P677" s="69" t="str">
        <f>IF(A677="","",IF(A677=Expiry,0,AK677*I677*Mult*((-EXP(-q*Q677)*E677*_xlfn.NORM.S.DIST(Y677,0)*sigma/(2*SQRT(Q677))-r_dom*K*EXP(-r_dom*Q677)*_xlfn.NORM.S.DIST(Z677,1)+q*E677*EXP(-q*Q677)*_xlfn.NORM.S.DIST(Y677,1))/365)))</f>
        <v/>
      </c>
      <c r="Q677" s="83" t="str">
        <f t="shared" si="263"/>
        <v/>
      </c>
      <c r="R677" s="38"/>
      <c r="S677" s="68" t="str">
        <f t="shared" si="264"/>
        <v/>
      </c>
      <c r="T677" s="69" t="str">
        <f t="shared" si="265"/>
        <v/>
      </c>
      <c r="U677" s="70" t="str">
        <f t="shared" si="266"/>
        <v/>
      </c>
      <c r="V677" s="72" t="str">
        <f t="shared" si="267"/>
        <v/>
      </c>
      <c r="W677" s="2" t="str">
        <f t="shared" ref="W677:W740" si="278">IF(A677="","",100)</f>
        <v/>
      </c>
      <c r="X677" s="2" t="str">
        <f t="shared" si="273"/>
        <v/>
      </c>
      <c r="Y677" s="35" t="str">
        <f t="shared" ca="1" si="268"/>
        <v/>
      </c>
      <c r="Z677" s="36" t="str">
        <f t="shared" ca="1" si="269"/>
        <v/>
      </c>
      <c r="AA677" s="70" t="str">
        <f t="shared" si="270"/>
        <v/>
      </c>
      <c r="AB677" s="2"/>
      <c r="AC677" s="94" t="str">
        <f t="shared" si="274"/>
        <v/>
      </c>
      <c r="AD677" s="95" t="str">
        <f t="shared" si="275"/>
        <v/>
      </c>
      <c r="AE677" s="96" t="str">
        <f t="shared" si="276"/>
        <v/>
      </c>
      <c r="AF677" s="124" t="str">
        <f t="shared" si="277"/>
        <v/>
      </c>
      <c r="AG677" s="2"/>
      <c r="AH677" s="2"/>
      <c r="AI677" s="2"/>
      <c r="AJ677" s="2"/>
      <c r="AK677" s="2"/>
      <c r="AL677" s="2"/>
    </row>
    <row r="678" spans="1:38" x14ac:dyDescent="0.2">
      <c r="A678" s="45"/>
      <c r="B678" s="43" t="str">
        <f t="shared" si="256"/>
        <v/>
      </c>
      <c r="C678" s="96" t="str">
        <f t="shared" ref="C678:C741" si="279">IF(A678="","",C677+B678)</f>
        <v/>
      </c>
      <c r="D678" s="44" t="str">
        <f t="shared" si="257"/>
        <v/>
      </c>
      <c r="E678" s="52"/>
      <c r="F678" s="63" t="str">
        <f t="shared" si="258"/>
        <v/>
      </c>
      <c r="G678" s="56" t="str">
        <f t="shared" si="259"/>
        <v/>
      </c>
      <c r="H678" s="42"/>
      <c r="I678" s="2" t="str">
        <f t="shared" si="260"/>
        <v/>
      </c>
      <c r="J678" s="54" t="str">
        <f t="shared" si="271"/>
        <v/>
      </c>
      <c r="K678" s="55" t="str">
        <f t="shared" si="261"/>
        <v/>
      </c>
      <c r="L678" s="63" t="str">
        <f t="shared" si="262"/>
        <v/>
      </c>
      <c r="M678" s="96" t="str">
        <f t="shared" si="272"/>
        <v/>
      </c>
      <c r="N678" s="96" t="str">
        <f>IF(A678="","",IF(A678=Expiry,0,EXP(-q*Q678)*_xlfn.NORM.S.DIST(Y678,0)/(sigma*SQRT(Q678))*I678*Mult/100))</f>
        <v/>
      </c>
      <c r="O678" s="96" t="str">
        <f>IF(A678="","",IF(A678=Expiry,0,D678*E678*E678*EXP(-q*Q678)*_xlfn.NORM.S.DIST(Y678,0)*SQRT(Q678)/100))</f>
        <v/>
      </c>
      <c r="P678" s="69" t="str">
        <f>IF(A678="","",IF(A678=Expiry,0,AK678*I678*Mult*((-EXP(-q*Q678)*E678*_xlfn.NORM.S.DIST(Y678,0)*sigma/(2*SQRT(Q678))-r_dom*K*EXP(-r_dom*Q678)*_xlfn.NORM.S.DIST(Z678,1)+q*E678*EXP(-q*Q678)*_xlfn.NORM.S.DIST(Y678,1))/365)))</f>
        <v/>
      </c>
      <c r="Q678" s="83" t="str">
        <f t="shared" si="263"/>
        <v/>
      </c>
      <c r="R678" s="38"/>
      <c r="S678" s="68" t="str">
        <f t="shared" si="264"/>
        <v/>
      </c>
      <c r="T678" s="69" t="str">
        <f t="shared" si="265"/>
        <v/>
      </c>
      <c r="U678" s="70" t="str">
        <f t="shared" si="266"/>
        <v/>
      </c>
      <c r="V678" s="72" t="str">
        <f t="shared" si="267"/>
        <v/>
      </c>
      <c r="W678" s="2" t="str">
        <f t="shared" si="278"/>
        <v/>
      </c>
      <c r="X678" s="2" t="str">
        <f t="shared" si="273"/>
        <v/>
      </c>
      <c r="Y678" s="35" t="str">
        <f t="shared" ca="1" si="268"/>
        <v/>
      </c>
      <c r="Z678" s="36" t="str">
        <f t="shared" ca="1" si="269"/>
        <v/>
      </c>
      <c r="AA678" s="70" t="str">
        <f t="shared" si="270"/>
        <v/>
      </c>
      <c r="AB678" s="2"/>
      <c r="AC678" s="94" t="str">
        <f t="shared" si="274"/>
        <v/>
      </c>
      <c r="AD678" s="95" t="str">
        <f t="shared" si="275"/>
        <v/>
      </c>
      <c r="AE678" s="96" t="str">
        <f t="shared" si="276"/>
        <v/>
      </c>
      <c r="AF678" s="124" t="str">
        <f t="shared" si="277"/>
        <v/>
      </c>
      <c r="AG678" s="2"/>
      <c r="AH678" s="2"/>
      <c r="AI678" s="2"/>
      <c r="AJ678" s="2"/>
      <c r="AK678" s="2"/>
      <c r="AL678" s="2"/>
    </row>
    <row r="679" spans="1:38" x14ac:dyDescent="0.2">
      <c r="A679" s="45"/>
      <c r="B679" s="43" t="str">
        <f t="shared" si="256"/>
        <v/>
      </c>
      <c r="C679" s="96" t="str">
        <f t="shared" si="279"/>
        <v/>
      </c>
      <c r="D679" s="44" t="str">
        <f t="shared" si="257"/>
        <v/>
      </c>
      <c r="E679" s="52"/>
      <c r="F679" s="63" t="str">
        <f t="shared" si="258"/>
        <v/>
      </c>
      <c r="G679" s="56" t="str">
        <f t="shared" si="259"/>
        <v/>
      </c>
      <c r="H679" s="42"/>
      <c r="I679" s="2" t="str">
        <f t="shared" si="260"/>
        <v/>
      </c>
      <c r="J679" s="54" t="str">
        <f t="shared" si="271"/>
        <v/>
      </c>
      <c r="K679" s="55" t="str">
        <f t="shared" si="261"/>
        <v/>
      </c>
      <c r="L679" s="63" t="str">
        <f t="shared" si="262"/>
        <v/>
      </c>
      <c r="M679" s="96" t="str">
        <f t="shared" si="272"/>
        <v/>
      </c>
      <c r="N679" s="96" t="str">
        <f>IF(A679="","",IF(A679=Expiry,0,EXP(-q*Q679)*_xlfn.NORM.S.DIST(Y679,0)/(sigma*SQRT(Q679))*I679*Mult/100))</f>
        <v/>
      </c>
      <c r="O679" s="96" t="str">
        <f>IF(A679="","",IF(A679=Expiry,0,D679*E679*E679*EXP(-q*Q679)*_xlfn.NORM.S.DIST(Y679,0)*SQRT(Q679)/100))</f>
        <v/>
      </c>
      <c r="P679" s="69" t="str">
        <f>IF(A679="","",IF(A679=Expiry,0,AK679*I679*Mult*((-EXP(-q*Q679)*E679*_xlfn.NORM.S.DIST(Y679,0)*sigma/(2*SQRT(Q679))-r_dom*K*EXP(-r_dom*Q679)*_xlfn.NORM.S.DIST(Z679,1)+q*E679*EXP(-q*Q679)*_xlfn.NORM.S.DIST(Y679,1))/365)))</f>
        <v/>
      </c>
      <c r="Q679" s="83" t="str">
        <f t="shared" si="263"/>
        <v/>
      </c>
      <c r="R679" s="38"/>
      <c r="S679" s="68" t="str">
        <f t="shared" si="264"/>
        <v/>
      </c>
      <c r="T679" s="69" t="str">
        <f t="shared" si="265"/>
        <v/>
      </c>
      <c r="U679" s="70" t="str">
        <f t="shared" si="266"/>
        <v/>
      </c>
      <c r="V679" s="72" t="str">
        <f t="shared" si="267"/>
        <v/>
      </c>
      <c r="W679" s="2" t="str">
        <f t="shared" si="278"/>
        <v/>
      </c>
      <c r="X679" s="2" t="str">
        <f t="shared" si="273"/>
        <v/>
      </c>
      <c r="Y679" s="35" t="str">
        <f t="shared" ca="1" si="268"/>
        <v/>
      </c>
      <c r="Z679" s="36" t="str">
        <f t="shared" ca="1" si="269"/>
        <v/>
      </c>
      <c r="AA679" s="70" t="str">
        <f t="shared" si="270"/>
        <v/>
      </c>
      <c r="AB679" s="2"/>
      <c r="AC679" s="94" t="str">
        <f t="shared" si="274"/>
        <v/>
      </c>
      <c r="AD679" s="95" t="str">
        <f t="shared" si="275"/>
        <v/>
      </c>
      <c r="AE679" s="96" t="str">
        <f t="shared" si="276"/>
        <v/>
      </c>
      <c r="AF679" s="124" t="str">
        <f t="shared" si="277"/>
        <v/>
      </c>
      <c r="AG679" s="2"/>
      <c r="AH679" s="2"/>
      <c r="AI679" s="2"/>
      <c r="AJ679" s="2"/>
      <c r="AK679" s="2"/>
      <c r="AL679" s="2"/>
    </row>
    <row r="680" spans="1:38" x14ac:dyDescent="0.2">
      <c r="A680" s="45"/>
      <c r="B680" s="43" t="str">
        <f t="shared" si="256"/>
        <v/>
      </c>
      <c r="C680" s="96" t="str">
        <f t="shared" si="279"/>
        <v/>
      </c>
      <c r="D680" s="44" t="str">
        <f t="shared" si="257"/>
        <v/>
      </c>
      <c r="E680" s="52"/>
      <c r="F680" s="63" t="str">
        <f t="shared" si="258"/>
        <v/>
      </c>
      <c r="G680" s="56" t="str">
        <f t="shared" si="259"/>
        <v/>
      </c>
      <c r="H680" s="42"/>
      <c r="I680" s="2" t="str">
        <f t="shared" si="260"/>
        <v/>
      </c>
      <c r="J680" s="54" t="str">
        <f t="shared" si="271"/>
        <v/>
      </c>
      <c r="K680" s="55" t="str">
        <f t="shared" si="261"/>
        <v/>
      </c>
      <c r="L680" s="63" t="str">
        <f t="shared" si="262"/>
        <v/>
      </c>
      <c r="M680" s="96" t="str">
        <f t="shared" si="272"/>
        <v/>
      </c>
      <c r="N680" s="96" t="str">
        <f>IF(A680="","",IF(A680=Expiry,0,EXP(-q*Q680)*_xlfn.NORM.S.DIST(Y680,0)/(sigma*SQRT(Q680))*I680*Mult/100))</f>
        <v/>
      </c>
      <c r="O680" s="96" t="str">
        <f>IF(A680="","",IF(A680=Expiry,0,D680*E680*E680*EXP(-q*Q680)*_xlfn.NORM.S.DIST(Y680,0)*SQRT(Q680)/100))</f>
        <v/>
      </c>
      <c r="P680" s="69" t="str">
        <f>IF(A680="","",IF(A680=Expiry,0,AK680*I680*Mult*((-EXP(-q*Q680)*E680*_xlfn.NORM.S.DIST(Y680,0)*sigma/(2*SQRT(Q680))-r_dom*K*EXP(-r_dom*Q680)*_xlfn.NORM.S.DIST(Z680,1)+q*E680*EXP(-q*Q680)*_xlfn.NORM.S.DIST(Y680,1))/365)))</f>
        <v/>
      </c>
      <c r="Q680" s="83" t="str">
        <f t="shared" si="263"/>
        <v/>
      </c>
      <c r="R680" s="38"/>
      <c r="S680" s="68" t="str">
        <f t="shared" si="264"/>
        <v/>
      </c>
      <c r="T680" s="69" t="str">
        <f t="shared" si="265"/>
        <v/>
      </c>
      <c r="U680" s="70" t="str">
        <f t="shared" si="266"/>
        <v/>
      </c>
      <c r="V680" s="72" t="str">
        <f t="shared" si="267"/>
        <v/>
      </c>
      <c r="W680" s="2" t="str">
        <f t="shared" si="278"/>
        <v/>
      </c>
      <c r="X680" s="2" t="str">
        <f t="shared" si="273"/>
        <v/>
      </c>
      <c r="Y680" s="35" t="str">
        <f t="shared" ca="1" si="268"/>
        <v/>
      </c>
      <c r="Z680" s="36" t="str">
        <f t="shared" ca="1" si="269"/>
        <v/>
      </c>
      <c r="AA680" s="70" t="str">
        <f t="shared" si="270"/>
        <v/>
      </c>
      <c r="AB680" s="2"/>
      <c r="AC680" s="94" t="str">
        <f t="shared" si="274"/>
        <v/>
      </c>
      <c r="AD680" s="95" t="str">
        <f t="shared" si="275"/>
        <v/>
      </c>
      <c r="AE680" s="96" t="str">
        <f t="shared" si="276"/>
        <v/>
      </c>
      <c r="AF680" s="124" t="str">
        <f t="shared" si="277"/>
        <v/>
      </c>
      <c r="AG680" s="2"/>
      <c r="AH680" s="2"/>
      <c r="AI680" s="2"/>
      <c r="AJ680" s="2"/>
      <c r="AK680" s="2"/>
      <c r="AL680" s="2"/>
    </row>
    <row r="681" spans="1:38" x14ac:dyDescent="0.2">
      <c r="A681" s="45"/>
      <c r="B681" s="43" t="str">
        <f t="shared" si="256"/>
        <v/>
      </c>
      <c r="C681" s="96" t="str">
        <f t="shared" si="279"/>
        <v/>
      </c>
      <c r="D681" s="44" t="str">
        <f t="shared" si="257"/>
        <v/>
      </c>
      <c r="E681" s="52"/>
      <c r="F681" s="63" t="str">
        <f t="shared" si="258"/>
        <v/>
      </c>
      <c r="G681" s="56" t="str">
        <f t="shared" si="259"/>
        <v/>
      </c>
      <c r="H681" s="42"/>
      <c r="I681" s="2" t="str">
        <f t="shared" si="260"/>
        <v/>
      </c>
      <c r="J681" s="54" t="str">
        <f t="shared" si="271"/>
        <v/>
      </c>
      <c r="K681" s="55" t="str">
        <f t="shared" si="261"/>
        <v/>
      </c>
      <c r="L681" s="63" t="str">
        <f t="shared" si="262"/>
        <v/>
      </c>
      <c r="M681" s="96" t="str">
        <f t="shared" si="272"/>
        <v/>
      </c>
      <c r="N681" s="96" t="str">
        <f>IF(A681="","",IF(A681=Expiry,0,EXP(-q*Q681)*_xlfn.NORM.S.DIST(Y681,0)/(sigma*SQRT(Q681))*I681*Mult/100))</f>
        <v/>
      </c>
      <c r="O681" s="96" t="str">
        <f>IF(A681="","",IF(A681=Expiry,0,D681*E681*E681*EXP(-q*Q681)*_xlfn.NORM.S.DIST(Y681,0)*SQRT(Q681)/100))</f>
        <v/>
      </c>
      <c r="P681" s="69" t="str">
        <f>IF(A681="","",IF(A681=Expiry,0,AK681*I681*Mult*((-EXP(-q*Q681)*E681*_xlfn.NORM.S.DIST(Y681,0)*sigma/(2*SQRT(Q681))-r_dom*K*EXP(-r_dom*Q681)*_xlfn.NORM.S.DIST(Z681,1)+q*E681*EXP(-q*Q681)*_xlfn.NORM.S.DIST(Y681,1))/365)))</f>
        <v/>
      </c>
      <c r="Q681" s="83" t="str">
        <f t="shared" si="263"/>
        <v/>
      </c>
      <c r="R681" s="38"/>
      <c r="S681" s="68" t="str">
        <f t="shared" si="264"/>
        <v/>
      </c>
      <c r="T681" s="69" t="str">
        <f t="shared" si="265"/>
        <v/>
      </c>
      <c r="U681" s="70" t="str">
        <f t="shared" si="266"/>
        <v/>
      </c>
      <c r="V681" s="72" t="str">
        <f t="shared" si="267"/>
        <v/>
      </c>
      <c r="W681" s="2" t="str">
        <f t="shared" si="278"/>
        <v/>
      </c>
      <c r="X681" s="2" t="str">
        <f t="shared" si="273"/>
        <v/>
      </c>
      <c r="Y681" s="35" t="str">
        <f t="shared" ca="1" si="268"/>
        <v/>
      </c>
      <c r="Z681" s="36" t="str">
        <f t="shared" ca="1" si="269"/>
        <v/>
      </c>
      <c r="AA681" s="70" t="str">
        <f t="shared" si="270"/>
        <v/>
      </c>
      <c r="AB681" s="2"/>
      <c r="AC681" s="94" t="str">
        <f t="shared" si="274"/>
        <v/>
      </c>
      <c r="AD681" s="95" t="str">
        <f t="shared" si="275"/>
        <v/>
      </c>
      <c r="AE681" s="96" t="str">
        <f t="shared" si="276"/>
        <v/>
      </c>
      <c r="AF681" s="124" t="str">
        <f t="shared" si="277"/>
        <v/>
      </c>
      <c r="AG681" s="2"/>
      <c r="AH681" s="2"/>
      <c r="AI681" s="2"/>
      <c r="AJ681" s="2"/>
      <c r="AK681" s="2"/>
      <c r="AL681" s="2"/>
    </row>
    <row r="682" spans="1:38" x14ac:dyDescent="0.2">
      <c r="A682" s="45"/>
      <c r="B682" s="43" t="str">
        <f t="shared" si="256"/>
        <v/>
      </c>
      <c r="C682" s="96" t="str">
        <f t="shared" si="279"/>
        <v/>
      </c>
      <c r="D682" s="44" t="str">
        <f t="shared" si="257"/>
        <v/>
      </c>
      <c r="E682" s="52"/>
      <c r="F682" s="63" t="str">
        <f t="shared" si="258"/>
        <v/>
      </c>
      <c r="G682" s="56" t="str">
        <f t="shared" si="259"/>
        <v/>
      </c>
      <c r="H682" s="42"/>
      <c r="I682" s="2" t="str">
        <f t="shared" si="260"/>
        <v/>
      </c>
      <c r="J682" s="54" t="str">
        <f t="shared" si="271"/>
        <v/>
      </c>
      <c r="K682" s="55" t="str">
        <f t="shared" si="261"/>
        <v/>
      </c>
      <c r="L682" s="63" t="str">
        <f t="shared" si="262"/>
        <v/>
      </c>
      <c r="M682" s="96" t="str">
        <f t="shared" si="272"/>
        <v/>
      </c>
      <c r="N682" s="96" t="str">
        <f>IF(A682="","",IF(A682=Expiry,0,EXP(-q*Q682)*_xlfn.NORM.S.DIST(Y682,0)/(sigma*SQRT(Q682))*I682*Mult/100))</f>
        <v/>
      </c>
      <c r="O682" s="96" t="str">
        <f>IF(A682="","",IF(A682=Expiry,0,D682*E682*E682*EXP(-q*Q682)*_xlfn.NORM.S.DIST(Y682,0)*SQRT(Q682)/100))</f>
        <v/>
      </c>
      <c r="P682" s="69" t="str">
        <f>IF(A682="","",IF(A682=Expiry,0,AK682*I682*Mult*((-EXP(-q*Q682)*E682*_xlfn.NORM.S.DIST(Y682,0)*sigma/(2*SQRT(Q682))-r_dom*K*EXP(-r_dom*Q682)*_xlfn.NORM.S.DIST(Z682,1)+q*E682*EXP(-q*Q682)*_xlfn.NORM.S.DIST(Y682,1))/365)))</f>
        <v/>
      </c>
      <c r="Q682" s="83" t="str">
        <f t="shared" si="263"/>
        <v/>
      </c>
      <c r="R682" s="38"/>
      <c r="S682" s="68" t="str">
        <f t="shared" si="264"/>
        <v/>
      </c>
      <c r="T682" s="69" t="str">
        <f t="shared" si="265"/>
        <v/>
      </c>
      <c r="U682" s="70" t="str">
        <f t="shared" si="266"/>
        <v/>
      </c>
      <c r="V682" s="72" t="str">
        <f t="shared" si="267"/>
        <v/>
      </c>
      <c r="W682" s="2" t="str">
        <f t="shared" si="278"/>
        <v/>
      </c>
      <c r="X682" s="2" t="str">
        <f t="shared" si="273"/>
        <v/>
      </c>
      <c r="Y682" s="35" t="str">
        <f t="shared" ca="1" si="268"/>
        <v/>
      </c>
      <c r="Z682" s="36" t="str">
        <f t="shared" ca="1" si="269"/>
        <v/>
      </c>
      <c r="AA682" s="70" t="str">
        <f t="shared" si="270"/>
        <v/>
      </c>
      <c r="AB682" s="2"/>
      <c r="AC682" s="94" t="str">
        <f t="shared" si="274"/>
        <v/>
      </c>
      <c r="AD682" s="95" t="str">
        <f t="shared" si="275"/>
        <v/>
      </c>
      <c r="AE682" s="96" t="str">
        <f t="shared" si="276"/>
        <v/>
      </c>
      <c r="AF682" s="124" t="str">
        <f t="shared" si="277"/>
        <v/>
      </c>
      <c r="AG682" s="2"/>
      <c r="AH682" s="2"/>
      <c r="AI682" s="2"/>
      <c r="AJ682" s="2"/>
      <c r="AK682" s="2"/>
      <c r="AL682" s="2"/>
    </row>
    <row r="683" spans="1:38" x14ac:dyDescent="0.2">
      <c r="A683" s="45"/>
      <c r="B683" s="43" t="str">
        <f t="shared" si="256"/>
        <v/>
      </c>
      <c r="C683" s="96" t="str">
        <f t="shared" si="279"/>
        <v/>
      </c>
      <c r="D683" s="44" t="str">
        <f t="shared" si="257"/>
        <v/>
      </c>
      <c r="E683" s="52"/>
      <c r="F683" s="63" t="str">
        <f t="shared" si="258"/>
        <v/>
      </c>
      <c r="G683" s="56" t="str">
        <f t="shared" si="259"/>
        <v/>
      </c>
      <c r="H683" s="42"/>
      <c r="I683" s="2" t="str">
        <f t="shared" si="260"/>
        <v/>
      </c>
      <c r="J683" s="54" t="str">
        <f t="shared" si="271"/>
        <v/>
      </c>
      <c r="K683" s="55" t="str">
        <f t="shared" si="261"/>
        <v/>
      </c>
      <c r="L683" s="63" t="str">
        <f t="shared" si="262"/>
        <v/>
      </c>
      <c r="M683" s="96" t="str">
        <f t="shared" si="272"/>
        <v/>
      </c>
      <c r="N683" s="96" t="str">
        <f>IF(A683="","",IF(A683=Expiry,0,EXP(-q*Q683)*_xlfn.NORM.S.DIST(Y683,0)/(sigma*SQRT(Q683))*I683*Mult/100))</f>
        <v/>
      </c>
      <c r="O683" s="96" t="str">
        <f>IF(A683="","",IF(A683=Expiry,0,D683*E683*E683*EXP(-q*Q683)*_xlfn.NORM.S.DIST(Y683,0)*SQRT(Q683)/100))</f>
        <v/>
      </c>
      <c r="P683" s="69" t="str">
        <f>IF(A683="","",IF(A683=Expiry,0,AK683*I683*Mult*((-EXP(-q*Q683)*E683*_xlfn.NORM.S.DIST(Y683,0)*sigma/(2*SQRT(Q683))-r_dom*K*EXP(-r_dom*Q683)*_xlfn.NORM.S.DIST(Z683,1)+q*E683*EXP(-q*Q683)*_xlfn.NORM.S.DIST(Y683,1))/365)))</f>
        <v/>
      </c>
      <c r="Q683" s="83" t="str">
        <f t="shared" si="263"/>
        <v/>
      </c>
      <c r="R683" s="38"/>
      <c r="S683" s="68" t="str">
        <f t="shared" si="264"/>
        <v/>
      </c>
      <c r="T683" s="69" t="str">
        <f t="shared" si="265"/>
        <v/>
      </c>
      <c r="U683" s="70" t="str">
        <f t="shared" si="266"/>
        <v/>
      </c>
      <c r="V683" s="72" t="str">
        <f t="shared" si="267"/>
        <v/>
      </c>
      <c r="W683" s="2" t="str">
        <f t="shared" si="278"/>
        <v/>
      </c>
      <c r="X683" s="2" t="str">
        <f t="shared" si="273"/>
        <v/>
      </c>
      <c r="Y683" s="35" t="str">
        <f t="shared" ca="1" si="268"/>
        <v/>
      </c>
      <c r="Z683" s="36" t="str">
        <f t="shared" ca="1" si="269"/>
        <v/>
      </c>
      <c r="AA683" s="70" t="str">
        <f t="shared" si="270"/>
        <v/>
      </c>
      <c r="AB683" s="2"/>
      <c r="AC683" s="94" t="str">
        <f t="shared" si="274"/>
        <v/>
      </c>
      <c r="AD683" s="95" t="str">
        <f t="shared" si="275"/>
        <v/>
      </c>
      <c r="AE683" s="96" t="str">
        <f t="shared" si="276"/>
        <v/>
      </c>
      <c r="AF683" s="124" t="str">
        <f t="shared" si="277"/>
        <v/>
      </c>
      <c r="AG683" s="2"/>
      <c r="AH683" s="2"/>
      <c r="AI683" s="2"/>
      <c r="AJ683" s="2"/>
      <c r="AK683" s="2"/>
      <c r="AL683" s="2"/>
    </row>
    <row r="684" spans="1:38" x14ac:dyDescent="0.2">
      <c r="A684" s="45"/>
      <c r="B684" s="43" t="str">
        <f t="shared" si="256"/>
        <v/>
      </c>
      <c r="C684" s="96" t="str">
        <f t="shared" si="279"/>
        <v/>
      </c>
      <c r="D684" s="44" t="str">
        <f t="shared" si="257"/>
        <v/>
      </c>
      <c r="E684" s="52"/>
      <c r="F684" s="63" t="str">
        <f t="shared" si="258"/>
        <v/>
      </c>
      <c r="G684" s="56" t="str">
        <f t="shared" si="259"/>
        <v/>
      </c>
      <c r="H684" s="42"/>
      <c r="I684" s="2" t="str">
        <f t="shared" si="260"/>
        <v/>
      </c>
      <c r="J684" s="54" t="str">
        <f t="shared" si="271"/>
        <v/>
      </c>
      <c r="K684" s="55" t="str">
        <f t="shared" si="261"/>
        <v/>
      </c>
      <c r="L684" s="63" t="str">
        <f t="shared" si="262"/>
        <v/>
      </c>
      <c r="M684" s="96" t="str">
        <f t="shared" si="272"/>
        <v/>
      </c>
      <c r="N684" s="96" t="str">
        <f>IF(A684="","",IF(A684=Expiry,0,EXP(-q*Q684)*_xlfn.NORM.S.DIST(Y684,0)/(sigma*SQRT(Q684))*I684*Mult/100))</f>
        <v/>
      </c>
      <c r="O684" s="96" t="str">
        <f>IF(A684="","",IF(A684=Expiry,0,D684*E684*E684*EXP(-q*Q684)*_xlfn.NORM.S.DIST(Y684,0)*SQRT(Q684)/100))</f>
        <v/>
      </c>
      <c r="P684" s="69" t="str">
        <f>IF(A684="","",IF(A684=Expiry,0,AK684*I684*Mult*((-EXP(-q*Q684)*E684*_xlfn.NORM.S.DIST(Y684,0)*sigma/(2*SQRT(Q684))-r_dom*K*EXP(-r_dom*Q684)*_xlfn.NORM.S.DIST(Z684,1)+q*E684*EXP(-q*Q684)*_xlfn.NORM.S.DIST(Y684,1))/365)))</f>
        <v/>
      </c>
      <c r="Q684" s="83" t="str">
        <f t="shared" si="263"/>
        <v/>
      </c>
      <c r="R684" s="38"/>
      <c r="S684" s="68" t="str">
        <f t="shared" si="264"/>
        <v/>
      </c>
      <c r="T684" s="69" t="str">
        <f t="shared" si="265"/>
        <v/>
      </c>
      <c r="U684" s="70" t="str">
        <f t="shared" si="266"/>
        <v/>
      </c>
      <c r="V684" s="72" t="str">
        <f t="shared" si="267"/>
        <v/>
      </c>
      <c r="W684" s="2" t="str">
        <f t="shared" si="278"/>
        <v/>
      </c>
      <c r="X684" s="2" t="str">
        <f t="shared" si="273"/>
        <v/>
      </c>
      <c r="Y684" s="35" t="str">
        <f t="shared" ca="1" si="268"/>
        <v/>
      </c>
      <c r="Z684" s="36" t="str">
        <f t="shared" ca="1" si="269"/>
        <v/>
      </c>
      <c r="AA684" s="70" t="str">
        <f t="shared" si="270"/>
        <v/>
      </c>
      <c r="AB684" s="2"/>
      <c r="AC684" s="94" t="str">
        <f t="shared" si="274"/>
        <v/>
      </c>
      <c r="AD684" s="95" t="str">
        <f t="shared" si="275"/>
        <v/>
      </c>
      <c r="AE684" s="96" t="str">
        <f t="shared" si="276"/>
        <v/>
      </c>
      <c r="AF684" s="124" t="str">
        <f t="shared" si="277"/>
        <v/>
      </c>
      <c r="AG684" s="2"/>
      <c r="AH684" s="2"/>
      <c r="AI684" s="2"/>
      <c r="AJ684" s="2"/>
      <c r="AK684" s="2"/>
      <c r="AL684" s="2"/>
    </row>
    <row r="685" spans="1:38" x14ac:dyDescent="0.2">
      <c r="A685" s="45"/>
      <c r="B685" s="43" t="str">
        <f t="shared" si="256"/>
        <v/>
      </c>
      <c r="C685" s="96" t="str">
        <f t="shared" si="279"/>
        <v/>
      </c>
      <c r="D685" s="44" t="str">
        <f t="shared" si="257"/>
        <v/>
      </c>
      <c r="E685" s="52"/>
      <c r="F685" s="63" t="str">
        <f t="shared" si="258"/>
        <v/>
      </c>
      <c r="G685" s="56" t="str">
        <f t="shared" si="259"/>
        <v/>
      </c>
      <c r="H685" s="42"/>
      <c r="I685" s="2" t="str">
        <f t="shared" si="260"/>
        <v/>
      </c>
      <c r="J685" s="54" t="str">
        <f t="shared" si="271"/>
        <v/>
      </c>
      <c r="K685" s="55" t="str">
        <f t="shared" si="261"/>
        <v/>
      </c>
      <c r="L685" s="63" t="str">
        <f t="shared" si="262"/>
        <v/>
      </c>
      <c r="M685" s="96" t="str">
        <f t="shared" si="272"/>
        <v/>
      </c>
      <c r="N685" s="96" t="str">
        <f>IF(A685="","",IF(A685=Expiry,0,EXP(-q*Q685)*_xlfn.NORM.S.DIST(Y685,0)/(sigma*SQRT(Q685))*I685*Mult/100))</f>
        <v/>
      </c>
      <c r="O685" s="96" t="str">
        <f>IF(A685="","",IF(A685=Expiry,0,D685*E685*E685*EXP(-q*Q685)*_xlfn.NORM.S.DIST(Y685,0)*SQRT(Q685)/100))</f>
        <v/>
      </c>
      <c r="P685" s="69" t="str">
        <f>IF(A685="","",IF(A685=Expiry,0,AK685*I685*Mult*((-EXP(-q*Q685)*E685*_xlfn.NORM.S.DIST(Y685,0)*sigma/(2*SQRT(Q685))-r_dom*K*EXP(-r_dom*Q685)*_xlfn.NORM.S.DIST(Z685,1)+q*E685*EXP(-q*Q685)*_xlfn.NORM.S.DIST(Y685,1))/365)))</f>
        <v/>
      </c>
      <c r="Q685" s="83" t="str">
        <f t="shared" si="263"/>
        <v/>
      </c>
      <c r="R685" s="38"/>
      <c r="S685" s="68" t="str">
        <f t="shared" si="264"/>
        <v/>
      </c>
      <c r="T685" s="69" t="str">
        <f t="shared" si="265"/>
        <v/>
      </c>
      <c r="U685" s="70" t="str">
        <f t="shared" si="266"/>
        <v/>
      </c>
      <c r="V685" s="72" t="str">
        <f t="shared" si="267"/>
        <v/>
      </c>
      <c r="W685" s="2" t="str">
        <f t="shared" si="278"/>
        <v/>
      </c>
      <c r="X685" s="2" t="str">
        <f t="shared" si="273"/>
        <v/>
      </c>
      <c r="Y685" s="35" t="str">
        <f t="shared" ca="1" si="268"/>
        <v/>
      </c>
      <c r="Z685" s="36" t="str">
        <f t="shared" ca="1" si="269"/>
        <v/>
      </c>
      <c r="AA685" s="70" t="str">
        <f t="shared" si="270"/>
        <v/>
      </c>
      <c r="AB685" s="2"/>
      <c r="AC685" s="94" t="str">
        <f t="shared" si="274"/>
        <v/>
      </c>
      <c r="AD685" s="95" t="str">
        <f t="shared" si="275"/>
        <v/>
      </c>
      <c r="AE685" s="96" t="str">
        <f t="shared" si="276"/>
        <v/>
      </c>
      <c r="AF685" s="124" t="str">
        <f t="shared" si="277"/>
        <v/>
      </c>
      <c r="AG685" s="2"/>
      <c r="AH685" s="2"/>
      <c r="AI685" s="2"/>
      <c r="AJ685" s="2"/>
      <c r="AK685" s="2"/>
      <c r="AL685" s="2"/>
    </row>
    <row r="686" spans="1:38" x14ac:dyDescent="0.2">
      <c r="A686" s="45"/>
      <c r="B686" s="43" t="str">
        <f t="shared" si="256"/>
        <v/>
      </c>
      <c r="C686" s="96" t="str">
        <f t="shared" si="279"/>
        <v/>
      </c>
      <c r="D686" s="44" t="str">
        <f t="shared" si="257"/>
        <v/>
      </c>
      <c r="E686" s="52"/>
      <c r="F686" s="63" t="str">
        <f t="shared" si="258"/>
        <v/>
      </c>
      <c r="G686" s="56" t="str">
        <f t="shared" si="259"/>
        <v/>
      </c>
      <c r="H686" s="42"/>
      <c r="I686" s="2" t="str">
        <f t="shared" si="260"/>
        <v/>
      </c>
      <c r="J686" s="54" t="str">
        <f t="shared" si="271"/>
        <v/>
      </c>
      <c r="K686" s="55" t="str">
        <f t="shared" si="261"/>
        <v/>
      </c>
      <c r="L686" s="63" t="str">
        <f t="shared" si="262"/>
        <v/>
      </c>
      <c r="M686" s="96" t="str">
        <f t="shared" si="272"/>
        <v/>
      </c>
      <c r="N686" s="96" t="str">
        <f>IF(A686="","",IF(A686=Expiry,0,EXP(-q*Q686)*_xlfn.NORM.S.DIST(Y686,0)/(sigma*SQRT(Q686))*I686*Mult/100))</f>
        <v/>
      </c>
      <c r="O686" s="96" t="str">
        <f>IF(A686="","",IF(A686=Expiry,0,D686*E686*E686*EXP(-q*Q686)*_xlfn.NORM.S.DIST(Y686,0)*SQRT(Q686)/100))</f>
        <v/>
      </c>
      <c r="P686" s="69" t="str">
        <f>IF(A686="","",IF(A686=Expiry,0,AK686*I686*Mult*((-EXP(-q*Q686)*E686*_xlfn.NORM.S.DIST(Y686,0)*sigma/(2*SQRT(Q686))-r_dom*K*EXP(-r_dom*Q686)*_xlfn.NORM.S.DIST(Z686,1)+q*E686*EXP(-q*Q686)*_xlfn.NORM.S.DIST(Y686,1))/365)))</f>
        <v/>
      </c>
      <c r="Q686" s="83" t="str">
        <f t="shared" si="263"/>
        <v/>
      </c>
      <c r="R686" s="38"/>
      <c r="S686" s="68" t="str">
        <f t="shared" si="264"/>
        <v/>
      </c>
      <c r="T686" s="69" t="str">
        <f t="shared" si="265"/>
        <v/>
      </c>
      <c r="U686" s="70" t="str">
        <f t="shared" si="266"/>
        <v/>
      </c>
      <c r="V686" s="72" t="str">
        <f t="shared" si="267"/>
        <v/>
      </c>
      <c r="W686" s="2" t="str">
        <f t="shared" si="278"/>
        <v/>
      </c>
      <c r="X686" s="2" t="str">
        <f t="shared" si="273"/>
        <v/>
      </c>
      <c r="Y686" s="35" t="str">
        <f t="shared" ca="1" si="268"/>
        <v/>
      </c>
      <c r="Z686" s="36" t="str">
        <f t="shared" ca="1" si="269"/>
        <v/>
      </c>
      <c r="AA686" s="70" t="str">
        <f t="shared" si="270"/>
        <v/>
      </c>
      <c r="AB686" s="2"/>
      <c r="AC686" s="94" t="str">
        <f t="shared" si="274"/>
        <v/>
      </c>
      <c r="AD686" s="95" t="str">
        <f t="shared" si="275"/>
        <v/>
      </c>
      <c r="AE686" s="96" t="str">
        <f t="shared" si="276"/>
        <v/>
      </c>
      <c r="AF686" s="124" t="str">
        <f t="shared" si="277"/>
        <v/>
      </c>
      <c r="AG686" s="2"/>
      <c r="AH686" s="2"/>
      <c r="AI686" s="2"/>
      <c r="AJ686" s="2"/>
      <c r="AK686" s="2"/>
      <c r="AL686" s="2"/>
    </row>
    <row r="687" spans="1:38" x14ac:dyDescent="0.2">
      <c r="A687" s="45"/>
      <c r="B687" s="43" t="str">
        <f t="shared" si="256"/>
        <v/>
      </c>
      <c r="C687" s="96" t="str">
        <f t="shared" si="279"/>
        <v/>
      </c>
      <c r="D687" s="44" t="str">
        <f t="shared" si="257"/>
        <v/>
      </c>
      <c r="E687" s="52"/>
      <c r="F687" s="63" t="str">
        <f t="shared" si="258"/>
        <v/>
      </c>
      <c r="G687" s="56" t="str">
        <f t="shared" si="259"/>
        <v/>
      </c>
      <c r="H687" s="42"/>
      <c r="I687" s="2" t="str">
        <f t="shared" si="260"/>
        <v/>
      </c>
      <c r="J687" s="54" t="str">
        <f t="shared" si="271"/>
        <v/>
      </c>
      <c r="K687" s="55" t="str">
        <f t="shared" si="261"/>
        <v/>
      </c>
      <c r="L687" s="63" t="str">
        <f t="shared" si="262"/>
        <v/>
      </c>
      <c r="M687" s="96" t="str">
        <f t="shared" si="272"/>
        <v/>
      </c>
      <c r="N687" s="96" t="str">
        <f>IF(A687="","",IF(A687=Expiry,0,EXP(-q*Q687)*_xlfn.NORM.S.DIST(Y687,0)/(sigma*SQRT(Q687))*I687*Mult/100))</f>
        <v/>
      </c>
      <c r="O687" s="96" t="str">
        <f>IF(A687="","",IF(A687=Expiry,0,D687*E687*E687*EXP(-q*Q687)*_xlfn.NORM.S.DIST(Y687,0)*SQRT(Q687)/100))</f>
        <v/>
      </c>
      <c r="P687" s="69" t="str">
        <f>IF(A687="","",IF(A687=Expiry,0,AK687*I687*Mult*((-EXP(-q*Q687)*E687*_xlfn.NORM.S.DIST(Y687,0)*sigma/(2*SQRT(Q687))-r_dom*K*EXP(-r_dom*Q687)*_xlfn.NORM.S.DIST(Z687,1)+q*E687*EXP(-q*Q687)*_xlfn.NORM.S.DIST(Y687,1))/365)))</f>
        <v/>
      </c>
      <c r="Q687" s="83" t="str">
        <f t="shared" si="263"/>
        <v/>
      </c>
      <c r="R687" s="38"/>
      <c r="S687" s="68" t="str">
        <f t="shared" si="264"/>
        <v/>
      </c>
      <c r="T687" s="69" t="str">
        <f t="shared" si="265"/>
        <v/>
      </c>
      <c r="U687" s="70" t="str">
        <f t="shared" si="266"/>
        <v/>
      </c>
      <c r="V687" s="72" t="str">
        <f t="shared" si="267"/>
        <v/>
      </c>
      <c r="W687" s="2" t="str">
        <f t="shared" si="278"/>
        <v/>
      </c>
      <c r="X687" s="2" t="str">
        <f t="shared" si="273"/>
        <v/>
      </c>
      <c r="Y687" s="35" t="str">
        <f t="shared" ca="1" si="268"/>
        <v/>
      </c>
      <c r="Z687" s="36" t="str">
        <f t="shared" ca="1" si="269"/>
        <v/>
      </c>
      <c r="AA687" s="70" t="str">
        <f t="shared" si="270"/>
        <v/>
      </c>
      <c r="AB687" s="2"/>
      <c r="AC687" s="94" t="str">
        <f t="shared" si="274"/>
        <v/>
      </c>
      <c r="AD687" s="95" t="str">
        <f t="shared" si="275"/>
        <v/>
      </c>
      <c r="AE687" s="96" t="str">
        <f t="shared" si="276"/>
        <v/>
      </c>
      <c r="AF687" s="124" t="str">
        <f t="shared" si="277"/>
        <v/>
      </c>
      <c r="AG687" s="2"/>
      <c r="AH687" s="2"/>
      <c r="AI687" s="2"/>
      <c r="AJ687" s="2"/>
      <c r="AK687" s="2"/>
      <c r="AL687" s="2"/>
    </row>
    <row r="688" spans="1:38" x14ac:dyDescent="0.2">
      <c r="A688" s="45"/>
      <c r="B688" s="43" t="str">
        <f t="shared" si="256"/>
        <v/>
      </c>
      <c r="C688" s="96" t="str">
        <f t="shared" si="279"/>
        <v/>
      </c>
      <c r="D688" s="44" t="str">
        <f t="shared" si="257"/>
        <v/>
      </c>
      <c r="E688" s="52"/>
      <c r="F688" s="63" t="str">
        <f t="shared" si="258"/>
        <v/>
      </c>
      <c r="G688" s="56" t="str">
        <f t="shared" si="259"/>
        <v/>
      </c>
      <c r="H688" s="42"/>
      <c r="I688" s="2" t="str">
        <f t="shared" si="260"/>
        <v/>
      </c>
      <c r="J688" s="54" t="str">
        <f t="shared" si="271"/>
        <v/>
      </c>
      <c r="K688" s="55" t="str">
        <f t="shared" si="261"/>
        <v/>
      </c>
      <c r="L688" s="63" t="str">
        <f t="shared" si="262"/>
        <v/>
      </c>
      <c r="M688" s="96" t="str">
        <f t="shared" si="272"/>
        <v/>
      </c>
      <c r="N688" s="96" t="str">
        <f>IF(A688="","",IF(A688=Expiry,0,EXP(-q*Q688)*_xlfn.NORM.S.DIST(Y688,0)/(sigma*SQRT(Q688))*I688*Mult/100))</f>
        <v/>
      </c>
      <c r="O688" s="96" t="str">
        <f>IF(A688="","",IF(A688=Expiry,0,D688*E688*E688*EXP(-q*Q688)*_xlfn.NORM.S.DIST(Y688,0)*SQRT(Q688)/100))</f>
        <v/>
      </c>
      <c r="P688" s="69" t="str">
        <f>IF(A688="","",IF(A688=Expiry,0,AK688*I688*Mult*((-EXP(-q*Q688)*E688*_xlfn.NORM.S.DIST(Y688,0)*sigma/(2*SQRT(Q688))-r_dom*K*EXP(-r_dom*Q688)*_xlfn.NORM.S.DIST(Z688,1)+q*E688*EXP(-q*Q688)*_xlfn.NORM.S.DIST(Y688,1))/365)))</f>
        <v/>
      </c>
      <c r="Q688" s="83" t="str">
        <f t="shared" si="263"/>
        <v/>
      </c>
      <c r="R688" s="38"/>
      <c r="S688" s="68" t="str">
        <f t="shared" si="264"/>
        <v/>
      </c>
      <c r="T688" s="69" t="str">
        <f t="shared" si="265"/>
        <v/>
      </c>
      <c r="U688" s="70" t="str">
        <f t="shared" si="266"/>
        <v/>
      </c>
      <c r="V688" s="72" t="str">
        <f t="shared" si="267"/>
        <v/>
      </c>
      <c r="W688" s="2" t="str">
        <f t="shared" si="278"/>
        <v/>
      </c>
      <c r="X688" s="2" t="str">
        <f t="shared" si="273"/>
        <v/>
      </c>
      <c r="Y688" s="35" t="str">
        <f t="shared" ca="1" si="268"/>
        <v/>
      </c>
      <c r="Z688" s="36" t="str">
        <f t="shared" ca="1" si="269"/>
        <v/>
      </c>
      <c r="AA688" s="70" t="str">
        <f t="shared" si="270"/>
        <v/>
      </c>
      <c r="AB688" s="2"/>
      <c r="AC688" s="94" t="str">
        <f t="shared" si="274"/>
        <v/>
      </c>
      <c r="AD688" s="95" t="str">
        <f t="shared" si="275"/>
        <v/>
      </c>
      <c r="AE688" s="96" t="str">
        <f t="shared" si="276"/>
        <v/>
      </c>
      <c r="AF688" s="124" t="str">
        <f t="shared" si="277"/>
        <v/>
      </c>
      <c r="AG688" s="2"/>
      <c r="AH688" s="2"/>
      <c r="AI688" s="2"/>
      <c r="AJ688" s="2"/>
      <c r="AK688" s="2"/>
      <c r="AL688" s="2"/>
    </row>
    <row r="689" spans="1:38" x14ac:dyDescent="0.2">
      <c r="A689" s="45"/>
      <c r="B689" s="43" t="str">
        <f t="shared" si="256"/>
        <v/>
      </c>
      <c r="C689" s="96" t="str">
        <f t="shared" si="279"/>
        <v/>
      </c>
      <c r="D689" s="44" t="str">
        <f t="shared" si="257"/>
        <v/>
      </c>
      <c r="E689" s="52"/>
      <c r="F689" s="63" t="str">
        <f t="shared" si="258"/>
        <v/>
      </c>
      <c r="G689" s="56" t="str">
        <f t="shared" si="259"/>
        <v/>
      </c>
      <c r="H689" s="42"/>
      <c r="I689" s="2" t="str">
        <f t="shared" si="260"/>
        <v/>
      </c>
      <c r="J689" s="54" t="str">
        <f t="shared" si="271"/>
        <v/>
      </c>
      <c r="K689" s="55" t="str">
        <f t="shared" si="261"/>
        <v/>
      </c>
      <c r="L689" s="63" t="str">
        <f t="shared" si="262"/>
        <v/>
      </c>
      <c r="M689" s="96" t="str">
        <f t="shared" si="272"/>
        <v/>
      </c>
      <c r="N689" s="96" t="str">
        <f>IF(A689="","",IF(A689=Expiry,0,EXP(-q*Q689)*_xlfn.NORM.S.DIST(Y689,0)/(sigma*SQRT(Q689))*I689*Mult/100))</f>
        <v/>
      </c>
      <c r="O689" s="96" t="str">
        <f>IF(A689="","",IF(A689=Expiry,0,D689*E689*E689*EXP(-q*Q689)*_xlfn.NORM.S.DIST(Y689,0)*SQRT(Q689)/100))</f>
        <v/>
      </c>
      <c r="P689" s="69" t="str">
        <f>IF(A689="","",IF(A689=Expiry,0,AK689*I689*Mult*((-EXP(-q*Q689)*E689*_xlfn.NORM.S.DIST(Y689,0)*sigma/(2*SQRT(Q689))-r_dom*K*EXP(-r_dom*Q689)*_xlfn.NORM.S.DIST(Z689,1)+q*E689*EXP(-q*Q689)*_xlfn.NORM.S.DIST(Y689,1))/365)))</f>
        <v/>
      </c>
      <c r="Q689" s="83" t="str">
        <f t="shared" si="263"/>
        <v/>
      </c>
      <c r="R689" s="38"/>
      <c r="S689" s="68" t="str">
        <f t="shared" si="264"/>
        <v/>
      </c>
      <c r="T689" s="69" t="str">
        <f t="shared" si="265"/>
        <v/>
      </c>
      <c r="U689" s="70" t="str">
        <f t="shared" si="266"/>
        <v/>
      </c>
      <c r="V689" s="72" t="str">
        <f t="shared" si="267"/>
        <v/>
      </c>
      <c r="W689" s="2" t="str">
        <f t="shared" si="278"/>
        <v/>
      </c>
      <c r="X689" s="2" t="str">
        <f t="shared" si="273"/>
        <v/>
      </c>
      <c r="Y689" s="35" t="str">
        <f t="shared" ca="1" si="268"/>
        <v/>
      </c>
      <c r="Z689" s="36" t="str">
        <f t="shared" ca="1" si="269"/>
        <v/>
      </c>
      <c r="AA689" s="70" t="str">
        <f t="shared" si="270"/>
        <v/>
      </c>
      <c r="AB689" s="2"/>
      <c r="AC689" s="94" t="str">
        <f t="shared" si="274"/>
        <v/>
      </c>
      <c r="AD689" s="95" t="str">
        <f t="shared" si="275"/>
        <v/>
      </c>
      <c r="AE689" s="96" t="str">
        <f t="shared" si="276"/>
        <v/>
      </c>
      <c r="AF689" s="124" t="str">
        <f t="shared" si="277"/>
        <v/>
      </c>
      <c r="AG689" s="2"/>
      <c r="AH689" s="2"/>
      <c r="AI689" s="2"/>
      <c r="AJ689" s="2"/>
      <c r="AK689" s="2"/>
      <c r="AL689" s="2"/>
    </row>
    <row r="690" spans="1:38" x14ac:dyDescent="0.2">
      <c r="A690" s="45"/>
      <c r="B690" s="43" t="str">
        <f t="shared" ref="B690:B753" si="280">IF(A690="","",-(M690+C689))</f>
        <v/>
      </c>
      <c r="C690" s="96" t="str">
        <f t="shared" si="279"/>
        <v/>
      </c>
      <c r="D690" s="44" t="str">
        <f t="shared" ref="D690:D753" si="281">IF(A690="","",C690*E690)</f>
        <v/>
      </c>
      <c r="E690" s="52"/>
      <c r="F690" s="63" t="str">
        <f t="shared" ref="F690:F753" si="282">IF(A690="","",C689*(E690-E689))</f>
        <v/>
      </c>
      <c r="G690" s="56" t="str">
        <f t="shared" ref="G690:G753" si="283">IF(H690="","",J690)</f>
        <v/>
      </c>
      <c r="H690" s="42"/>
      <c r="I690" s="2" t="str">
        <f t="shared" ref="I690:I753" si="284">IF(A690="","",I689+H690)</f>
        <v/>
      </c>
      <c r="J690" s="54" t="str">
        <f t="shared" si="271"/>
        <v/>
      </c>
      <c r="K690" s="55" t="str">
        <f t="shared" ref="K690:K753" si="285">IF(I690="","",I690*Mult*J690)</f>
        <v/>
      </c>
      <c r="L690" s="63" t="str">
        <f t="shared" ref="L690:L753" si="286">IF(A690="","",Mult*(IFERROR(0,H690*(G690-J690))+(I690-H690)*(J690-J689)))</f>
        <v/>
      </c>
      <c r="M690" s="96" t="str">
        <f t="shared" si="272"/>
        <v/>
      </c>
      <c r="N690" s="96" t="str">
        <f>IF(A690="","",IF(A690=Expiry,0,EXP(-q*Q690)*_xlfn.NORM.S.DIST(Y690,0)/(sigma*SQRT(Q690))*I690*Mult/100))</f>
        <v/>
      </c>
      <c r="O690" s="96" t="str">
        <f>IF(A690="","",IF(A690=Expiry,0,D690*E690*E690*EXP(-q*Q690)*_xlfn.NORM.S.DIST(Y690,0)*SQRT(Q690)/100))</f>
        <v/>
      </c>
      <c r="P690" s="69" t="str">
        <f>IF(A690="","",IF(A690=Expiry,0,AK690*I690*Mult*((-EXP(-q*Q690)*E690*_xlfn.NORM.S.DIST(Y690,0)*sigma/(2*SQRT(Q690))-r_dom*K*EXP(-r_dom*Q690)*_xlfn.NORM.S.DIST(Z690,1)+q*E690*EXP(-q*Q690)*_xlfn.NORM.S.DIST(Y690,1))/365)))</f>
        <v/>
      </c>
      <c r="Q690" s="83" t="str">
        <f t="shared" ref="Q690:Q753" si="287">IF(A690="","",IF(OR(A690="",Expiry&lt;=A690),0,(Expiry-A690)/365))</f>
        <v/>
      </c>
      <c r="R690" s="38"/>
      <c r="S690" s="68" t="str">
        <f t="shared" ref="S690:S753" si="288">IF(A690="","",F690+L690)</f>
        <v/>
      </c>
      <c r="T690" s="69" t="str">
        <f t="shared" ref="T690:T753" si="289">IF(A690="","",T689+S690)</f>
        <v/>
      </c>
      <c r="U690" s="70" t="str">
        <f t="shared" ref="U690:U753" si="290">IF(A690="","",LN(T690/T689))</f>
        <v/>
      </c>
      <c r="V690" s="72" t="str">
        <f t="shared" ref="V690:V753" si="291">IF(A690="","",V689*EXP(U690))</f>
        <v/>
      </c>
      <c r="W690" s="2" t="str">
        <f t="shared" si="278"/>
        <v/>
      </c>
      <c r="X690" s="2" t="str">
        <f t="shared" si="273"/>
        <v/>
      </c>
      <c r="Y690" s="35" t="str">
        <f t="shared" ref="Y690:Y753" ca="1" si="292">IF(OR(A690="",A690=Expiry),"",((LN(E690/K)+(r_dom-q+sigma^2/2)*Q690))/(sigma*SQRT(Q690)))</f>
        <v/>
      </c>
      <c r="Z690" s="36" t="str">
        <f t="shared" ref="Z690:Z753" ca="1" si="293">IF(OR(A690="",A690=Expiry),"",Y690-sigma*SQRT(Q690))</f>
        <v/>
      </c>
      <c r="AA690" s="70" t="str">
        <f t="shared" ref="AA690:AA753" si="294">IF(A690="","",LN(E690/E689))</f>
        <v/>
      </c>
      <c r="AB690" s="2"/>
      <c r="AC690" s="94" t="str">
        <f t="shared" si="274"/>
        <v/>
      </c>
      <c r="AD690" s="95" t="str">
        <f t="shared" si="275"/>
        <v/>
      </c>
      <c r="AE690" s="96" t="str">
        <f t="shared" si="276"/>
        <v/>
      </c>
      <c r="AF690" s="124" t="str">
        <f t="shared" si="277"/>
        <v/>
      </c>
      <c r="AG690" s="2"/>
      <c r="AH690" s="2"/>
      <c r="AI690" s="2"/>
      <c r="AJ690" s="2"/>
      <c r="AK690" s="2"/>
      <c r="AL690" s="2"/>
    </row>
    <row r="691" spans="1:38" x14ac:dyDescent="0.2">
      <c r="A691" s="45"/>
      <c r="B691" s="43" t="str">
        <f t="shared" si="280"/>
        <v/>
      </c>
      <c r="C691" s="96" t="str">
        <f t="shared" si="279"/>
        <v/>
      </c>
      <c r="D691" s="44" t="str">
        <f t="shared" si="281"/>
        <v/>
      </c>
      <c r="E691" s="52"/>
      <c r="F691" s="63" t="str">
        <f t="shared" si="282"/>
        <v/>
      </c>
      <c r="G691" s="56" t="str">
        <f t="shared" si="283"/>
        <v/>
      </c>
      <c r="H691" s="42"/>
      <c r="I691" s="2" t="str">
        <f t="shared" si="284"/>
        <v/>
      </c>
      <c r="J691" s="54" t="str">
        <f t="shared" si="271"/>
        <v/>
      </c>
      <c r="K691" s="55" t="str">
        <f t="shared" si="285"/>
        <v/>
      </c>
      <c r="L691" s="63" t="str">
        <f t="shared" si="286"/>
        <v/>
      </c>
      <c r="M691" s="96" t="str">
        <f t="shared" si="272"/>
        <v/>
      </c>
      <c r="N691" s="96" t="str">
        <f>IF(A691="","",IF(A691=Expiry,0,EXP(-q*Q691)*_xlfn.NORM.S.DIST(Y691,0)/(sigma*SQRT(Q691))*I691*Mult/100))</f>
        <v/>
      </c>
      <c r="O691" s="96" t="str">
        <f>IF(A691="","",IF(A691=Expiry,0,D691*E691*E691*EXP(-q*Q691)*_xlfn.NORM.S.DIST(Y691,0)*SQRT(Q691)/100))</f>
        <v/>
      </c>
      <c r="P691" s="69" t="str">
        <f>IF(A691="","",IF(A691=Expiry,0,AK691*I691*Mult*((-EXP(-q*Q691)*E691*_xlfn.NORM.S.DIST(Y691,0)*sigma/(2*SQRT(Q691))-r_dom*K*EXP(-r_dom*Q691)*_xlfn.NORM.S.DIST(Z691,1)+q*E691*EXP(-q*Q691)*_xlfn.NORM.S.DIST(Y691,1))/365)))</f>
        <v/>
      </c>
      <c r="Q691" s="83" t="str">
        <f t="shared" si="287"/>
        <v/>
      </c>
      <c r="R691" s="38"/>
      <c r="S691" s="68" t="str">
        <f t="shared" si="288"/>
        <v/>
      </c>
      <c r="T691" s="69" t="str">
        <f t="shared" si="289"/>
        <v/>
      </c>
      <c r="U691" s="70" t="str">
        <f t="shared" si="290"/>
        <v/>
      </c>
      <c r="V691" s="72" t="str">
        <f t="shared" si="291"/>
        <v/>
      </c>
      <c r="W691" s="2" t="str">
        <f t="shared" si="278"/>
        <v/>
      </c>
      <c r="X691" s="2" t="str">
        <f t="shared" si="273"/>
        <v/>
      </c>
      <c r="Y691" s="35" t="str">
        <f t="shared" ca="1" si="292"/>
        <v/>
      </c>
      <c r="Z691" s="36" t="str">
        <f t="shared" ca="1" si="293"/>
        <v/>
      </c>
      <c r="AA691" s="70" t="str">
        <f t="shared" si="294"/>
        <v/>
      </c>
      <c r="AB691" s="2"/>
      <c r="AC691" s="94" t="str">
        <f t="shared" si="274"/>
        <v/>
      </c>
      <c r="AD691" s="95" t="str">
        <f t="shared" si="275"/>
        <v/>
      </c>
      <c r="AE691" s="96" t="str">
        <f t="shared" si="276"/>
        <v/>
      </c>
      <c r="AF691" s="124" t="str">
        <f t="shared" si="277"/>
        <v/>
      </c>
      <c r="AG691" s="2"/>
      <c r="AH691" s="2"/>
      <c r="AI691" s="2"/>
      <c r="AJ691" s="2"/>
      <c r="AK691" s="2"/>
      <c r="AL691" s="2"/>
    </row>
    <row r="692" spans="1:38" x14ac:dyDescent="0.2">
      <c r="A692" s="45"/>
      <c r="B692" s="43" t="str">
        <f t="shared" si="280"/>
        <v/>
      </c>
      <c r="C692" s="96" t="str">
        <f t="shared" si="279"/>
        <v/>
      </c>
      <c r="D692" s="44" t="str">
        <f t="shared" si="281"/>
        <v/>
      </c>
      <c r="E692" s="52"/>
      <c r="F692" s="63" t="str">
        <f t="shared" si="282"/>
        <v/>
      </c>
      <c r="G692" s="56" t="str">
        <f t="shared" si="283"/>
        <v/>
      </c>
      <c r="H692" s="42"/>
      <c r="I692" s="2" t="str">
        <f t="shared" si="284"/>
        <v/>
      </c>
      <c r="J692" s="54" t="str">
        <f t="shared" si="271"/>
        <v/>
      </c>
      <c r="K692" s="55" t="str">
        <f t="shared" si="285"/>
        <v/>
      </c>
      <c r="L692" s="63" t="str">
        <f t="shared" si="286"/>
        <v/>
      </c>
      <c r="M692" s="96" t="str">
        <f t="shared" si="272"/>
        <v/>
      </c>
      <c r="N692" s="96" t="str">
        <f>IF(A692="","",IF(A692=Expiry,0,EXP(-q*Q692)*_xlfn.NORM.S.DIST(Y692,0)/(sigma*SQRT(Q692))*I692*Mult/100))</f>
        <v/>
      </c>
      <c r="O692" s="96" t="str">
        <f>IF(A692="","",IF(A692=Expiry,0,D692*E692*E692*EXP(-q*Q692)*_xlfn.NORM.S.DIST(Y692,0)*SQRT(Q692)/100))</f>
        <v/>
      </c>
      <c r="P692" s="69" t="str">
        <f>IF(A692="","",IF(A692=Expiry,0,AK692*I692*Mult*((-EXP(-q*Q692)*E692*_xlfn.NORM.S.DIST(Y692,0)*sigma/(2*SQRT(Q692))-r_dom*K*EXP(-r_dom*Q692)*_xlfn.NORM.S.DIST(Z692,1)+q*E692*EXP(-q*Q692)*_xlfn.NORM.S.DIST(Y692,1))/365)))</f>
        <v/>
      </c>
      <c r="Q692" s="83" t="str">
        <f t="shared" si="287"/>
        <v/>
      </c>
      <c r="R692" s="38"/>
      <c r="S692" s="68" t="str">
        <f t="shared" si="288"/>
        <v/>
      </c>
      <c r="T692" s="69" t="str">
        <f t="shared" si="289"/>
        <v/>
      </c>
      <c r="U692" s="70" t="str">
        <f t="shared" si="290"/>
        <v/>
      </c>
      <c r="V692" s="72" t="str">
        <f t="shared" si="291"/>
        <v/>
      </c>
      <c r="W692" s="2" t="str">
        <f t="shared" si="278"/>
        <v/>
      </c>
      <c r="X692" s="2" t="str">
        <f t="shared" si="273"/>
        <v/>
      </c>
      <c r="Y692" s="35" t="str">
        <f t="shared" ca="1" si="292"/>
        <v/>
      </c>
      <c r="Z692" s="36" t="str">
        <f t="shared" ca="1" si="293"/>
        <v/>
      </c>
      <c r="AA692" s="70" t="str">
        <f t="shared" si="294"/>
        <v/>
      </c>
      <c r="AB692" s="2"/>
      <c r="AC692" s="94" t="str">
        <f t="shared" si="274"/>
        <v/>
      </c>
      <c r="AD692" s="95" t="str">
        <f t="shared" si="275"/>
        <v/>
      </c>
      <c r="AE692" s="96" t="str">
        <f t="shared" si="276"/>
        <v/>
      </c>
      <c r="AF692" s="124" t="str">
        <f t="shared" si="277"/>
        <v/>
      </c>
      <c r="AG692" s="2"/>
      <c r="AH692" s="2"/>
      <c r="AI692" s="2"/>
      <c r="AJ692" s="2"/>
      <c r="AK692" s="2"/>
      <c r="AL692" s="2"/>
    </row>
    <row r="693" spans="1:38" x14ac:dyDescent="0.2">
      <c r="A693" s="45"/>
      <c r="B693" s="43" t="str">
        <f t="shared" si="280"/>
        <v/>
      </c>
      <c r="C693" s="96" t="str">
        <f t="shared" si="279"/>
        <v/>
      </c>
      <c r="D693" s="44" t="str">
        <f t="shared" si="281"/>
        <v/>
      </c>
      <c r="E693" s="52"/>
      <c r="F693" s="63" t="str">
        <f t="shared" si="282"/>
        <v/>
      </c>
      <c r="G693" s="56" t="str">
        <f t="shared" si="283"/>
        <v/>
      </c>
      <c r="H693" s="42"/>
      <c r="I693" s="2" t="str">
        <f t="shared" si="284"/>
        <v/>
      </c>
      <c r="J693" s="54" t="str">
        <f t="shared" si="271"/>
        <v/>
      </c>
      <c r="K693" s="55" t="str">
        <f t="shared" si="285"/>
        <v/>
      </c>
      <c r="L693" s="63" t="str">
        <f t="shared" si="286"/>
        <v/>
      </c>
      <c r="M693" s="96" t="str">
        <f t="shared" si="272"/>
        <v/>
      </c>
      <c r="N693" s="96" t="str">
        <f>IF(A693="","",IF(A693=Expiry,0,EXP(-q*Q693)*_xlfn.NORM.S.DIST(Y693,0)/(sigma*SQRT(Q693))*I693*Mult/100))</f>
        <v/>
      </c>
      <c r="O693" s="96" t="str">
        <f>IF(A693="","",IF(A693=Expiry,0,D693*E693*E693*EXP(-q*Q693)*_xlfn.NORM.S.DIST(Y693,0)*SQRT(Q693)/100))</f>
        <v/>
      </c>
      <c r="P693" s="69" t="str">
        <f>IF(A693="","",IF(A693=Expiry,0,AK693*I693*Mult*((-EXP(-q*Q693)*E693*_xlfn.NORM.S.DIST(Y693,0)*sigma/(2*SQRT(Q693))-r_dom*K*EXP(-r_dom*Q693)*_xlfn.NORM.S.DIST(Z693,1)+q*E693*EXP(-q*Q693)*_xlfn.NORM.S.DIST(Y693,1))/365)))</f>
        <v/>
      </c>
      <c r="Q693" s="83" t="str">
        <f t="shared" si="287"/>
        <v/>
      </c>
      <c r="R693" s="38"/>
      <c r="S693" s="68" t="str">
        <f t="shared" si="288"/>
        <v/>
      </c>
      <c r="T693" s="69" t="str">
        <f t="shared" si="289"/>
        <v/>
      </c>
      <c r="U693" s="70" t="str">
        <f t="shared" si="290"/>
        <v/>
      </c>
      <c r="V693" s="72" t="str">
        <f t="shared" si="291"/>
        <v/>
      </c>
      <c r="W693" s="2" t="str">
        <f t="shared" si="278"/>
        <v/>
      </c>
      <c r="X693" s="2" t="str">
        <f t="shared" si="273"/>
        <v/>
      </c>
      <c r="Y693" s="35" t="str">
        <f t="shared" ca="1" si="292"/>
        <v/>
      </c>
      <c r="Z693" s="36" t="str">
        <f t="shared" ca="1" si="293"/>
        <v/>
      </c>
      <c r="AA693" s="70" t="str">
        <f t="shared" si="294"/>
        <v/>
      </c>
      <c r="AB693" s="2"/>
      <c r="AC693" s="94" t="str">
        <f t="shared" si="274"/>
        <v/>
      </c>
      <c r="AD693" s="95" t="str">
        <f t="shared" si="275"/>
        <v/>
      </c>
      <c r="AE693" s="96" t="str">
        <f t="shared" si="276"/>
        <v/>
      </c>
      <c r="AF693" s="124" t="str">
        <f t="shared" si="277"/>
        <v/>
      </c>
      <c r="AG693" s="2"/>
      <c r="AH693" s="2"/>
      <c r="AI693" s="2"/>
      <c r="AJ693" s="2"/>
      <c r="AK693" s="2"/>
      <c r="AL693" s="2"/>
    </row>
    <row r="694" spans="1:38" x14ac:dyDescent="0.2">
      <c r="A694" s="45"/>
      <c r="B694" s="43" t="str">
        <f t="shared" si="280"/>
        <v/>
      </c>
      <c r="C694" s="96" t="str">
        <f t="shared" si="279"/>
        <v/>
      </c>
      <c r="D694" s="44" t="str">
        <f t="shared" si="281"/>
        <v/>
      </c>
      <c r="E694" s="52"/>
      <c r="F694" s="63" t="str">
        <f t="shared" si="282"/>
        <v/>
      </c>
      <c r="G694" s="56" t="str">
        <f t="shared" si="283"/>
        <v/>
      </c>
      <c r="H694" s="42"/>
      <c r="I694" s="2" t="str">
        <f t="shared" si="284"/>
        <v/>
      </c>
      <c r="J694" s="54" t="str">
        <f t="shared" si="271"/>
        <v/>
      </c>
      <c r="K694" s="55" t="str">
        <f t="shared" si="285"/>
        <v/>
      </c>
      <c r="L694" s="63" t="str">
        <f t="shared" si="286"/>
        <v/>
      </c>
      <c r="M694" s="96" t="str">
        <f t="shared" si="272"/>
        <v/>
      </c>
      <c r="N694" s="96" t="str">
        <f>IF(A694="","",IF(A694=Expiry,0,EXP(-q*Q694)*_xlfn.NORM.S.DIST(Y694,0)/(sigma*SQRT(Q694))*I694*Mult/100))</f>
        <v/>
      </c>
      <c r="O694" s="96" t="str">
        <f>IF(A694="","",IF(A694=Expiry,0,D694*E694*E694*EXP(-q*Q694)*_xlfn.NORM.S.DIST(Y694,0)*SQRT(Q694)/100))</f>
        <v/>
      </c>
      <c r="P694" s="69" t="str">
        <f>IF(A694="","",IF(A694=Expiry,0,AK694*I694*Mult*((-EXP(-q*Q694)*E694*_xlfn.NORM.S.DIST(Y694,0)*sigma/(2*SQRT(Q694))-r_dom*K*EXP(-r_dom*Q694)*_xlfn.NORM.S.DIST(Z694,1)+q*E694*EXP(-q*Q694)*_xlfn.NORM.S.DIST(Y694,1))/365)))</f>
        <v/>
      </c>
      <c r="Q694" s="83" t="str">
        <f t="shared" si="287"/>
        <v/>
      </c>
      <c r="R694" s="38"/>
      <c r="S694" s="68" t="str">
        <f t="shared" si="288"/>
        <v/>
      </c>
      <c r="T694" s="69" t="str">
        <f t="shared" si="289"/>
        <v/>
      </c>
      <c r="U694" s="70" t="str">
        <f t="shared" si="290"/>
        <v/>
      </c>
      <c r="V694" s="72" t="str">
        <f t="shared" si="291"/>
        <v/>
      </c>
      <c r="W694" s="2" t="str">
        <f t="shared" si="278"/>
        <v/>
      </c>
      <c r="X694" s="2" t="str">
        <f t="shared" si="273"/>
        <v/>
      </c>
      <c r="Y694" s="35" t="str">
        <f t="shared" ca="1" si="292"/>
        <v/>
      </c>
      <c r="Z694" s="36" t="str">
        <f t="shared" ca="1" si="293"/>
        <v/>
      </c>
      <c r="AA694" s="70" t="str">
        <f t="shared" si="294"/>
        <v/>
      </c>
      <c r="AB694" s="2"/>
      <c r="AC694" s="94" t="str">
        <f t="shared" si="274"/>
        <v/>
      </c>
      <c r="AD694" s="95" t="str">
        <f t="shared" si="275"/>
        <v/>
      </c>
      <c r="AE694" s="96" t="str">
        <f t="shared" si="276"/>
        <v/>
      </c>
      <c r="AF694" s="124" t="str">
        <f t="shared" si="277"/>
        <v/>
      </c>
      <c r="AG694" s="2"/>
      <c r="AH694" s="2"/>
      <c r="AI694" s="2"/>
      <c r="AJ694" s="2"/>
      <c r="AK694" s="2"/>
      <c r="AL694" s="2"/>
    </row>
    <row r="695" spans="1:38" x14ac:dyDescent="0.2">
      <c r="A695" s="45"/>
      <c r="B695" s="43" t="str">
        <f t="shared" si="280"/>
        <v/>
      </c>
      <c r="C695" s="96" t="str">
        <f t="shared" si="279"/>
        <v/>
      </c>
      <c r="D695" s="44" t="str">
        <f t="shared" si="281"/>
        <v/>
      </c>
      <c r="E695" s="52"/>
      <c r="F695" s="63" t="str">
        <f t="shared" si="282"/>
        <v/>
      </c>
      <c r="G695" s="56" t="str">
        <f t="shared" si="283"/>
        <v/>
      </c>
      <c r="H695" s="42"/>
      <c r="I695" s="2" t="str">
        <f t="shared" si="284"/>
        <v/>
      </c>
      <c r="J695" s="54" t="str">
        <f t="shared" si="271"/>
        <v/>
      </c>
      <c r="K695" s="55" t="str">
        <f t="shared" si="285"/>
        <v/>
      </c>
      <c r="L695" s="63" t="str">
        <f t="shared" si="286"/>
        <v/>
      </c>
      <c r="M695" s="96" t="str">
        <f t="shared" si="272"/>
        <v/>
      </c>
      <c r="N695" s="96" t="str">
        <f>IF(A695="","",IF(A695=Expiry,0,EXP(-q*Q695)*_xlfn.NORM.S.DIST(Y695,0)/(sigma*SQRT(Q695))*I695*Mult/100))</f>
        <v/>
      </c>
      <c r="O695" s="96" t="str">
        <f>IF(A695="","",IF(A695=Expiry,0,D695*E695*E695*EXP(-q*Q695)*_xlfn.NORM.S.DIST(Y695,0)*SQRT(Q695)/100))</f>
        <v/>
      </c>
      <c r="P695" s="69" t="str">
        <f>IF(A695="","",IF(A695=Expiry,0,AK695*I695*Mult*((-EXP(-q*Q695)*E695*_xlfn.NORM.S.DIST(Y695,0)*sigma/(2*SQRT(Q695))-r_dom*K*EXP(-r_dom*Q695)*_xlfn.NORM.S.DIST(Z695,1)+q*E695*EXP(-q*Q695)*_xlfn.NORM.S.DIST(Y695,1))/365)))</f>
        <v/>
      </c>
      <c r="Q695" s="83" t="str">
        <f t="shared" si="287"/>
        <v/>
      </c>
      <c r="R695" s="38"/>
      <c r="S695" s="68" t="str">
        <f t="shared" si="288"/>
        <v/>
      </c>
      <c r="T695" s="69" t="str">
        <f t="shared" si="289"/>
        <v/>
      </c>
      <c r="U695" s="70" t="str">
        <f t="shared" si="290"/>
        <v/>
      </c>
      <c r="V695" s="72" t="str">
        <f t="shared" si="291"/>
        <v/>
      </c>
      <c r="W695" s="2" t="str">
        <f t="shared" si="278"/>
        <v/>
      </c>
      <c r="X695" s="2" t="str">
        <f t="shared" si="273"/>
        <v/>
      </c>
      <c r="Y695" s="35" t="str">
        <f t="shared" ca="1" si="292"/>
        <v/>
      </c>
      <c r="Z695" s="36" t="str">
        <f t="shared" ca="1" si="293"/>
        <v/>
      </c>
      <c r="AA695" s="70" t="str">
        <f t="shared" si="294"/>
        <v/>
      </c>
      <c r="AB695" s="2"/>
      <c r="AC695" s="94" t="str">
        <f t="shared" si="274"/>
        <v/>
      </c>
      <c r="AD695" s="95" t="str">
        <f t="shared" si="275"/>
        <v/>
      </c>
      <c r="AE695" s="96" t="str">
        <f t="shared" si="276"/>
        <v/>
      </c>
      <c r="AF695" s="124" t="str">
        <f t="shared" si="277"/>
        <v/>
      </c>
      <c r="AG695" s="2"/>
      <c r="AH695" s="2"/>
      <c r="AI695" s="2"/>
      <c r="AJ695" s="2"/>
      <c r="AK695" s="2"/>
      <c r="AL695" s="2"/>
    </row>
    <row r="696" spans="1:38" x14ac:dyDescent="0.2">
      <c r="A696" s="45"/>
      <c r="B696" s="43" t="str">
        <f t="shared" si="280"/>
        <v/>
      </c>
      <c r="C696" s="96" t="str">
        <f t="shared" si="279"/>
        <v/>
      </c>
      <c r="D696" s="44" t="str">
        <f t="shared" si="281"/>
        <v/>
      </c>
      <c r="E696" s="52"/>
      <c r="F696" s="63" t="str">
        <f t="shared" si="282"/>
        <v/>
      </c>
      <c r="G696" s="56" t="str">
        <f t="shared" si="283"/>
        <v/>
      </c>
      <c r="H696" s="42"/>
      <c r="I696" s="2" t="str">
        <f t="shared" si="284"/>
        <v/>
      </c>
      <c r="J696" s="54" t="str">
        <f t="shared" si="271"/>
        <v/>
      </c>
      <c r="K696" s="55" t="str">
        <f t="shared" si="285"/>
        <v/>
      </c>
      <c r="L696" s="63" t="str">
        <f t="shared" si="286"/>
        <v/>
      </c>
      <c r="M696" s="96" t="str">
        <f t="shared" si="272"/>
        <v/>
      </c>
      <c r="N696" s="96" t="str">
        <f>IF(A696="","",IF(A696=Expiry,0,EXP(-q*Q696)*_xlfn.NORM.S.DIST(Y696,0)/(sigma*SQRT(Q696))*I696*Mult/100))</f>
        <v/>
      </c>
      <c r="O696" s="96" t="str">
        <f>IF(A696="","",IF(A696=Expiry,0,D696*E696*E696*EXP(-q*Q696)*_xlfn.NORM.S.DIST(Y696,0)*SQRT(Q696)/100))</f>
        <v/>
      </c>
      <c r="P696" s="69" t="str">
        <f>IF(A696="","",IF(A696=Expiry,0,AK696*I696*Mult*((-EXP(-q*Q696)*E696*_xlfn.NORM.S.DIST(Y696,0)*sigma/(2*SQRT(Q696))-r_dom*K*EXP(-r_dom*Q696)*_xlfn.NORM.S.DIST(Z696,1)+q*E696*EXP(-q*Q696)*_xlfn.NORM.S.DIST(Y696,1))/365)))</f>
        <v/>
      </c>
      <c r="Q696" s="83" t="str">
        <f t="shared" si="287"/>
        <v/>
      </c>
      <c r="R696" s="38"/>
      <c r="S696" s="68" t="str">
        <f t="shared" si="288"/>
        <v/>
      </c>
      <c r="T696" s="69" t="str">
        <f t="shared" si="289"/>
        <v/>
      </c>
      <c r="U696" s="70" t="str">
        <f t="shared" si="290"/>
        <v/>
      </c>
      <c r="V696" s="72" t="str">
        <f t="shared" si="291"/>
        <v/>
      </c>
      <c r="W696" s="2" t="str">
        <f t="shared" si="278"/>
        <v/>
      </c>
      <c r="X696" s="2" t="str">
        <f t="shared" si="273"/>
        <v/>
      </c>
      <c r="Y696" s="35" t="str">
        <f t="shared" ca="1" si="292"/>
        <v/>
      </c>
      <c r="Z696" s="36" t="str">
        <f t="shared" ca="1" si="293"/>
        <v/>
      </c>
      <c r="AA696" s="70" t="str">
        <f t="shared" si="294"/>
        <v/>
      </c>
      <c r="AB696" s="2"/>
      <c r="AC696" s="94" t="str">
        <f t="shared" si="274"/>
        <v/>
      </c>
      <c r="AD696" s="95" t="str">
        <f t="shared" si="275"/>
        <v/>
      </c>
      <c r="AE696" s="96" t="str">
        <f t="shared" si="276"/>
        <v/>
      </c>
      <c r="AF696" s="124" t="str">
        <f t="shared" si="277"/>
        <v/>
      </c>
      <c r="AG696" s="2"/>
      <c r="AH696" s="2"/>
      <c r="AI696" s="2"/>
      <c r="AJ696" s="2"/>
      <c r="AK696" s="2"/>
      <c r="AL696" s="2"/>
    </row>
    <row r="697" spans="1:38" x14ac:dyDescent="0.2">
      <c r="A697" s="45"/>
      <c r="B697" s="43" t="str">
        <f t="shared" si="280"/>
        <v/>
      </c>
      <c r="C697" s="96" t="str">
        <f t="shared" si="279"/>
        <v/>
      </c>
      <c r="D697" s="44" t="str">
        <f t="shared" si="281"/>
        <v/>
      </c>
      <c r="E697" s="52"/>
      <c r="F697" s="63" t="str">
        <f t="shared" si="282"/>
        <v/>
      </c>
      <c r="G697" s="56" t="str">
        <f t="shared" si="283"/>
        <v/>
      </c>
      <c r="H697" s="42"/>
      <c r="I697" s="2" t="str">
        <f t="shared" si="284"/>
        <v/>
      </c>
      <c r="J697" s="54" t="str">
        <f t="shared" si="271"/>
        <v/>
      </c>
      <c r="K697" s="55" t="str">
        <f t="shared" si="285"/>
        <v/>
      </c>
      <c r="L697" s="63" t="str">
        <f t="shared" si="286"/>
        <v/>
      </c>
      <c r="M697" s="96" t="str">
        <f t="shared" si="272"/>
        <v/>
      </c>
      <c r="N697" s="96" t="str">
        <f>IF(A697="","",IF(A697=Expiry,0,EXP(-q*Q697)*_xlfn.NORM.S.DIST(Y697,0)/(sigma*SQRT(Q697))*I697*Mult/100))</f>
        <v/>
      </c>
      <c r="O697" s="96" t="str">
        <f>IF(A697="","",IF(A697=Expiry,0,D697*E697*E697*EXP(-q*Q697)*_xlfn.NORM.S.DIST(Y697,0)*SQRT(Q697)/100))</f>
        <v/>
      </c>
      <c r="P697" s="69" t="str">
        <f>IF(A697="","",IF(A697=Expiry,0,AK697*I697*Mult*((-EXP(-q*Q697)*E697*_xlfn.NORM.S.DIST(Y697,0)*sigma/(2*SQRT(Q697))-r_dom*K*EXP(-r_dom*Q697)*_xlfn.NORM.S.DIST(Z697,1)+q*E697*EXP(-q*Q697)*_xlfn.NORM.S.DIST(Y697,1))/365)))</f>
        <v/>
      </c>
      <c r="Q697" s="83" t="str">
        <f t="shared" si="287"/>
        <v/>
      </c>
      <c r="R697" s="38"/>
      <c r="S697" s="68" t="str">
        <f t="shared" si="288"/>
        <v/>
      </c>
      <c r="T697" s="69" t="str">
        <f t="shared" si="289"/>
        <v/>
      </c>
      <c r="U697" s="70" t="str">
        <f t="shared" si="290"/>
        <v/>
      </c>
      <c r="V697" s="72" t="str">
        <f t="shared" si="291"/>
        <v/>
      </c>
      <c r="W697" s="2" t="str">
        <f t="shared" si="278"/>
        <v/>
      </c>
      <c r="X697" s="2" t="str">
        <f t="shared" si="273"/>
        <v/>
      </c>
      <c r="Y697" s="35" t="str">
        <f t="shared" ca="1" si="292"/>
        <v/>
      </c>
      <c r="Z697" s="36" t="str">
        <f t="shared" ca="1" si="293"/>
        <v/>
      </c>
      <c r="AA697" s="70" t="str">
        <f t="shared" si="294"/>
        <v/>
      </c>
      <c r="AB697" s="2"/>
      <c r="AC697" s="94" t="str">
        <f t="shared" si="274"/>
        <v/>
      </c>
      <c r="AD697" s="95" t="str">
        <f t="shared" si="275"/>
        <v/>
      </c>
      <c r="AE697" s="96" t="str">
        <f t="shared" si="276"/>
        <v/>
      </c>
      <c r="AF697" s="124" t="str">
        <f t="shared" si="277"/>
        <v/>
      </c>
      <c r="AG697" s="2"/>
      <c r="AH697" s="2"/>
      <c r="AI697" s="2"/>
      <c r="AJ697" s="2"/>
      <c r="AK697" s="2"/>
      <c r="AL697" s="2"/>
    </row>
    <row r="698" spans="1:38" x14ac:dyDescent="0.2">
      <c r="A698" s="45"/>
      <c r="B698" s="43" t="str">
        <f t="shared" si="280"/>
        <v/>
      </c>
      <c r="C698" s="96" t="str">
        <f t="shared" si="279"/>
        <v/>
      </c>
      <c r="D698" s="44" t="str">
        <f t="shared" si="281"/>
        <v/>
      </c>
      <c r="E698" s="52"/>
      <c r="F698" s="63" t="str">
        <f t="shared" si="282"/>
        <v/>
      </c>
      <c r="G698" s="56" t="str">
        <f t="shared" si="283"/>
        <v/>
      </c>
      <c r="H698" s="42"/>
      <c r="I698" s="2" t="str">
        <f t="shared" si="284"/>
        <v/>
      </c>
      <c r="J698" s="54" t="str">
        <f t="shared" si="271"/>
        <v/>
      </c>
      <c r="K698" s="55" t="str">
        <f t="shared" si="285"/>
        <v/>
      </c>
      <c r="L698" s="63" t="str">
        <f t="shared" si="286"/>
        <v/>
      </c>
      <c r="M698" s="96" t="str">
        <f t="shared" si="272"/>
        <v/>
      </c>
      <c r="N698" s="96" t="str">
        <f>IF(A698="","",IF(A698=Expiry,0,EXP(-q*Q698)*_xlfn.NORM.S.DIST(Y698,0)/(sigma*SQRT(Q698))*I698*Mult/100))</f>
        <v/>
      </c>
      <c r="O698" s="96" t="str">
        <f>IF(A698="","",IF(A698=Expiry,0,D698*E698*E698*EXP(-q*Q698)*_xlfn.NORM.S.DIST(Y698,0)*SQRT(Q698)/100))</f>
        <v/>
      </c>
      <c r="P698" s="69" t="str">
        <f>IF(A698="","",IF(A698=Expiry,0,AK698*I698*Mult*((-EXP(-q*Q698)*E698*_xlfn.NORM.S.DIST(Y698,0)*sigma/(2*SQRT(Q698))-r_dom*K*EXP(-r_dom*Q698)*_xlfn.NORM.S.DIST(Z698,1)+q*E698*EXP(-q*Q698)*_xlfn.NORM.S.DIST(Y698,1))/365)))</f>
        <v/>
      </c>
      <c r="Q698" s="83" t="str">
        <f t="shared" si="287"/>
        <v/>
      </c>
      <c r="R698" s="38"/>
      <c r="S698" s="68" t="str">
        <f t="shared" si="288"/>
        <v/>
      </c>
      <c r="T698" s="69" t="str">
        <f t="shared" si="289"/>
        <v/>
      </c>
      <c r="U698" s="70" t="str">
        <f t="shared" si="290"/>
        <v/>
      </c>
      <c r="V698" s="72" t="str">
        <f t="shared" si="291"/>
        <v/>
      </c>
      <c r="W698" s="2" t="str">
        <f t="shared" si="278"/>
        <v/>
      </c>
      <c r="X698" s="2" t="str">
        <f t="shared" si="273"/>
        <v/>
      </c>
      <c r="Y698" s="35" t="str">
        <f t="shared" ca="1" si="292"/>
        <v/>
      </c>
      <c r="Z698" s="36" t="str">
        <f t="shared" ca="1" si="293"/>
        <v/>
      </c>
      <c r="AA698" s="70" t="str">
        <f t="shared" si="294"/>
        <v/>
      </c>
      <c r="AB698" s="2"/>
      <c r="AC698" s="94" t="str">
        <f t="shared" si="274"/>
        <v/>
      </c>
      <c r="AD698" s="95" t="str">
        <f t="shared" si="275"/>
        <v/>
      </c>
      <c r="AE698" s="96" t="str">
        <f t="shared" si="276"/>
        <v/>
      </c>
      <c r="AF698" s="124" t="str">
        <f t="shared" si="277"/>
        <v/>
      </c>
      <c r="AG698" s="2"/>
      <c r="AH698" s="2"/>
      <c r="AI698" s="2"/>
      <c r="AJ698" s="2"/>
      <c r="AK698" s="2"/>
      <c r="AL698" s="2"/>
    </row>
    <row r="699" spans="1:38" x14ac:dyDescent="0.2">
      <c r="A699" s="45"/>
      <c r="B699" s="43" t="str">
        <f t="shared" si="280"/>
        <v/>
      </c>
      <c r="C699" s="96" t="str">
        <f t="shared" si="279"/>
        <v/>
      </c>
      <c r="D699" s="44" t="str">
        <f t="shared" si="281"/>
        <v/>
      </c>
      <c r="E699" s="52"/>
      <c r="F699" s="63" t="str">
        <f t="shared" si="282"/>
        <v/>
      </c>
      <c r="G699" s="56" t="str">
        <f t="shared" si="283"/>
        <v/>
      </c>
      <c r="H699" s="42"/>
      <c r="I699" s="2" t="str">
        <f t="shared" si="284"/>
        <v/>
      </c>
      <c r="J699" s="54" t="str">
        <f t="shared" si="271"/>
        <v/>
      </c>
      <c r="K699" s="55" t="str">
        <f t="shared" si="285"/>
        <v/>
      </c>
      <c r="L699" s="63" t="str">
        <f t="shared" si="286"/>
        <v/>
      </c>
      <c r="M699" s="96" t="str">
        <f t="shared" si="272"/>
        <v/>
      </c>
      <c r="N699" s="96" t="str">
        <f>IF(A699="","",IF(A699=Expiry,0,EXP(-q*Q699)*_xlfn.NORM.S.DIST(Y699,0)/(sigma*SQRT(Q699))*I699*Mult/100))</f>
        <v/>
      </c>
      <c r="O699" s="96" t="str">
        <f>IF(A699="","",IF(A699=Expiry,0,D699*E699*E699*EXP(-q*Q699)*_xlfn.NORM.S.DIST(Y699,0)*SQRT(Q699)/100))</f>
        <v/>
      </c>
      <c r="P699" s="69" t="str">
        <f>IF(A699="","",IF(A699=Expiry,0,AK699*I699*Mult*((-EXP(-q*Q699)*E699*_xlfn.NORM.S.DIST(Y699,0)*sigma/(2*SQRT(Q699))-r_dom*K*EXP(-r_dom*Q699)*_xlfn.NORM.S.DIST(Z699,1)+q*E699*EXP(-q*Q699)*_xlfn.NORM.S.DIST(Y699,1))/365)))</f>
        <v/>
      </c>
      <c r="Q699" s="83" t="str">
        <f t="shared" si="287"/>
        <v/>
      </c>
      <c r="R699" s="38"/>
      <c r="S699" s="68" t="str">
        <f t="shared" si="288"/>
        <v/>
      </c>
      <c r="T699" s="69" t="str">
        <f t="shared" si="289"/>
        <v/>
      </c>
      <c r="U699" s="70" t="str">
        <f t="shared" si="290"/>
        <v/>
      </c>
      <c r="V699" s="72" t="str">
        <f t="shared" si="291"/>
        <v/>
      </c>
      <c r="W699" s="2" t="str">
        <f t="shared" si="278"/>
        <v/>
      </c>
      <c r="X699" s="2" t="str">
        <f t="shared" si="273"/>
        <v/>
      </c>
      <c r="Y699" s="35" t="str">
        <f t="shared" ca="1" si="292"/>
        <v/>
      </c>
      <c r="Z699" s="36" t="str">
        <f t="shared" ca="1" si="293"/>
        <v/>
      </c>
      <c r="AA699" s="70" t="str">
        <f t="shared" si="294"/>
        <v/>
      </c>
      <c r="AB699" s="2"/>
      <c r="AC699" s="94" t="str">
        <f t="shared" si="274"/>
        <v/>
      </c>
      <c r="AD699" s="95" t="str">
        <f t="shared" si="275"/>
        <v/>
      </c>
      <c r="AE699" s="96" t="str">
        <f t="shared" si="276"/>
        <v/>
      </c>
      <c r="AF699" s="124" t="str">
        <f t="shared" si="277"/>
        <v/>
      </c>
      <c r="AG699" s="2"/>
      <c r="AH699" s="2"/>
      <c r="AI699" s="2"/>
      <c r="AJ699" s="2"/>
      <c r="AK699" s="2"/>
      <c r="AL699" s="2"/>
    </row>
    <row r="700" spans="1:38" x14ac:dyDescent="0.2">
      <c r="A700" s="45"/>
      <c r="B700" s="43" t="str">
        <f t="shared" si="280"/>
        <v/>
      </c>
      <c r="C700" s="96" t="str">
        <f t="shared" si="279"/>
        <v/>
      </c>
      <c r="D700" s="44" t="str">
        <f t="shared" si="281"/>
        <v/>
      </c>
      <c r="E700" s="52"/>
      <c r="F700" s="63" t="str">
        <f t="shared" si="282"/>
        <v/>
      </c>
      <c r="G700" s="56" t="str">
        <f t="shared" si="283"/>
        <v/>
      </c>
      <c r="H700" s="42"/>
      <c r="I700" s="2" t="str">
        <f t="shared" si="284"/>
        <v/>
      </c>
      <c r="J700" s="54" t="str">
        <f t="shared" si="271"/>
        <v/>
      </c>
      <c r="K700" s="55" t="str">
        <f t="shared" si="285"/>
        <v/>
      </c>
      <c r="L700" s="63" t="str">
        <f t="shared" si="286"/>
        <v/>
      </c>
      <c r="M700" s="96" t="str">
        <f t="shared" si="272"/>
        <v/>
      </c>
      <c r="N700" s="96" t="str">
        <f>IF(A700="","",IF(A700=Expiry,0,EXP(-q*Q700)*_xlfn.NORM.S.DIST(Y700,0)/(sigma*SQRT(Q700))*I700*Mult/100))</f>
        <v/>
      </c>
      <c r="O700" s="96" t="str">
        <f>IF(A700="","",IF(A700=Expiry,0,D700*E700*E700*EXP(-q*Q700)*_xlfn.NORM.S.DIST(Y700,0)*SQRT(Q700)/100))</f>
        <v/>
      </c>
      <c r="P700" s="69" t="str">
        <f>IF(A700="","",IF(A700=Expiry,0,AK700*I700*Mult*((-EXP(-q*Q700)*E700*_xlfn.NORM.S.DIST(Y700,0)*sigma/(2*SQRT(Q700))-r_dom*K*EXP(-r_dom*Q700)*_xlfn.NORM.S.DIST(Z700,1)+q*E700*EXP(-q*Q700)*_xlfn.NORM.S.DIST(Y700,1))/365)))</f>
        <v/>
      </c>
      <c r="Q700" s="83" t="str">
        <f t="shared" si="287"/>
        <v/>
      </c>
      <c r="R700" s="38"/>
      <c r="S700" s="68" t="str">
        <f t="shared" si="288"/>
        <v/>
      </c>
      <c r="T700" s="69" t="str">
        <f t="shared" si="289"/>
        <v/>
      </c>
      <c r="U700" s="70" t="str">
        <f t="shared" si="290"/>
        <v/>
      </c>
      <c r="V700" s="72" t="str">
        <f t="shared" si="291"/>
        <v/>
      </c>
      <c r="W700" s="2" t="str">
        <f t="shared" si="278"/>
        <v/>
      </c>
      <c r="X700" s="2" t="str">
        <f t="shared" si="273"/>
        <v/>
      </c>
      <c r="Y700" s="35" t="str">
        <f t="shared" ca="1" si="292"/>
        <v/>
      </c>
      <c r="Z700" s="36" t="str">
        <f t="shared" ca="1" si="293"/>
        <v/>
      </c>
      <c r="AA700" s="70" t="str">
        <f t="shared" si="294"/>
        <v/>
      </c>
      <c r="AB700" s="2"/>
      <c r="AC700" s="94" t="str">
        <f t="shared" si="274"/>
        <v/>
      </c>
      <c r="AD700" s="95" t="str">
        <f t="shared" si="275"/>
        <v/>
      </c>
      <c r="AE700" s="96" t="str">
        <f t="shared" si="276"/>
        <v/>
      </c>
      <c r="AF700" s="124" t="str">
        <f t="shared" si="277"/>
        <v/>
      </c>
      <c r="AG700" s="2"/>
      <c r="AH700" s="2"/>
      <c r="AI700" s="2"/>
      <c r="AJ700" s="2"/>
      <c r="AK700" s="2"/>
      <c r="AL700" s="2"/>
    </row>
    <row r="701" spans="1:38" x14ac:dyDescent="0.2">
      <c r="A701" s="45"/>
      <c r="B701" s="43" t="str">
        <f t="shared" si="280"/>
        <v/>
      </c>
      <c r="C701" s="96" t="str">
        <f t="shared" si="279"/>
        <v/>
      </c>
      <c r="D701" s="44" t="str">
        <f t="shared" si="281"/>
        <v/>
      </c>
      <c r="E701" s="52"/>
      <c r="F701" s="63" t="str">
        <f t="shared" si="282"/>
        <v/>
      </c>
      <c r="G701" s="56" t="str">
        <f t="shared" si="283"/>
        <v/>
      </c>
      <c r="H701" s="42"/>
      <c r="I701" s="2" t="str">
        <f t="shared" si="284"/>
        <v/>
      </c>
      <c r="J701" s="54" t="str">
        <f t="shared" si="271"/>
        <v/>
      </c>
      <c r="K701" s="55" t="str">
        <f t="shared" si="285"/>
        <v/>
      </c>
      <c r="L701" s="63" t="str">
        <f t="shared" si="286"/>
        <v/>
      </c>
      <c r="M701" s="96" t="str">
        <f t="shared" si="272"/>
        <v/>
      </c>
      <c r="N701" s="96" t="str">
        <f>IF(A701="","",IF(A701=Expiry,0,EXP(-q*Q701)*_xlfn.NORM.S.DIST(Y701,0)/(sigma*SQRT(Q701))*I701*Mult/100))</f>
        <v/>
      </c>
      <c r="O701" s="96" t="str">
        <f>IF(A701="","",IF(A701=Expiry,0,D701*E701*E701*EXP(-q*Q701)*_xlfn.NORM.S.DIST(Y701,0)*SQRT(Q701)/100))</f>
        <v/>
      </c>
      <c r="P701" s="69" t="str">
        <f>IF(A701="","",IF(A701=Expiry,0,AK701*I701*Mult*((-EXP(-q*Q701)*E701*_xlfn.NORM.S.DIST(Y701,0)*sigma/(2*SQRT(Q701))-r_dom*K*EXP(-r_dom*Q701)*_xlfn.NORM.S.DIST(Z701,1)+q*E701*EXP(-q*Q701)*_xlfn.NORM.S.DIST(Y701,1))/365)))</f>
        <v/>
      </c>
      <c r="Q701" s="83" t="str">
        <f t="shared" si="287"/>
        <v/>
      </c>
      <c r="R701" s="38"/>
      <c r="S701" s="68" t="str">
        <f t="shared" si="288"/>
        <v/>
      </c>
      <c r="T701" s="69" t="str">
        <f t="shared" si="289"/>
        <v/>
      </c>
      <c r="U701" s="70" t="str">
        <f t="shared" si="290"/>
        <v/>
      </c>
      <c r="V701" s="72" t="str">
        <f t="shared" si="291"/>
        <v/>
      </c>
      <c r="W701" s="2" t="str">
        <f t="shared" si="278"/>
        <v/>
      </c>
      <c r="X701" s="2" t="str">
        <f t="shared" si="273"/>
        <v/>
      </c>
      <c r="Y701" s="35" t="str">
        <f t="shared" ca="1" si="292"/>
        <v/>
      </c>
      <c r="Z701" s="36" t="str">
        <f t="shared" ca="1" si="293"/>
        <v/>
      </c>
      <c r="AA701" s="70" t="str">
        <f t="shared" si="294"/>
        <v/>
      </c>
      <c r="AB701" s="2"/>
      <c r="AC701" s="94" t="str">
        <f t="shared" si="274"/>
        <v/>
      </c>
      <c r="AD701" s="95" t="str">
        <f t="shared" si="275"/>
        <v/>
      </c>
      <c r="AE701" s="96" t="str">
        <f t="shared" si="276"/>
        <v/>
      </c>
      <c r="AF701" s="124" t="str">
        <f t="shared" si="277"/>
        <v/>
      </c>
      <c r="AG701" s="2"/>
      <c r="AH701" s="2"/>
      <c r="AI701" s="2"/>
      <c r="AJ701" s="2"/>
      <c r="AK701" s="2"/>
      <c r="AL701" s="2"/>
    </row>
    <row r="702" spans="1:38" x14ac:dyDescent="0.2">
      <c r="A702" s="45"/>
      <c r="B702" s="43" t="str">
        <f t="shared" si="280"/>
        <v/>
      </c>
      <c r="C702" s="96" t="str">
        <f t="shared" si="279"/>
        <v/>
      </c>
      <c r="D702" s="44" t="str">
        <f t="shared" si="281"/>
        <v/>
      </c>
      <c r="E702" s="52"/>
      <c r="F702" s="63" t="str">
        <f t="shared" si="282"/>
        <v/>
      </c>
      <c r="G702" s="56" t="str">
        <f t="shared" si="283"/>
        <v/>
      </c>
      <c r="H702" s="42"/>
      <c r="I702" s="2" t="str">
        <f t="shared" si="284"/>
        <v/>
      </c>
      <c r="J702" s="54" t="str">
        <f t="shared" si="271"/>
        <v/>
      </c>
      <c r="K702" s="55" t="str">
        <f t="shared" si="285"/>
        <v/>
      </c>
      <c r="L702" s="63" t="str">
        <f t="shared" si="286"/>
        <v/>
      </c>
      <c r="M702" s="96" t="str">
        <f t="shared" si="272"/>
        <v/>
      </c>
      <c r="N702" s="96" t="str">
        <f>IF(A702="","",IF(A702=Expiry,0,EXP(-q*Q702)*_xlfn.NORM.S.DIST(Y702,0)/(sigma*SQRT(Q702))*I702*Mult/100))</f>
        <v/>
      </c>
      <c r="O702" s="96" t="str">
        <f>IF(A702="","",IF(A702=Expiry,0,D702*E702*E702*EXP(-q*Q702)*_xlfn.NORM.S.DIST(Y702,0)*SQRT(Q702)/100))</f>
        <v/>
      </c>
      <c r="P702" s="69" t="str">
        <f>IF(A702="","",IF(A702=Expiry,0,AK702*I702*Mult*((-EXP(-q*Q702)*E702*_xlfn.NORM.S.DIST(Y702,0)*sigma/(2*SQRT(Q702))-r_dom*K*EXP(-r_dom*Q702)*_xlfn.NORM.S.DIST(Z702,1)+q*E702*EXP(-q*Q702)*_xlfn.NORM.S.DIST(Y702,1))/365)))</f>
        <v/>
      </c>
      <c r="Q702" s="83" t="str">
        <f t="shared" si="287"/>
        <v/>
      </c>
      <c r="R702" s="38"/>
      <c r="S702" s="68" t="str">
        <f t="shared" si="288"/>
        <v/>
      </c>
      <c r="T702" s="69" t="str">
        <f t="shared" si="289"/>
        <v/>
      </c>
      <c r="U702" s="70" t="str">
        <f t="shared" si="290"/>
        <v/>
      </c>
      <c r="V702" s="72" t="str">
        <f t="shared" si="291"/>
        <v/>
      </c>
      <c r="W702" s="2" t="str">
        <f t="shared" si="278"/>
        <v/>
      </c>
      <c r="X702" s="2" t="str">
        <f t="shared" si="273"/>
        <v/>
      </c>
      <c r="Y702" s="35" t="str">
        <f t="shared" ca="1" si="292"/>
        <v/>
      </c>
      <c r="Z702" s="36" t="str">
        <f t="shared" ca="1" si="293"/>
        <v/>
      </c>
      <c r="AA702" s="70" t="str">
        <f t="shared" si="294"/>
        <v/>
      </c>
      <c r="AB702" s="2"/>
      <c r="AC702" s="94" t="str">
        <f t="shared" si="274"/>
        <v/>
      </c>
      <c r="AD702" s="95" t="str">
        <f t="shared" si="275"/>
        <v/>
      </c>
      <c r="AE702" s="96" t="str">
        <f t="shared" si="276"/>
        <v/>
      </c>
      <c r="AF702" s="124" t="str">
        <f t="shared" si="277"/>
        <v/>
      </c>
      <c r="AG702" s="2"/>
      <c r="AH702" s="2"/>
      <c r="AI702" s="2"/>
      <c r="AJ702" s="2"/>
      <c r="AK702" s="2"/>
      <c r="AL702" s="2"/>
    </row>
    <row r="703" spans="1:38" x14ac:dyDescent="0.2">
      <c r="A703" s="45"/>
      <c r="B703" s="43" t="str">
        <f t="shared" si="280"/>
        <v/>
      </c>
      <c r="C703" s="96" t="str">
        <f t="shared" si="279"/>
        <v/>
      </c>
      <c r="D703" s="44" t="str">
        <f t="shared" si="281"/>
        <v/>
      </c>
      <c r="E703" s="52"/>
      <c r="F703" s="63" t="str">
        <f t="shared" si="282"/>
        <v/>
      </c>
      <c r="G703" s="56" t="str">
        <f t="shared" si="283"/>
        <v/>
      </c>
      <c r="H703" s="42"/>
      <c r="I703" s="2" t="str">
        <f t="shared" si="284"/>
        <v/>
      </c>
      <c r="J703" s="54" t="str">
        <f t="shared" si="271"/>
        <v/>
      </c>
      <c r="K703" s="55" t="str">
        <f t="shared" si="285"/>
        <v/>
      </c>
      <c r="L703" s="63" t="str">
        <f t="shared" si="286"/>
        <v/>
      </c>
      <c r="M703" s="96" t="str">
        <f t="shared" si="272"/>
        <v/>
      </c>
      <c r="N703" s="96" t="str">
        <f>IF(A703="","",IF(A703=Expiry,0,EXP(-q*Q703)*_xlfn.NORM.S.DIST(Y703,0)/(sigma*SQRT(Q703))*I703*Mult/100))</f>
        <v/>
      </c>
      <c r="O703" s="96" t="str">
        <f>IF(A703="","",IF(A703=Expiry,0,D703*E703*E703*EXP(-q*Q703)*_xlfn.NORM.S.DIST(Y703,0)*SQRT(Q703)/100))</f>
        <v/>
      </c>
      <c r="P703" s="69" t="str">
        <f>IF(A703="","",IF(A703=Expiry,0,AK703*I703*Mult*((-EXP(-q*Q703)*E703*_xlfn.NORM.S.DIST(Y703,0)*sigma/(2*SQRT(Q703))-r_dom*K*EXP(-r_dom*Q703)*_xlfn.NORM.S.DIST(Z703,1)+q*E703*EXP(-q*Q703)*_xlfn.NORM.S.DIST(Y703,1))/365)))</f>
        <v/>
      </c>
      <c r="Q703" s="83" t="str">
        <f t="shared" si="287"/>
        <v/>
      </c>
      <c r="R703" s="38"/>
      <c r="S703" s="68" t="str">
        <f t="shared" si="288"/>
        <v/>
      </c>
      <c r="T703" s="69" t="str">
        <f t="shared" si="289"/>
        <v/>
      </c>
      <c r="U703" s="70" t="str">
        <f t="shared" si="290"/>
        <v/>
      </c>
      <c r="V703" s="72" t="str">
        <f t="shared" si="291"/>
        <v/>
      </c>
      <c r="W703" s="2" t="str">
        <f t="shared" si="278"/>
        <v/>
      </c>
      <c r="X703" s="2" t="str">
        <f t="shared" si="273"/>
        <v/>
      </c>
      <c r="Y703" s="35" t="str">
        <f t="shared" ca="1" si="292"/>
        <v/>
      </c>
      <c r="Z703" s="36" t="str">
        <f t="shared" ca="1" si="293"/>
        <v/>
      </c>
      <c r="AA703" s="70" t="str">
        <f t="shared" si="294"/>
        <v/>
      </c>
      <c r="AB703" s="2"/>
      <c r="AC703" s="94" t="str">
        <f t="shared" si="274"/>
        <v/>
      </c>
      <c r="AD703" s="95" t="str">
        <f t="shared" si="275"/>
        <v/>
      </c>
      <c r="AE703" s="96" t="str">
        <f t="shared" si="276"/>
        <v/>
      </c>
      <c r="AF703" s="124" t="str">
        <f t="shared" si="277"/>
        <v/>
      </c>
      <c r="AG703" s="2"/>
      <c r="AH703" s="2"/>
      <c r="AI703" s="2"/>
      <c r="AJ703" s="2"/>
      <c r="AK703" s="2"/>
      <c r="AL703" s="2"/>
    </row>
    <row r="704" spans="1:38" x14ac:dyDescent="0.2">
      <c r="A704" s="45"/>
      <c r="B704" s="43" t="str">
        <f t="shared" si="280"/>
        <v/>
      </c>
      <c r="C704" s="96" t="str">
        <f t="shared" si="279"/>
        <v/>
      </c>
      <c r="D704" s="44" t="str">
        <f t="shared" si="281"/>
        <v/>
      </c>
      <c r="E704" s="52"/>
      <c r="F704" s="63" t="str">
        <f t="shared" si="282"/>
        <v/>
      </c>
      <c r="G704" s="56" t="str">
        <f t="shared" si="283"/>
        <v/>
      </c>
      <c r="H704" s="42"/>
      <c r="I704" s="2" t="str">
        <f t="shared" si="284"/>
        <v/>
      </c>
      <c r="J704" s="54" t="str">
        <f t="shared" si="271"/>
        <v/>
      </c>
      <c r="K704" s="55" t="str">
        <f t="shared" si="285"/>
        <v/>
      </c>
      <c r="L704" s="63" t="str">
        <f t="shared" si="286"/>
        <v/>
      </c>
      <c r="M704" s="96" t="str">
        <f t="shared" si="272"/>
        <v/>
      </c>
      <c r="N704" s="96" t="str">
        <f>IF(A704="","",IF(A704=Expiry,0,EXP(-q*Q704)*_xlfn.NORM.S.DIST(Y704,0)/(sigma*SQRT(Q704))*I704*Mult/100))</f>
        <v/>
      </c>
      <c r="O704" s="96" t="str">
        <f>IF(A704="","",IF(A704=Expiry,0,D704*E704*E704*EXP(-q*Q704)*_xlfn.NORM.S.DIST(Y704,0)*SQRT(Q704)/100))</f>
        <v/>
      </c>
      <c r="P704" s="69" t="str">
        <f>IF(A704="","",IF(A704=Expiry,0,AK704*I704*Mult*((-EXP(-q*Q704)*E704*_xlfn.NORM.S.DIST(Y704,0)*sigma/(2*SQRT(Q704))-r_dom*K*EXP(-r_dom*Q704)*_xlfn.NORM.S.DIST(Z704,1)+q*E704*EXP(-q*Q704)*_xlfn.NORM.S.DIST(Y704,1))/365)))</f>
        <v/>
      </c>
      <c r="Q704" s="83" t="str">
        <f t="shared" si="287"/>
        <v/>
      </c>
      <c r="R704" s="38"/>
      <c r="S704" s="68" t="str">
        <f t="shared" si="288"/>
        <v/>
      </c>
      <c r="T704" s="69" t="str">
        <f t="shared" si="289"/>
        <v/>
      </c>
      <c r="U704" s="70" t="str">
        <f t="shared" si="290"/>
        <v/>
      </c>
      <c r="V704" s="72" t="str">
        <f t="shared" si="291"/>
        <v/>
      </c>
      <c r="W704" s="2" t="str">
        <f t="shared" si="278"/>
        <v/>
      </c>
      <c r="X704" s="2" t="str">
        <f t="shared" si="273"/>
        <v/>
      </c>
      <c r="Y704" s="35" t="str">
        <f t="shared" ca="1" si="292"/>
        <v/>
      </c>
      <c r="Z704" s="36" t="str">
        <f t="shared" ca="1" si="293"/>
        <v/>
      </c>
      <c r="AA704" s="70" t="str">
        <f t="shared" si="294"/>
        <v/>
      </c>
      <c r="AB704" s="2"/>
      <c r="AC704" s="94" t="str">
        <f t="shared" si="274"/>
        <v/>
      </c>
      <c r="AD704" s="95" t="str">
        <f t="shared" si="275"/>
        <v/>
      </c>
      <c r="AE704" s="96" t="str">
        <f t="shared" si="276"/>
        <v/>
      </c>
      <c r="AF704" s="124" t="str">
        <f t="shared" si="277"/>
        <v/>
      </c>
      <c r="AG704" s="2"/>
      <c r="AH704" s="2"/>
      <c r="AI704" s="2"/>
      <c r="AJ704" s="2"/>
      <c r="AK704" s="2"/>
      <c r="AL704" s="2"/>
    </row>
    <row r="705" spans="1:38" x14ac:dyDescent="0.2">
      <c r="A705" s="45"/>
      <c r="B705" s="43" t="str">
        <f t="shared" si="280"/>
        <v/>
      </c>
      <c r="C705" s="96" t="str">
        <f t="shared" si="279"/>
        <v/>
      </c>
      <c r="D705" s="44" t="str">
        <f t="shared" si="281"/>
        <v/>
      </c>
      <c r="E705" s="52"/>
      <c r="F705" s="63" t="str">
        <f t="shared" si="282"/>
        <v/>
      </c>
      <c r="G705" s="56" t="str">
        <f t="shared" si="283"/>
        <v/>
      </c>
      <c r="H705" s="42"/>
      <c r="I705" s="2" t="str">
        <f t="shared" si="284"/>
        <v/>
      </c>
      <c r="J705" s="54" t="str">
        <f t="shared" si="271"/>
        <v/>
      </c>
      <c r="K705" s="55" t="str">
        <f t="shared" si="285"/>
        <v/>
      </c>
      <c r="L705" s="63" t="str">
        <f t="shared" si="286"/>
        <v/>
      </c>
      <c r="M705" s="96" t="str">
        <f t="shared" si="272"/>
        <v/>
      </c>
      <c r="N705" s="96" t="str">
        <f>IF(A705="","",IF(A705=Expiry,0,EXP(-q*Q705)*_xlfn.NORM.S.DIST(Y705,0)/(sigma*SQRT(Q705))*I705*Mult/100))</f>
        <v/>
      </c>
      <c r="O705" s="96" t="str">
        <f>IF(A705="","",IF(A705=Expiry,0,D705*E705*E705*EXP(-q*Q705)*_xlfn.NORM.S.DIST(Y705,0)*SQRT(Q705)/100))</f>
        <v/>
      </c>
      <c r="P705" s="69" t="str">
        <f>IF(A705="","",IF(A705=Expiry,0,AK705*I705*Mult*((-EXP(-q*Q705)*E705*_xlfn.NORM.S.DIST(Y705,0)*sigma/(2*SQRT(Q705))-r_dom*K*EXP(-r_dom*Q705)*_xlfn.NORM.S.DIST(Z705,1)+q*E705*EXP(-q*Q705)*_xlfn.NORM.S.DIST(Y705,1))/365)))</f>
        <v/>
      </c>
      <c r="Q705" s="83" t="str">
        <f t="shared" si="287"/>
        <v/>
      </c>
      <c r="R705" s="38"/>
      <c r="S705" s="68" t="str">
        <f t="shared" si="288"/>
        <v/>
      </c>
      <c r="T705" s="69" t="str">
        <f t="shared" si="289"/>
        <v/>
      </c>
      <c r="U705" s="70" t="str">
        <f t="shared" si="290"/>
        <v/>
      </c>
      <c r="V705" s="72" t="str">
        <f t="shared" si="291"/>
        <v/>
      </c>
      <c r="W705" s="2" t="str">
        <f t="shared" si="278"/>
        <v/>
      </c>
      <c r="X705" s="2" t="str">
        <f t="shared" si="273"/>
        <v/>
      </c>
      <c r="Y705" s="35" t="str">
        <f t="shared" ca="1" si="292"/>
        <v/>
      </c>
      <c r="Z705" s="36" t="str">
        <f t="shared" ca="1" si="293"/>
        <v/>
      </c>
      <c r="AA705" s="70" t="str">
        <f t="shared" si="294"/>
        <v/>
      </c>
      <c r="AB705" s="2"/>
      <c r="AC705" s="94" t="str">
        <f t="shared" si="274"/>
        <v/>
      </c>
      <c r="AD705" s="95" t="str">
        <f t="shared" si="275"/>
        <v/>
      </c>
      <c r="AE705" s="96" t="str">
        <f t="shared" si="276"/>
        <v/>
      </c>
      <c r="AF705" s="124" t="str">
        <f t="shared" si="277"/>
        <v/>
      </c>
      <c r="AG705" s="2"/>
      <c r="AH705" s="2"/>
      <c r="AI705" s="2"/>
      <c r="AJ705" s="2"/>
      <c r="AK705" s="2"/>
      <c r="AL705" s="2"/>
    </row>
    <row r="706" spans="1:38" x14ac:dyDescent="0.2">
      <c r="A706" s="45"/>
      <c r="B706" s="43" t="str">
        <f t="shared" si="280"/>
        <v/>
      </c>
      <c r="C706" s="96" t="str">
        <f t="shared" si="279"/>
        <v/>
      </c>
      <c r="D706" s="44" t="str">
        <f t="shared" si="281"/>
        <v/>
      </c>
      <c r="E706" s="52"/>
      <c r="F706" s="63" t="str">
        <f t="shared" si="282"/>
        <v/>
      </c>
      <c r="G706" s="56" t="str">
        <f t="shared" si="283"/>
        <v/>
      </c>
      <c r="H706" s="42"/>
      <c r="I706" s="2" t="str">
        <f t="shared" si="284"/>
        <v/>
      </c>
      <c r="J706" s="54" t="str">
        <f t="shared" si="271"/>
        <v/>
      </c>
      <c r="K706" s="55" t="str">
        <f t="shared" si="285"/>
        <v/>
      </c>
      <c r="L706" s="63" t="str">
        <f t="shared" si="286"/>
        <v/>
      </c>
      <c r="M706" s="96" t="str">
        <f t="shared" si="272"/>
        <v/>
      </c>
      <c r="N706" s="96" t="str">
        <f>IF(A706="","",IF(A706=Expiry,0,EXP(-q*Q706)*_xlfn.NORM.S.DIST(Y706,0)/(sigma*SQRT(Q706))*I706*Mult/100))</f>
        <v/>
      </c>
      <c r="O706" s="96" t="str">
        <f>IF(A706="","",IF(A706=Expiry,0,D706*E706*E706*EXP(-q*Q706)*_xlfn.NORM.S.DIST(Y706,0)*SQRT(Q706)/100))</f>
        <v/>
      </c>
      <c r="P706" s="69" t="str">
        <f>IF(A706="","",IF(A706=Expiry,0,AK706*I706*Mult*((-EXP(-q*Q706)*E706*_xlfn.NORM.S.DIST(Y706,0)*sigma/(2*SQRT(Q706))-r_dom*K*EXP(-r_dom*Q706)*_xlfn.NORM.S.DIST(Z706,1)+q*E706*EXP(-q*Q706)*_xlfn.NORM.S.DIST(Y706,1))/365)))</f>
        <v/>
      </c>
      <c r="Q706" s="83" t="str">
        <f t="shared" si="287"/>
        <v/>
      </c>
      <c r="R706" s="38"/>
      <c r="S706" s="68" t="str">
        <f t="shared" si="288"/>
        <v/>
      </c>
      <c r="T706" s="69" t="str">
        <f t="shared" si="289"/>
        <v/>
      </c>
      <c r="U706" s="70" t="str">
        <f t="shared" si="290"/>
        <v/>
      </c>
      <c r="V706" s="72" t="str">
        <f t="shared" si="291"/>
        <v/>
      </c>
      <c r="W706" s="2" t="str">
        <f t="shared" si="278"/>
        <v/>
      </c>
      <c r="X706" s="2" t="str">
        <f t="shared" si="273"/>
        <v/>
      </c>
      <c r="Y706" s="35" t="str">
        <f t="shared" ca="1" si="292"/>
        <v/>
      </c>
      <c r="Z706" s="36" t="str">
        <f t="shared" ca="1" si="293"/>
        <v/>
      </c>
      <c r="AA706" s="70" t="str">
        <f t="shared" si="294"/>
        <v/>
      </c>
      <c r="AB706" s="2"/>
      <c r="AC706" s="94" t="str">
        <f t="shared" si="274"/>
        <v/>
      </c>
      <c r="AD706" s="95" t="str">
        <f t="shared" si="275"/>
        <v/>
      </c>
      <c r="AE706" s="96" t="str">
        <f t="shared" si="276"/>
        <v/>
      </c>
      <c r="AF706" s="124" t="str">
        <f t="shared" si="277"/>
        <v/>
      </c>
      <c r="AG706" s="2"/>
      <c r="AH706" s="2"/>
      <c r="AI706" s="2"/>
      <c r="AJ706" s="2"/>
      <c r="AK706" s="2"/>
      <c r="AL706" s="2"/>
    </row>
    <row r="707" spans="1:38" x14ac:dyDescent="0.2">
      <c r="A707" s="45"/>
      <c r="B707" s="43" t="str">
        <f t="shared" si="280"/>
        <v/>
      </c>
      <c r="C707" s="96" t="str">
        <f t="shared" si="279"/>
        <v/>
      </c>
      <c r="D707" s="44" t="str">
        <f t="shared" si="281"/>
        <v/>
      </c>
      <c r="E707" s="52"/>
      <c r="F707" s="63" t="str">
        <f t="shared" si="282"/>
        <v/>
      </c>
      <c r="G707" s="56" t="str">
        <f t="shared" si="283"/>
        <v/>
      </c>
      <c r="H707" s="42"/>
      <c r="I707" s="2" t="str">
        <f t="shared" si="284"/>
        <v/>
      </c>
      <c r="J707" s="54" t="str">
        <f t="shared" si="271"/>
        <v/>
      </c>
      <c r="K707" s="55" t="str">
        <f t="shared" si="285"/>
        <v/>
      </c>
      <c r="L707" s="63" t="str">
        <f t="shared" si="286"/>
        <v/>
      </c>
      <c r="M707" s="96" t="str">
        <f t="shared" si="272"/>
        <v/>
      </c>
      <c r="N707" s="96" t="str">
        <f>IF(A707="","",IF(A707=Expiry,0,EXP(-q*Q707)*_xlfn.NORM.S.DIST(Y707,0)/(sigma*SQRT(Q707))*I707*Mult/100))</f>
        <v/>
      </c>
      <c r="O707" s="96" t="str">
        <f>IF(A707="","",IF(A707=Expiry,0,D707*E707*E707*EXP(-q*Q707)*_xlfn.NORM.S.DIST(Y707,0)*SQRT(Q707)/100))</f>
        <v/>
      </c>
      <c r="P707" s="69" t="str">
        <f>IF(A707="","",IF(A707=Expiry,0,AK707*I707*Mult*((-EXP(-q*Q707)*E707*_xlfn.NORM.S.DIST(Y707,0)*sigma/(2*SQRT(Q707))-r_dom*K*EXP(-r_dom*Q707)*_xlfn.NORM.S.DIST(Z707,1)+q*E707*EXP(-q*Q707)*_xlfn.NORM.S.DIST(Y707,1))/365)))</f>
        <v/>
      </c>
      <c r="Q707" s="83" t="str">
        <f t="shared" si="287"/>
        <v/>
      </c>
      <c r="R707" s="38"/>
      <c r="S707" s="68" t="str">
        <f t="shared" si="288"/>
        <v/>
      </c>
      <c r="T707" s="69" t="str">
        <f t="shared" si="289"/>
        <v/>
      </c>
      <c r="U707" s="70" t="str">
        <f t="shared" si="290"/>
        <v/>
      </c>
      <c r="V707" s="72" t="str">
        <f t="shared" si="291"/>
        <v/>
      </c>
      <c r="W707" s="2" t="str">
        <f t="shared" si="278"/>
        <v/>
      </c>
      <c r="X707" s="2" t="str">
        <f t="shared" si="273"/>
        <v/>
      </c>
      <c r="Y707" s="35" t="str">
        <f t="shared" ca="1" si="292"/>
        <v/>
      </c>
      <c r="Z707" s="36" t="str">
        <f t="shared" ca="1" si="293"/>
        <v/>
      </c>
      <c r="AA707" s="70" t="str">
        <f t="shared" si="294"/>
        <v/>
      </c>
      <c r="AB707" s="2"/>
      <c r="AC707" s="94" t="str">
        <f t="shared" si="274"/>
        <v/>
      </c>
      <c r="AD707" s="95" t="str">
        <f t="shared" si="275"/>
        <v/>
      </c>
      <c r="AE707" s="96" t="str">
        <f t="shared" si="276"/>
        <v/>
      </c>
      <c r="AF707" s="124" t="str">
        <f t="shared" si="277"/>
        <v/>
      </c>
      <c r="AG707" s="2"/>
      <c r="AH707" s="2"/>
      <c r="AI707" s="2"/>
      <c r="AJ707" s="2"/>
      <c r="AK707" s="2"/>
      <c r="AL707" s="2"/>
    </row>
    <row r="708" spans="1:38" x14ac:dyDescent="0.2">
      <c r="A708" s="45"/>
      <c r="B708" s="43" t="str">
        <f t="shared" si="280"/>
        <v/>
      </c>
      <c r="C708" s="96" t="str">
        <f t="shared" si="279"/>
        <v/>
      </c>
      <c r="D708" s="44" t="str">
        <f t="shared" si="281"/>
        <v/>
      </c>
      <c r="E708" s="52"/>
      <c r="F708" s="63" t="str">
        <f t="shared" si="282"/>
        <v/>
      </c>
      <c r="G708" s="56" t="str">
        <f t="shared" si="283"/>
        <v/>
      </c>
      <c r="H708" s="42"/>
      <c r="I708" s="2" t="str">
        <f t="shared" si="284"/>
        <v/>
      </c>
      <c r="J708" s="54" t="str">
        <f t="shared" si="271"/>
        <v/>
      </c>
      <c r="K708" s="55" t="str">
        <f t="shared" si="285"/>
        <v/>
      </c>
      <c r="L708" s="63" t="str">
        <f t="shared" si="286"/>
        <v/>
      </c>
      <c r="M708" s="96" t="str">
        <f t="shared" si="272"/>
        <v/>
      </c>
      <c r="N708" s="96" t="str">
        <f>IF(A708="","",IF(A708=Expiry,0,EXP(-q*Q708)*_xlfn.NORM.S.DIST(Y708,0)/(sigma*SQRT(Q708))*I708*Mult/100))</f>
        <v/>
      </c>
      <c r="O708" s="96" t="str">
        <f>IF(A708="","",IF(A708=Expiry,0,D708*E708*E708*EXP(-q*Q708)*_xlfn.NORM.S.DIST(Y708,0)*SQRT(Q708)/100))</f>
        <v/>
      </c>
      <c r="P708" s="69" t="str">
        <f>IF(A708="","",IF(A708=Expiry,0,AK708*I708*Mult*((-EXP(-q*Q708)*E708*_xlfn.NORM.S.DIST(Y708,0)*sigma/(2*SQRT(Q708))-r_dom*K*EXP(-r_dom*Q708)*_xlfn.NORM.S.DIST(Z708,1)+q*E708*EXP(-q*Q708)*_xlfn.NORM.S.DIST(Y708,1))/365)))</f>
        <v/>
      </c>
      <c r="Q708" s="83" t="str">
        <f t="shared" si="287"/>
        <v/>
      </c>
      <c r="R708" s="38"/>
      <c r="S708" s="68" t="str">
        <f t="shared" si="288"/>
        <v/>
      </c>
      <c r="T708" s="69" t="str">
        <f t="shared" si="289"/>
        <v/>
      </c>
      <c r="U708" s="70" t="str">
        <f t="shared" si="290"/>
        <v/>
      </c>
      <c r="V708" s="72" t="str">
        <f t="shared" si="291"/>
        <v/>
      </c>
      <c r="W708" s="2" t="str">
        <f t="shared" si="278"/>
        <v/>
      </c>
      <c r="X708" s="2" t="str">
        <f t="shared" si="273"/>
        <v/>
      </c>
      <c r="Y708" s="35" t="str">
        <f t="shared" ca="1" si="292"/>
        <v/>
      </c>
      <c r="Z708" s="36" t="str">
        <f t="shared" ca="1" si="293"/>
        <v/>
      </c>
      <c r="AA708" s="70" t="str">
        <f t="shared" si="294"/>
        <v/>
      </c>
      <c r="AB708" s="2"/>
      <c r="AC708" s="94" t="str">
        <f t="shared" si="274"/>
        <v/>
      </c>
      <c r="AD708" s="95" t="str">
        <f t="shared" si="275"/>
        <v/>
      </c>
      <c r="AE708" s="96" t="str">
        <f t="shared" si="276"/>
        <v/>
      </c>
      <c r="AF708" s="124" t="str">
        <f t="shared" si="277"/>
        <v/>
      </c>
      <c r="AG708" s="2"/>
      <c r="AH708" s="2"/>
      <c r="AI708" s="2"/>
      <c r="AJ708" s="2"/>
      <c r="AK708" s="2"/>
      <c r="AL708" s="2"/>
    </row>
    <row r="709" spans="1:38" x14ac:dyDescent="0.2">
      <c r="A709" s="45"/>
      <c r="B709" s="43" t="str">
        <f t="shared" si="280"/>
        <v/>
      </c>
      <c r="C709" s="96" t="str">
        <f t="shared" si="279"/>
        <v/>
      </c>
      <c r="D709" s="44" t="str">
        <f t="shared" si="281"/>
        <v/>
      </c>
      <c r="E709" s="52"/>
      <c r="F709" s="63" t="str">
        <f t="shared" si="282"/>
        <v/>
      </c>
      <c r="G709" s="56" t="str">
        <f t="shared" si="283"/>
        <v/>
      </c>
      <c r="H709" s="42"/>
      <c r="I709" s="2" t="str">
        <f t="shared" si="284"/>
        <v/>
      </c>
      <c r="J709" s="54" t="str">
        <f t="shared" si="271"/>
        <v/>
      </c>
      <c r="K709" s="55" t="str">
        <f t="shared" si="285"/>
        <v/>
      </c>
      <c r="L709" s="63" t="str">
        <f t="shared" si="286"/>
        <v/>
      </c>
      <c r="M709" s="96" t="str">
        <f t="shared" si="272"/>
        <v/>
      </c>
      <c r="N709" s="96" t="str">
        <f>IF(A709="","",IF(A709=Expiry,0,EXP(-q*Q709)*_xlfn.NORM.S.DIST(Y709,0)/(sigma*SQRT(Q709))*I709*Mult/100))</f>
        <v/>
      </c>
      <c r="O709" s="96" t="str">
        <f>IF(A709="","",IF(A709=Expiry,0,D709*E709*E709*EXP(-q*Q709)*_xlfn.NORM.S.DIST(Y709,0)*SQRT(Q709)/100))</f>
        <v/>
      </c>
      <c r="P709" s="69" t="str">
        <f>IF(A709="","",IF(A709=Expiry,0,AK709*I709*Mult*((-EXP(-q*Q709)*E709*_xlfn.NORM.S.DIST(Y709,0)*sigma/(2*SQRT(Q709))-r_dom*K*EXP(-r_dom*Q709)*_xlfn.NORM.S.DIST(Z709,1)+q*E709*EXP(-q*Q709)*_xlfn.NORM.S.DIST(Y709,1))/365)))</f>
        <v/>
      </c>
      <c r="Q709" s="83" t="str">
        <f t="shared" si="287"/>
        <v/>
      </c>
      <c r="R709" s="38"/>
      <c r="S709" s="68" t="str">
        <f t="shared" si="288"/>
        <v/>
      </c>
      <c r="T709" s="69" t="str">
        <f t="shared" si="289"/>
        <v/>
      </c>
      <c r="U709" s="70" t="str">
        <f t="shared" si="290"/>
        <v/>
      </c>
      <c r="V709" s="72" t="str">
        <f t="shared" si="291"/>
        <v/>
      </c>
      <c r="W709" s="2" t="str">
        <f t="shared" si="278"/>
        <v/>
      </c>
      <c r="X709" s="2" t="str">
        <f t="shared" si="273"/>
        <v/>
      </c>
      <c r="Y709" s="35" t="str">
        <f t="shared" ca="1" si="292"/>
        <v/>
      </c>
      <c r="Z709" s="36" t="str">
        <f t="shared" ca="1" si="293"/>
        <v/>
      </c>
      <c r="AA709" s="70" t="str">
        <f t="shared" si="294"/>
        <v/>
      </c>
      <c r="AB709" s="2"/>
      <c r="AC709" s="94" t="str">
        <f t="shared" si="274"/>
        <v/>
      </c>
      <c r="AD709" s="95" t="str">
        <f t="shared" si="275"/>
        <v/>
      </c>
      <c r="AE709" s="96" t="str">
        <f t="shared" si="276"/>
        <v/>
      </c>
      <c r="AF709" s="124" t="str">
        <f t="shared" si="277"/>
        <v/>
      </c>
      <c r="AG709" s="2"/>
      <c r="AH709" s="2"/>
      <c r="AI709" s="2"/>
      <c r="AJ709" s="2"/>
      <c r="AK709" s="2"/>
      <c r="AL709" s="2"/>
    </row>
    <row r="710" spans="1:38" x14ac:dyDescent="0.2">
      <c r="A710" s="45"/>
      <c r="B710" s="43" t="str">
        <f t="shared" si="280"/>
        <v/>
      </c>
      <c r="C710" s="96" t="str">
        <f t="shared" si="279"/>
        <v/>
      </c>
      <c r="D710" s="44" t="str">
        <f t="shared" si="281"/>
        <v/>
      </c>
      <c r="E710" s="52"/>
      <c r="F710" s="63" t="str">
        <f t="shared" si="282"/>
        <v/>
      </c>
      <c r="G710" s="56" t="str">
        <f t="shared" si="283"/>
        <v/>
      </c>
      <c r="H710" s="42"/>
      <c r="I710" s="2" t="str">
        <f t="shared" si="284"/>
        <v/>
      </c>
      <c r="J710" s="54" t="str">
        <f t="shared" si="271"/>
        <v/>
      </c>
      <c r="K710" s="55" t="str">
        <f t="shared" si="285"/>
        <v/>
      </c>
      <c r="L710" s="63" t="str">
        <f t="shared" si="286"/>
        <v/>
      </c>
      <c r="M710" s="96" t="str">
        <f t="shared" si="272"/>
        <v/>
      </c>
      <c r="N710" s="96" t="str">
        <f>IF(A710="","",IF(A710=Expiry,0,EXP(-q*Q710)*_xlfn.NORM.S.DIST(Y710,0)/(sigma*SQRT(Q710))*I710*Mult/100))</f>
        <v/>
      </c>
      <c r="O710" s="96" t="str">
        <f>IF(A710="","",IF(A710=Expiry,0,D710*E710*E710*EXP(-q*Q710)*_xlfn.NORM.S.DIST(Y710,0)*SQRT(Q710)/100))</f>
        <v/>
      </c>
      <c r="P710" s="69" t="str">
        <f>IF(A710="","",IF(A710=Expiry,0,AK710*I710*Mult*((-EXP(-q*Q710)*E710*_xlfn.NORM.S.DIST(Y710,0)*sigma/(2*SQRT(Q710))-r_dom*K*EXP(-r_dom*Q710)*_xlfn.NORM.S.DIST(Z710,1)+q*E710*EXP(-q*Q710)*_xlfn.NORM.S.DIST(Y710,1))/365)))</f>
        <v/>
      </c>
      <c r="Q710" s="83" t="str">
        <f t="shared" si="287"/>
        <v/>
      </c>
      <c r="R710" s="38"/>
      <c r="S710" s="68" t="str">
        <f t="shared" si="288"/>
        <v/>
      </c>
      <c r="T710" s="69" t="str">
        <f t="shared" si="289"/>
        <v/>
      </c>
      <c r="U710" s="70" t="str">
        <f t="shared" si="290"/>
        <v/>
      </c>
      <c r="V710" s="72" t="str">
        <f t="shared" si="291"/>
        <v/>
      </c>
      <c r="W710" s="2" t="str">
        <f t="shared" si="278"/>
        <v/>
      </c>
      <c r="X710" s="2" t="str">
        <f t="shared" si="273"/>
        <v/>
      </c>
      <c r="Y710" s="35" t="str">
        <f t="shared" ca="1" si="292"/>
        <v/>
      </c>
      <c r="Z710" s="36" t="str">
        <f t="shared" ca="1" si="293"/>
        <v/>
      </c>
      <c r="AA710" s="70" t="str">
        <f t="shared" si="294"/>
        <v/>
      </c>
      <c r="AB710" s="2"/>
      <c r="AC710" s="94" t="str">
        <f t="shared" si="274"/>
        <v/>
      </c>
      <c r="AD710" s="95" t="str">
        <f t="shared" si="275"/>
        <v/>
      </c>
      <c r="AE710" s="96" t="str">
        <f t="shared" si="276"/>
        <v/>
      </c>
      <c r="AF710" s="124" t="str">
        <f t="shared" si="277"/>
        <v/>
      </c>
      <c r="AG710" s="2"/>
      <c r="AH710" s="2"/>
      <c r="AI710" s="2"/>
      <c r="AJ710" s="2"/>
      <c r="AK710" s="2"/>
      <c r="AL710" s="2"/>
    </row>
    <row r="711" spans="1:38" x14ac:dyDescent="0.2">
      <c r="A711" s="45"/>
      <c r="B711" s="43" t="str">
        <f t="shared" si="280"/>
        <v/>
      </c>
      <c r="C711" s="96" t="str">
        <f t="shared" si="279"/>
        <v/>
      </c>
      <c r="D711" s="44" t="str">
        <f t="shared" si="281"/>
        <v/>
      </c>
      <c r="E711" s="52"/>
      <c r="F711" s="63" t="str">
        <f t="shared" si="282"/>
        <v/>
      </c>
      <c r="G711" s="56" t="str">
        <f t="shared" si="283"/>
        <v/>
      </c>
      <c r="H711" s="42"/>
      <c r="I711" s="2" t="str">
        <f t="shared" si="284"/>
        <v/>
      </c>
      <c r="J711" s="54" t="str">
        <f t="shared" si="271"/>
        <v/>
      </c>
      <c r="K711" s="55" t="str">
        <f t="shared" si="285"/>
        <v/>
      </c>
      <c r="L711" s="63" t="str">
        <f t="shared" si="286"/>
        <v/>
      </c>
      <c r="M711" s="96" t="str">
        <f t="shared" si="272"/>
        <v/>
      </c>
      <c r="N711" s="96" t="str">
        <f>IF(A711="","",IF(A711=Expiry,0,EXP(-q*Q711)*_xlfn.NORM.S.DIST(Y711,0)/(sigma*SQRT(Q711))*I711*Mult/100))</f>
        <v/>
      </c>
      <c r="O711" s="96" t="str">
        <f>IF(A711="","",IF(A711=Expiry,0,D711*E711*E711*EXP(-q*Q711)*_xlfn.NORM.S.DIST(Y711,0)*SQRT(Q711)/100))</f>
        <v/>
      </c>
      <c r="P711" s="69" t="str">
        <f>IF(A711="","",IF(A711=Expiry,0,AK711*I711*Mult*((-EXP(-q*Q711)*E711*_xlfn.NORM.S.DIST(Y711,0)*sigma/(2*SQRT(Q711))-r_dom*K*EXP(-r_dom*Q711)*_xlfn.NORM.S.DIST(Z711,1)+q*E711*EXP(-q*Q711)*_xlfn.NORM.S.DIST(Y711,1))/365)))</f>
        <v/>
      </c>
      <c r="Q711" s="83" t="str">
        <f t="shared" si="287"/>
        <v/>
      </c>
      <c r="R711" s="38"/>
      <c r="S711" s="68" t="str">
        <f t="shared" si="288"/>
        <v/>
      </c>
      <c r="T711" s="69" t="str">
        <f t="shared" si="289"/>
        <v/>
      </c>
      <c r="U711" s="70" t="str">
        <f t="shared" si="290"/>
        <v/>
      </c>
      <c r="V711" s="72" t="str">
        <f t="shared" si="291"/>
        <v/>
      </c>
      <c r="W711" s="2" t="str">
        <f t="shared" si="278"/>
        <v/>
      </c>
      <c r="X711" s="2" t="str">
        <f t="shared" si="273"/>
        <v/>
      </c>
      <c r="Y711" s="35" t="str">
        <f t="shared" ca="1" si="292"/>
        <v/>
      </c>
      <c r="Z711" s="36" t="str">
        <f t="shared" ca="1" si="293"/>
        <v/>
      </c>
      <c r="AA711" s="70" t="str">
        <f t="shared" si="294"/>
        <v/>
      </c>
      <c r="AB711" s="2"/>
      <c r="AC711" s="94" t="str">
        <f t="shared" si="274"/>
        <v/>
      </c>
      <c r="AD711" s="95" t="str">
        <f t="shared" si="275"/>
        <v/>
      </c>
      <c r="AE711" s="96" t="str">
        <f t="shared" si="276"/>
        <v/>
      </c>
      <c r="AF711" s="124" t="str">
        <f t="shared" si="277"/>
        <v/>
      </c>
      <c r="AG711" s="2"/>
      <c r="AH711" s="2"/>
      <c r="AI711" s="2"/>
      <c r="AJ711" s="2"/>
      <c r="AK711" s="2"/>
      <c r="AL711" s="2"/>
    </row>
    <row r="712" spans="1:38" x14ac:dyDescent="0.2">
      <c r="A712" s="45"/>
      <c r="B712" s="43" t="str">
        <f t="shared" si="280"/>
        <v/>
      </c>
      <c r="C712" s="96" t="str">
        <f t="shared" si="279"/>
        <v/>
      </c>
      <c r="D712" s="44" t="str">
        <f t="shared" si="281"/>
        <v/>
      </c>
      <c r="E712" s="52"/>
      <c r="F712" s="63" t="str">
        <f t="shared" si="282"/>
        <v/>
      </c>
      <c r="G712" s="56" t="str">
        <f t="shared" si="283"/>
        <v/>
      </c>
      <c r="H712" s="42"/>
      <c r="I712" s="2" t="str">
        <f t="shared" si="284"/>
        <v/>
      </c>
      <c r="J712" s="54" t="str">
        <f t="shared" si="271"/>
        <v/>
      </c>
      <c r="K712" s="55" t="str">
        <f t="shared" si="285"/>
        <v/>
      </c>
      <c r="L712" s="63" t="str">
        <f t="shared" si="286"/>
        <v/>
      </c>
      <c r="M712" s="96" t="str">
        <f t="shared" si="272"/>
        <v/>
      </c>
      <c r="N712" s="96" t="str">
        <f>IF(A712="","",IF(A712=Expiry,0,EXP(-q*Q712)*_xlfn.NORM.S.DIST(Y712,0)/(sigma*SQRT(Q712))*I712*Mult/100))</f>
        <v/>
      </c>
      <c r="O712" s="96" t="str">
        <f>IF(A712="","",IF(A712=Expiry,0,D712*E712*E712*EXP(-q*Q712)*_xlfn.NORM.S.DIST(Y712,0)*SQRT(Q712)/100))</f>
        <v/>
      </c>
      <c r="P712" s="69" t="str">
        <f>IF(A712="","",IF(A712=Expiry,0,AK712*I712*Mult*((-EXP(-q*Q712)*E712*_xlfn.NORM.S.DIST(Y712,0)*sigma/(2*SQRT(Q712))-r_dom*K*EXP(-r_dom*Q712)*_xlfn.NORM.S.DIST(Z712,1)+q*E712*EXP(-q*Q712)*_xlfn.NORM.S.DIST(Y712,1))/365)))</f>
        <v/>
      </c>
      <c r="Q712" s="83" t="str">
        <f t="shared" si="287"/>
        <v/>
      </c>
      <c r="R712" s="38"/>
      <c r="S712" s="68" t="str">
        <f t="shared" si="288"/>
        <v/>
      </c>
      <c r="T712" s="69" t="str">
        <f t="shared" si="289"/>
        <v/>
      </c>
      <c r="U712" s="70" t="str">
        <f t="shared" si="290"/>
        <v/>
      </c>
      <c r="V712" s="72" t="str">
        <f t="shared" si="291"/>
        <v/>
      </c>
      <c r="W712" s="2" t="str">
        <f t="shared" si="278"/>
        <v/>
      </c>
      <c r="X712" s="2" t="str">
        <f t="shared" si="273"/>
        <v/>
      </c>
      <c r="Y712" s="35" t="str">
        <f t="shared" ca="1" si="292"/>
        <v/>
      </c>
      <c r="Z712" s="36" t="str">
        <f t="shared" ca="1" si="293"/>
        <v/>
      </c>
      <c r="AA712" s="70" t="str">
        <f t="shared" si="294"/>
        <v/>
      </c>
      <c r="AB712" s="2"/>
      <c r="AC712" s="94" t="str">
        <f t="shared" si="274"/>
        <v/>
      </c>
      <c r="AD712" s="95" t="str">
        <f t="shared" si="275"/>
        <v/>
      </c>
      <c r="AE712" s="96" t="str">
        <f t="shared" si="276"/>
        <v/>
      </c>
      <c r="AF712" s="124" t="str">
        <f t="shared" si="277"/>
        <v/>
      </c>
      <c r="AG712" s="2"/>
      <c r="AH712" s="2"/>
      <c r="AI712" s="2"/>
      <c r="AJ712" s="2"/>
      <c r="AK712" s="2"/>
      <c r="AL712" s="2"/>
    </row>
    <row r="713" spans="1:38" x14ac:dyDescent="0.2">
      <c r="A713" s="45"/>
      <c r="B713" s="43" t="str">
        <f t="shared" si="280"/>
        <v/>
      </c>
      <c r="C713" s="96" t="str">
        <f t="shared" si="279"/>
        <v/>
      </c>
      <c r="D713" s="44" t="str">
        <f t="shared" si="281"/>
        <v/>
      </c>
      <c r="E713" s="52"/>
      <c r="F713" s="63" t="str">
        <f t="shared" si="282"/>
        <v/>
      </c>
      <c r="G713" s="56" t="str">
        <f t="shared" si="283"/>
        <v/>
      </c>
      <c r="H713" s="42"/>
      <c r="I713" s="2" t="str">
        <f t="shared" si="284"/>
        <v/>
      </c>
      <c r="J713" s="54" t="str">
        <f t="shared" si="271"/>
        <v/>
      </c>
      <c r="K713" s="55" t="str">
        <f t="shared" si="285"/>
        <v/>
      </c>
      <c r="L713" s="63" t="str">
        <f t="shared" si="286"/>
        <v/>
      </c>
      <c r="M713" s="96" t="str">
        <f t="shared" si="272"/>
        <v/>
      </c>
      <c r="N713" s="96" t="str">
        <f>IF(A713="","",IF(A713=Expiry,0,EXP(-q*Q713)*_xlfn.NORM.S.DIST(Y713,0)/(sigma*SQRT(Q713))*I713*Mult/100))</f>
        <v/>
      </c>
      <c r="O713" s="96" t="str">
        <f>IF(A713="","",IF(A713=Expiry,0,D713*E713*E713*EXP(-q*Q713)*_xlfn.NORM.S.DIST(Y713,0)*SQRT(Q713)/100))</f>
        <v/>
      </c>
      <c r="P713" s="69" t="str">
        <f>IF(A713="","",IF(A713=Expiry,0,AK713*I713*Mult*((-EXP(-q*Q713)*E713*_xlfn.NORM.S.DIST(Y713,0)*sigma/(2*SQRT(Q713))-r_dom*K*EXP(-r_dom*Q713)*_xlfn.NORM.S.DIST(Z713,1)+q*E713*EXP(-q*Q713)*_xlfn.NORM.S.DIST(Y713,1))/365)))</f>
        <v/>
      </c>
      <c r="Q713" s="83" t="str">
        <f t="shared" si="287"/>
        <v/>
      </c>
      <c r="R713" s="38"/>
      <c r="S713" s="68" t="str">
        <f t="shared" si="288"/>
        <v/>
      </c>
      <c r="T713" s="69" t="str">
        <f t="shared" si="289"/>
        <v/>
      </c>
      <c r="U713" s="70" t="str">
        <f t="shared" si="290"/>
        <v/>
      </c>
      <c r="V713" s="72" t="str">
        <f t="shared" si="291"/>
        <v/>
      </c>
      <c r="W713" s="2" t="str">
        <f t="shared" si="278"/>
        <v/>
      </c>
      <c r="X713" s="2" t="str">
        <f t="shared" si="273"/>
        <v/>
      </c>
      <c r="Y713" s="35" t="str">
        <f t="shared" ca="1" si="292"/>
        <v/>
      </c>
      <c r="Z713" s="36" t="str">
        <f t="shared" ca="1" si="293"/>
        <v/>
      </c>
      <c r="AA713" s="70" t="str">
        <f t="shared" si="294"/>
        <v/>
      </c>
      <c r="AB713" s="2"/>
      <c r="AC713" s="94" t="str">
        <f t="shared" si="274"/>
        <v/>
      </c>
      <c r="AD713" s="95" t="str">
        <f t="shared" si="275"/>
        <v/>
      </c>
      <c r="AE713" s="96" t="str">
        <f t="shared" si="276"/>
        <v/>
      </c>
      <c r="AF713" s="124" t="str">
        <f t="shared" si="277"/>
        <v/>
      </c>
      <c r="AG713" s="2"/>
      <c r="AH713" s="2"/>
      <c r="AI713" s="2"/>
      <c r="AJ713" s="2"/>
      <c r="AK713" s="2"/>
      <c r="AL713" s="2"/>
    </row>
    <row r="714" spans="1:38" x14ac:dyDescent="0.2">
      <c r="A714" s="45"/>
      <c r="B714" s="43" t="str">
        <f t="shared" si="280"/>
        <v/>
      </c>
      <c r="C714" s="96" t="str">
        <f t="shared" si="279"/>
        <v/>
      </c>
      <c r="D714" s="44" t="str">
        <f t="shared" si="281"/>
        <v/>
      </c>
      <c r="E714" s="52"/>
      <c r="F714" s="63" t="str">
        <f t="shared" si="282"/>
        <v/>
      </c>
      <c r="G714" s="56" t="str">
        <f t="shared" si="283"/>
        <v/>
      </c>
      <c r="H714" s="42"/>
      <c r="I714" s="2" t="str">
        <f t="shared" si="284"/>
        <v/>
      </c>
      <c r="J714" s="54" t="str">
        <f t="shared" si="271"/>
        <v/>
      </c>
      <c r="K714" s="55" t="str">
        <f t="shared" si="285"/>
        <v/>
      </c>
      <c r="L714" s="63" t="str">
        <f t="shared" si="286"/>
        <v/>
      </c>
      <c r="M714" s="96" t="str">
        <f t="shared" si="272"/>
        <v/>
      </c>
      <c r="N714" s="96" t="str">
        <f>IF(A714="","",IF(A714=Expiry,0,EXP(-q*Q714)*_xlfn.NORM.S.DIST(Y714,0)/(sigma*SQRT(Q714))*I714*Mult/100))</f>
        <v/>
      </c>
      <c r="O714" s="96" t="str">
        <f>IF(A714="","",IF(A714=Expiry,0,D714*E714*E714*EXP(-q*Q714)*_xlfn.NORM.S.DIST(Y714,0)*SQRT(Q714)/100))</f>
        <v/>
      </c>
      <c r="P714" s="69" t="str">
        <f>IF(A714="","",IF(A714=Expiry,0,AK714*I714*Mult*((-EXP(-q*Q714)*E714*_xlfn.NORM.S.DIST(Y714,0)*sigma/(2*SQRT(Q714))-r_dom*K*EXP(-r_dom*Q714)*_xlfn.NORM.S.DIST(Z714,1)+q*E714*EXP(-q*Q714)*_xlfn.NORM.S.DIST(Y714,1))/365)))</f>
        <v/>
      </c>
      <c r="Q714" s="83" t="str">
        <f t="shared" si="287"/>
        <v/>
      </c>
      <c r="R714" s="38"/>
      <c r="S714" s="68" t="str">
        <f t="shared" si="288"/>
        <v/>
      </c>
      <c r="T714" s="69" t="str">
        <f t="shared" si="289"/>
        <v/>
      </c>
      <c r="U714" s="70" t="str">
        <f t="shared" si="290"/>
        <v/>
      </c>
      <c r="V714" s="72" t="str">
        <f t="shared" si="291"/>
        <v/>
      </c>
      <c r="W714" s="2" t="str">
        <f t="shared" si="278"/>
        <v/>
      </c>
      <c r="X714" s="2" t="str">
        <f t="shared" si="273"/>
        <v/>
      </c>
      <c r="Y714" s="35" t="str">
        <f t="shared" ca="1" si="292"/>
        <v/>
      </c>
      <c r="Z714" s="36" t="str">
        <f t="shared" ca="1" si="293"/>
        <v/>
      </c>
      <c r="AA714" s="70" t="str">
        <f t="shared" si="294"/>
        <v/>
      </c>
      <c r="AB714" s="2"/>
      <c r="AC714" s="94" t="str">
        <f t="shared" si="274"/>
        <v/>
      </c>
      <c r="AD714" s="95" t="str">
        <f t="shared" si="275"/>
        <v/>
      </c>
      <c r="AE714" s="96" t="str">
        <f t="shared" si="276"/>
        <v/>
      </c>
      <c r="AF714" s="124" t="str">
        <f t="shared" si="277"/>
        <v/>
      </c>
      <c r="AG714" s="2"/>
      <c r="AH714" s="2"/>
      <c r="AI714" s="2"/>
      <c r="AJ714" s="2"/>
      <c r="AK714" s="2"/>
      <c r="AL714" s="2"/>
    </row>
    <row r="715" spans="1:38" x14ac:dyDescent="0.2">
      <c r="A715" s="45"/>
      <c r="B715" s="43" t="str">
        <f t="shared" si="280"/>
        <v/>
      </c>
      <c r="C715" s="96" t="str">
        <f t="shared" si="279"/>
        <v/>
      </c>
      <c r="D715" s="44" t="str">
        <f t="shared" si="281"/>
        <v/>
      </c>
      <c r="E715" s="52"/>
      <c r="F715" s="63" t="str">
        <f t="shared" si="282"/>
        <v/>
      </c>
      <c r="G715" s="56" t="str">
        <f t="shared" si="283"/>
        <v/>
      </c>
      <c r="H715" s="42"/>
      <c r="I715" s="2" t="str">
        <f t="shared" si="284"/>
        <v/>
      </c>
      <c r="J715" s="54" t="str">
        <f t="shared" si="271"/>
        <v/>
      </c>
      <c r="K715" s="55" t="str">
        <f t="shared" si="285"/>
        <v/>
      </c>
      <c r="L715" s="63" t="str">
        <f t="shared" si="286"/>
        <v/>
      </c>
      <c r="M715" s="96" t="str">
        <f t="shared" si="272"/>
        <v/>
      </c>
      <c r="N715" s="96" t="str">
        <f>IF(A715="","",IF(A715=Expiry,0,EXP(-q*Q715)*_xlfn.NORM.S.DIST(Y715,0)/(sigma*SQRT(Q715))*I715*Mult/100))</f>
        <v/>
      </c>
      <c r="O715" s="96" t="str">
        <f>IF(A715="","",IF(A715=Expiry,0,D715*E715*E715*EXP(-q*Q715)*_xlfn.NORM.S.DIST(Y715,0)*SQRT(Q715)/100))</f>
        <v/>
      </c>
      <c r="P715" s="69" t="str">
        <f>IF(A715="","",IF(A715=Expiry,0,AK715*I715*Mult*((-EXP(-q*Q715)*E715*_xlfn.NORM.S.DIST(Y715,0)*sigma/(2*SQRT(Q715))-r_dom*K*EXP(-r_dom*Q715)*_xlfn.NORM.S.DIST(Z715,1)+q*E715*EXP(-q*Q715)*_xlfn.NORM.S.DIST(Y715,1))/365)))</f>
        <v/>
      </c>
      <c r="Q715" s="83" t="str">
        <f t="shared" si="287"/>
        <v/>
      </c>
      <c r="R715" s="38"/>
      <c r="S715" s="68" t="str">
        <f t="shared" si="288"/>
        <v/>
      </c>
      <c r="T715" s="69" t="str">
        <f t="shared" si="289"/>
        <v/>
      </c>
      <c r="U715" s="70" t="str">
        <f t="shared" si="290"/>
        <v/>
      </c>
      <c r="V715" s="72" t="str">
        <f t="shared" si="291"/>
        <v/>
      </c>
      <c r="W715" s="2" t="str">
        <f t="shared" si="278"/>
        <v/>
      </c>
      <c r="X715" s="2" t="str">
        <f t="shared" si="273"/>
        <v/>
      </c>
      <c r="Y715" s="35" t="str">
        <f t="shared" ca="1" si="292"/>
        <v/>
      </c>
      <c r="Z715" s="36" t="str">
        <f t="shared" ca="1" si="293"/>
        <v/>
      </c>
      <c r="AA715" s="70" t="str">
        <f t="shared" si="294"/>
        <v/>
      </c>
      <c r="AB715" s="2"/>
      <c r="AC715" s="94" t="str">
        <f t="shared" si="274"/>
        <v/>
      </c>
      <c r="AD715" s="95" t="str">
        <f t="shared" si="275"/>
        <v/>
      </c>
      <c r="AE715" s="96" t="str">
        <f t="shared" si="276"/>
        <v/>
      </c>
      <c r="AF715" s="124" t="str">
        <f t="shared" si="277"/>
        <v/>
      </c>
      <c r="AG715" s="2"/>
      <c r="AH715" s="2"/>
      <c r="AI715" s="2"/>
      <c r="AJ715" s="2"/>
      <c r="AK715" s="2"/>
      <c r="AL715" s="2"/>
    </row>
    <row r="716" spans="1:38" x14ac:dyDescent="0.2">
      <c r="A716" s="45"/>
      <c r="B716" s="43" t="str">
        <f t="shared" si="280"/>
        <v/>
      </c>
      <c r="C716" s="96" t="str">
        <f t="shared" si="279"/>
        <v/>
      </c>
      <c r="D716" s="44" t="str">
        <f t="shared" si="281"/>
        <v/>
      </c>
      <c r="E716" s="52"/>
      <c r="F716" s="63" t="str">
        <f t="shared" si="282"/>
        <v/>
      </c>
      <c r="G716" s="56" t="str">
        <f t="shared" si="283"/>
        <v/>
      </c>
      <c r="H716" s="42"/>
      <c r="I716" s="2" t="str">
        <f t="shared" si="284"/>
        <v/>
      </c>
      <c r="J716" s="54" t="str">
        <f t="shared" si="271"/>
        <v/>
      </c>
      <c r="K716" s="55" t="str">
        <f t="shared" si="285"/>
        <v/>
      </c>
      <c r="L716" s="63" t="str">
        <f t="shared" si="286"/>
        <v/>
      </c>
      <c r="M716" s="96" t="str">
        <f t="shared" si="272"/>
        <v/>
      </c>
      <c r="N716" s="96" t="str">
        <f>IF(A716="","",IF(A716=Expiry,0,EXP(-q*Q716)*_xlfn.NORM.S.DIST(Y716,0)/(sigma*SQRT(Q716))*I716*Mult/100))</f>
        <v/>
      </c>
      <c r="O716" s="96" t="str">
        <f>IF(A716="","",IF(A716=Expiry,0,D716*E716*E716*EXP(-q*Q716)*_xlfn.NORM.S.DIST(Y716,0)*SQRT(Q716)/100))</f>
        <v/>
      </c>
      <c r="P716" s="69" t="str">
        <f>IF(A716="","",IF(A716=Expiry,0,AK716*I716*Mult*((-EXP(-q*Q716)*E716*_xlfn.NORM.S.DIST(Y716,0)*sigma/(2*SQRT(Q716))-r_dom*K*EXP(-r_dom*Q716)*_xlfn.NORM.S.DIST(Z716,1)+q*E716*EXP(-q*Q716)*_xlfn.NORM.S.DIST(Y716,1))/365)))</f>
        <v/>
      </c>
      <c r="Q716" s="83" t="str">
        <f t="shared" si="287"/>
        <v/>
      </c>
      <c r="R716" s="38"/>
      <c r="S716" s="68" t="str">
        <f t="shared" si="288"/>
        <v/>
      </c>
      <c r="T716" s="69" t="str">
        <f t="shared" si="289"/>
        <v/>
      </c>
      <c r="U716" s="70" t="str">
        <f t="shared" si="290"/>
        <v/>
      </c>
      <c r="V716" s="72" t="str">
        <f t="shared" si="291"/>
        <v/>
      </c>
      <c r="W716" s="2" t="str">
        <f t="shared" si="278"/>
        <v/>
      </c>
      <c r="X716" s="2" t="str">
        <f t="shared" si="273"/>
        <v/>
      </c>
      <c r="Y716" s="35" t="str">
        <f t="shared" ca="1" si="292"/>
        <v/>
      </c>
      <c r="Z716" s="36" t="str">
        <f t="shared" ca="1" si="293"/>
        <v/>
      </c>
      <c r="AA716" s="70" t="str">
        <f t="shared" si="294"/>
        <v/>
      </c>
      <c r="AB716" s="2"/>
      <c r="AC716" s="94" t="str">
        <f t="shared" si="274"/>
        <v/>
      </c>
      <c r="AD716" s="95" t="str">
        <f t="shared" si="275"/>
        <v/>
      </c>
      <c r="AE716" s="96" t="str">
        <f t="shared" si="276"/>
        <v/>
      </c>
      <c r="AF716" s="124" t="str">
        <f t="shared" si="277"/>
        <v/>
      </c>
      <c r="AG716" s="2"/>
      <c r="AH716" s="2"/>
      <c r="AI716" s="2"/>
      <c r="AJ716" s="2"/>
      <c r="AK716" s="2"/>
      <c r="AL716" s="2"/>
    </row>
    <row r="717" spans="1:38" x14ac:dyDescent="0.2">
      <c r="A717" s="45"/>
      <c r="B717" s="43" t="str">
        <f t="shared" si="280"/>
        <v/>
      </c>
      <c r="C717" s="96" t="str">
        <f t="shared" si="279"/>
        <v/>
      </c>
      <c r="D717" s="44" t="str">
        <f t="shared" si="281"/>
        <v/>
      </c>
      <c r="E717" s="52"/>
      <c r="F717" s="63" t="str">
        <f t="shared" si="282"/>
        <v/>
      </c>
      <c r="G717" s="56" t="str">
        <f t="shared" si="283"/>
        <v/>
      </c>
      <c r="H717" s="42"/>
      <c r="I717" s="2" t="str">
        <f t="shared" si="284"/>
        <v/>
      </c>
      <c r="J717" s="54" t="str">
        <f t="shared" si="271"/>
        <v/>
      </c>
      <c r="K717" s="55" t="str">
        <f t="shared" si="285"/>
        <v/>
      </c>
      <c r="L717" s="63" t="str">
        <f t="shared" si="286"/>
        <v/>
      </c>
      <c r="M717" s="96" t="str">
        <f t="shared" si="272"/>
        <v/>
      </c>
      <c r="N717" s="96" t="str">
        <f>IF(A717="","",IF(A717=Expiry,0,EXP(-q*Q717)*_xlfn.NORM.S.DIST(Y717,0)/(sigma*SQRT(Q717))*I717*Mult/100))</f>
        <v/>
      </c>
      <c r="O717" s="96" t="str">
        <f>IF(A717="","",IF(A717=Expiry,0,D717*E717*E717*EXP(-q*Q717)*_xlfn.NORM.S.DIST(Y717,0)*SQRT(Q717)/100))</f>
        <v/>
      </c>
      <c r="P717" s="69" t="str">
        <f>IF(A717="","",IF(A717=Expiry,0,AK717*I717*Mult*((-EXP(-q*Q717)*E717*_xlfn.NORM.S.DIST(Y717,0)*sigma/(2*SQRT(Q717))-r_dom*K*EXP(-r_dom*Q717)*_xlfn.NORM.S.DIST(Z717,1)+q*E717*EXP(-q*Q717)*_xlfn.NORM.S.DIST(Y717,1))/365)))</f>
        <v/>
      </c>
      <c r="Q717" s="83" t="str">
        <f t="shared" si="287"/>
        <v/>
      </c>
      <c r="R717" s="38"/>
      <c r="S717" s="68" t="str">
        <f t="shared" si="288"/>
        <v/>
      </c>
      <c r="T717" s="69" t="str">
        <f t="shared" si="289"/>
        <v/>
      </c>
      <c r="U717" s="70" t="str">
        <f t="shared" si="290"/>
        <v/>
      </c>
      <c r="V717" s="72" t="str">
        <f t="shared" si="291"/>
        <v/>
      </c>
      <c r="W717" s="2" t="str">
        <f t="shared" si="278"/>
        <v/>
      </c>
      <c r="X717" s="2" t="str">
        <f t="shared" si="273"/>
        <v/>
      </c>
      <c r="Y717" s="35" t="str">
        <f t="shared" ca="1" si="292"/>
        <v/>
      </c>
      <c r="Z717" s="36" t="str">
        <f t="shared" ca="1" si="293"/>
        <v/>
      </c>
      <c r="AA717" s="70" t="str">
        <f t="shared" si="294"/>
        <v/>
      </c>
      <c r="AB717" s="2"/>
      <c r="AC717" s="94" t="str">
        <f t="shared" si="274"/>
        <v/>
      </c>
      <c r="AD717" s="95" t="str">
        <f t="shared" si="275"/>
        <v/>
      </c>
      <c r="AE717" s="96" t="str">
        <f t="shared" si="276"/>
        <v/>
      </c>
      <c r="AF717" s="124" t="str">
        <f t="shared" si="277"/>
        <v/>
      </c>
      <c r="AG717" s="2"/>
      <c r="AH717" s="2"/>
      <c r="AI717" s="2"/>
      <c r="AJ717" s="2"/>
      <c r="AK717" s="2"/>
      <c r="AL717" s="2"/>
    </row>
    <row r="718" spans="1:38" x14ac:dyDescent="0.2">
      <c r="A718" s="45"/>
      <c r="B718" s="43" t="str">
        <f t="shared" si="280"/>
        <v/>
      </c>
      <c r="C718" s="96" t="str">
        <f t="shared" si="279"/>
        <v/>
      </c>
      <c r="D718" s="44" t="str">
        <f t="shared" si="281"/>
        <v/>
      </c>
      <c r="E718" s="52"/>
      <c r="F718" s="63" t="str">
        <f t="shared" si="282"/>
        <v/>
      </c>
      <c r="G718" s="56" t="str">
        <f t="shared" si="283"/>
        <v/>
      </c>
      <c r="H718" s="42"/>
      <c r="I718" s="2" t="str">
        <f t="shared" si="284"/>
        <v/>
      </c>
      <c r="J718" s="54" t="str">
        <f t="shared" si="271"/>
        <v/>
      </c>
      <c r="K718" s="55" t="str">
        <f t="shared" si="285"/>
        <v/>
      </c>
      <c r="L718" s="63" t="str">
        <f t="shared" si="286"/>
        <v/>
      </c>
      <c r="M718" s="96" t="str">
        <f t="shared" si="272"/>
        <v/>
      </c>
      <c r="N718" s="96" t="str">
        <f>IF(A718="","",IF(A718=Expiry,0,EXP(-q*Q718)*_xlfn.NORM.S.DIST(Y718,0)/(sigma*SQRT(Q718))*I718*Mult/100))</f>
        <v/>
      </c>
      <c r="O718" s="96" t="str">
        <f>IF(A718="","",IF(A718=Expiry,0,D718*E718*E718*EXP(-q*Q718)*_xlfn.NORM.S.DIST(Y718,0)*SQRT(Q718)/100))</f>
        <v/>
      </c>
      <c r="P718" s="69" t="str">
        <f>IF(A718="","",IF(A718=Expiry,0,AK718*I718*Mult*((-EXP(-q*Q718)*E718*_xlfn.NORM.S.DIST(Y718,0)*sigma/(2*SQRT(Q718))-r_dom*K*EXP(-r_dom*Q718)*_xlfn.NORM.S.DIST(Z718,1)+q*E718*EXP(-q*Q718)*_xlfn.NORM.S.DIST(Y718,1))/365)))</f>
        <v/>
      </c>
      <c r="Q718" s="83" t="str">
        <f t="shared" si="287"/>
        <v/>
      </c>
      <c r="R718" s="38"/>
      <c r="S718" s="68" t="str">
        <f t="shared" si="288"/>
        <v/>
      </c>
      <c r="T718" s="69" t="str">
        <f t="shared" si="289"/>
        <v/>
      </c>
      <c r="U718" s="70" t="str">
        <f t="shared" si="290"/>
        <v/>
      </c>
      <c r="V718" s="72" t="str">
        <f t="shared" si="291"/>
        <v/>
      </c>
      <c r="W718" s="2" t="str">
        <f t="shared" si="278"/>
        <v/>
      </c>
      <c r="X718" s="2" t="str">
        <f t="shared" si="273"/>
        <v/>
      </c>
      <c r="Y718" s="35" t="str">
        <f t="shared" ca="1" si="292"/>
        <v/>
      </c>
      <c r="Z718" s="36" t="str">
        <f t="shared" ca="1" si="293"/>
        <v/>
      </c>
      <c r="AA718" s="70" t="str">
        <f t="shared" si="294"/>
        <v/>
      </c>
      <c r="AB718" s="2"/>
      <c r="AC718" s="94" t="str">
        <f t="shared" si="274"/>
        <v/>
      </c>
      <c r="AD718" s="95" t="str">
        <f t="shared" si="275"/>
        <v/>
      </c>
      <c r="AE718" s="96" t="str">
        <f t="shared" si="276"/>
        <v/>
      </c>
      <c r="AF718" s="124" t="str">
        <f t="shared" si="277"/>
        <v/>
      </c>
      <c r="AG718" s="2"/>
      <c r="AH718" s="2"/>
      <c r="AI718" s="2"/>
      <c r="AJ718" s="2"/>
      <c r="AK718" s="2"/>
      <c r="AL718" s="2"/>
    </row>
    <row r="719" spans="1:38" x14ac:dyDescent="0.2">
      <c r="A719" s="45"/>
      <c r="B719" s="43" t="str">
        <f t="shared" si="280"/>
        <v/>
      </c>
      <c r="C719" s="96" t="str">
        <f t="shared" si="279"/>
        <v/>
      </c>
      <c r="D719" s="44" t="str">
        <f t="shared" si="281"/>
        <v/>
      </c>
      <c r="E719" s="52"/>
      <c r="F719" s="63" t="str">
        <f t="shared" si="282"/>
        <v/>
      </c>
      <c r="G719" s="56" t="str">
        <f t="shared" si="283"/>
        <v/>
      </c>
      <c r="H719" s="42"/>
      <c r="I719" s="2" t="str">
        <f t="shared" si="284"/>
        <v/>
      </c>
      <c r="J719" s="54" t="str">
        <f t="shared" si="271"/>
        <v/>
      </c>
      <c r="K719" s="55" t="str">
        <f t="shared" si="285"/>
        <v/>
      </c>
      <c r="L719" s="63" t="str">
        <f t="shared" si="286"/>
        <v/>
      </c>
      <c r="M719" s="96" t="str">
        <f t="shared" si="272"/>
        <v/>
      </c>
      <c r="N719" s="96" t="str">
        <f>IF(A719="","",IF(A719=Expiry,0,EXP(-q*Q719)*_xlfn.NORM.S.DIST(Y719,0)/(sigma*SQRT(Q719))*I719*Mult/100))</f>
        <v/>
      </c>
      <c r="O719" s="96" t="str">
        <f>IF(A719="","",IF(A719=Expiry,0,D719*E719*E719*EXP(-q*Q719)*_xlfn.NORM.S.DIST(Y719,0)*SQRT(Q719)/100))</f>
        <v/>
      </c>
      <c r="P719" s="69" t="str">
        <f>IF(A719="","",IF(A719=Expiry,0,AK719*I719*Mult*((-EXP(-q*Q719)*E719*_xlfn.NORM.S.DIST(Y719,0)*sigma/(2*SQRT(Q719))-r_dom*K*EXP(-r_dom*Q719)*_xlfn.NORM.S.DIST(Z719,1)+q*E719*EXP(-q*Q719)*_xlfn.NORM.S.DIST(Y719,1))/365)))</f>
        <v/>
      </c>
      <c r="Q719" s="83" t="str">
        <f t="shared" si="287"/>
        <v/>
      </c>
      <c r="R719" s="38"/>
      <c r="S719" s="68" t="str">
        <f t="shared" si="288"/>
        <v/>
      </c>
      <c r="T719" s="69" t="str">
        <f t="shared" si="289"/>
        <v/>
      </c>
      <c r="U719" s="70" t="str">
        <f t="shared" si="290"/>
        <v/>
      </c>
      <c r="V719" s="72" t="str">
        <f t="shared" si="291"/>
        <v/>
      </c>
      <c r="W719" s="2" t="str">
        <f t="shared" si="278"/>
        <v/>
      </c>
      <c r="X719" s="2" t="str">
        <f t="shared" si="273"/>
        <v/>
      </c>
      <c r="Y719" s="35" t="str">
        <f t="shared" ca="1" si="292"/>
        <v/>
      </c>
      <c r="Z719" s="36" t="str">
        <f t="shared" ca="1" si="293"/>
        <v/>
      </c>
      <c r="AA719" s="70" t="str">
        <f t="shared" si="294"/>
        <v/>
      </c>
      <c r="AB719" s="2"/>
      <c r="AC719" s="94" t="str">
        <f t="shared" si="274"/>
        <v/>
      </c>
      <c r="AD719" s="95" t="str">
        <f t="shared" si="275"/>
        <v/>
      </c>
      <c r="AE719" s="96" t="str">
        <f t="shared" si="276"/>
        <v/>
      </c>
      <c r="AF719" s="124" t="str">
        <f t="shared" si="277"/>
        <v/>
      </c>
      <c r="AG719" s="2"/>
      <c r="AH719" s="2"/>
      <c r="AI719" s="2"/>
      <c r="AJ719" s="2"/>
      <c r="AK719" s="2"/>
      <c r="AL719" s="2"/>
    </row>
    <row r="720" spans="1:38" x14ac:dyDescent="0.2">
      <c r="A720" s="45"/>
      <c r="B720" s="43" t="str">
        <f t="shared" si="280"/>
        <v/>
      </c>
      <c r="C720" s="96" t="str">
        <f t="shared" si="279"/>
        <v/>
      </c>
      <c r="D720" s="44" t="str">
        <f t="shared" si="281"/>
        <v/>
      </c>
      <c r="E720" s="52"/>
      <c r="F720" s="63" t="str">
        <f t="shared" si="282"/>
        <v/>
      </c>
      <c r="G720" s="56" t="str">
        <f t="shared" si="283"/>
        <v/>
      </c>
      <c r="H720" s="42"/>
      <c r="I720" s="2" t="str">
        <f t="shared" si="284"/>
        <v/>
      </c>
      <c r="J720" s="54" t="str">
        <f t="shared" si="271"/>
        <v/>
      </c>
      <c r="K720" s="55" t="str">
        <f t="shared" si="285"/>
        <v/>
      </c>
      <c r="L720" s="63" t="str">
        <f t="shared" si="286"/>
        <v/>
      </c>
      <c r="M720" s="96" t="str">
        <f t="shared" si="272"/>
        <v/>
      </c>
      <c r="N720" s="96" t="str">
        <f>IF(A720="","",IF(A720=Expiry,0,EXP(-q*Q720)*_xlfn.NORM.S.DIST(Y720,0)/(sigma*SQRT(Q720))*I720*Mult/100))</f>
        <v/>
      </c>
      <c r="O720" s="96" t="str">
        <f>IF(A720="","",IF(A720=Expiry,0,D720*E720*E720*EXP(-q*Q720)*_xlfn.NORM.S.DIST(Y720,0)*SQRT(Q720)/100))</f>
        <v/>
      </c>
      <c r="P720" s="69" t="str">
        <f>IF(A720="","",IF(A720=Expiry,0,AK720*I720*Mult*((-EXP(-q*Q720)*E720*_xlfn.NORM.S.DIST(Y720,0)*sigma/(2*SQRT(Q720))-r_dom*K*EXP(-r_dom*Q720)*_xlfn.NORM.S.DIST(Z720,1)+q*E720*EXP(-q*Q720)*_xlfn.NORM.S.DIST(Y720,1))/365)))</f>
        <v/>
      </c>
      <c r="Q720" s="83" t="str">
        <f t="shared" si="287"/>
        <v/>
      </c>
      <c r="R720" s="38"/>
      <c r="S720" s="68" t="str">
        <f t="shared" si="288"/>
        <v/>
      </c>
      <c r="T720" s="69" t="str">
        <f t="shared" si="289"/>
        <v/>
      </c>
      <c r="U720" s="70" t="str">
        <f t="shared" si="290"/>
        <v/>
      </c>
      <c r="V720" s="72" t="str">
        <f t="shared" si="291"/>
        <v/>
      </c>
      <c r="W720" s="2" t="str">
        <f t="shared" si="278"/>
        <v/>
      </c>
      <c r="X720" s="2" t="str">
        <f t="shared" si="273"/>
        <v/>
      </c>
      <c r="Y720" s="35" t="str">
        <f t="shared" ca="1" si="292"/>
        <v/>
      </c>
      <c r="Z720" s="36" t="str">
        <f t="shared" ca="1" si="293"/>
        <v/>
      </c>
      <c r="AA720" s="70" t="str">
        <f t="shared" si="294"/>
        <v/>
      </c>
      <c r="AB720" s="2"/>
      <c r="AC720" s="94" t="str">
        <f t="shared" si="274"/>
        <v/>
      </c>
      <c r="AD720" s="95" t="str">
        <f t="shared" si="275"/>
        <v/>
      </c>
      <c r="AE720" s="96" t="str">
        <f t="shared" si="276"/>
        <v/>
      </c>
      <c r="AF720" s="124" t="str">
        <f t="shared" si="277"/>
        <v/>
      </c>
      <c r="AG720" s="2"/>
      <c r="AH720" s="2"/>
      <c r="AI720" s="2"/>
      <c r="AJ720" s="2"/>
      <c r="AK720" s="2"/>
      <c r="AL720" s="2"/>
    </row>
    <row r="721" spans="1:38" x14ac:dyDescent="0.2">
      <c r="A721" s="45"/>
      <c r="B721" s="43" t="str">
        <f t="shared" si="280"/>
        <v/>
      </c>
      <c r="C721" s="96" t="str">
        <f t="shared" si="279"/>
        <v/>
      </c>
      <c r="D721" s="44" t="str">
        <f t="shared" si="281"/>
        <v/>
      </c>
      <c r="E721" s="52"/>
      <c r="F721" s="63" t="str">
        <f t="shared" si="282"/>
        <v/>
      </c>
      <c r="G721" s="56" t="str">
        <f t="shared" si="283"/>
        <v/>
      </c>
      <c r="H721" s="42"/>
      <c r="I721" s="2" t="str">
        <f t="shared" si="284"/>
        <v/>
      </c>
      <c r="J721" s="54" t="str">
        <f t="shared" si="271"/>
        <v/>
      </c>
      <c r="K721" s="55" t="str">
        <f t="shared" si="285"/>
        <v/>
      </c>
      <c r="L721" s="63" t="str">
        <f t="shared" si="286"/>
        <v/>
      </c>
      <c r="M721" s="96" t="str">
        <f t="shared" si="272"/>
        <v/>
      </c>
      <c r="N721" s="96" t="str">
        <f>IF(A721="","",IF(A721=Expiry,0,EXP(-q*Q721)*_xlfn.NORM.S.DIST(Y721,0)/(sigma*SQRT(Q721))*I721*Mult/100))</f>
        <v/>
      </c>
      <c r="O721" s="96" t="str">
        <f>IF(A721="","",IF(A721=Expiry,0,D721*E721*E721*EXP(-q*Q721)*_xlfn.NORM.S.DIST(Y721,0)*SQRT(Q721)/100))</f>
        <v/>
      </c>
      <c r="P721" s="69" t="str">
        <f>IF(A721="","",IF(A721=Expiry,0,AK721*I721*Mult*((-EXP(-q*Q721)*E721*_xlfn.NORM.S.DIST(Y721,0)*sigma/(2*SQRT(Q721))-r_dom*K*EXP(-r_dom*Q721)*_xlfn.NORM.S.DIST(Z721,1)+q*E721*EXP(-q*Q721)*_xlfn.NORM.S.DIST(Y721,1))/365)))</f>
        <v/>
      </c>
      <c r="Q721" s="83" t="str">
        <f t="shared" si="287"/>
        <v/>
      </c>
      <c r="R721" s="38"/>
      <c r="S721" s="68" t="str">
        <f t="shared" si="288"/>
        <v/>
      </c>
      <c r="T721" s="69" t="str">
        <f t="shared" si="289"/>
        <v/>
      </c>
      <c r="U721" s="70" t="str">
        <f t="shared" si="290"/>
        <v/>
      </c>
      <c r="V721" s="72" t="str">
        <f t="shared" si="291"/>
        <v/>
      </c>
      <c r="W721" s="2" t="str">
        <f t="shared" si="278"/>
        <v/>
      </c>
      <c r="X721" s="2" t="str">
        <f t="shared" si="273"/>
        <v/>
      </c>
      <c r="Y721" s="35" t="str">
        <f t="shared" ca="1" si="292"/>
        <v/>
      </c>
      <c r="Z721" s="36" t="str">
        <f t="shared" ca="1" si="293"/>
        <v/>
      </c>
      <c r="AA721" s="70" t="str">
        <f t="shared" si="294"/>
        <v/>
      </c>
      <c r="AB721" s="2"/>
      <c r="AC721" s="94" t="str">
        <f t="shared" si="274"/>
        <v/>
      </c>
      <c r="AD721" s="95" t="str">
        <f t="shared" si="275"/>
        <v/>
      </c>
      <c r="AE721" s="96" t="str">
        <f t="shared" si="276"/>
        <v/>
      </c>
      <c r="AF721" s="124" t="str">
        <f t="shared" si="277"/>
        <v/>
      </c>
      <c r="AG721" s="2"/>
      <c r="AH721" s="2"/>
      <c r="AI721" s="2"/>
      <c r="AJ721" s="2"/>
      <c r="AK721" s="2"/>
      <c r="AL721" s="2"/>
    </row>
    <row r="722" spans="1:38" x14ac:dyDescent="0.2">
      <c r="A722" s="45"/>
      <c r="B722" s="43" t="str">
        <f t="shared" si="280"/>
        <v/>
      </c>
      <c r="C722" s="96" t="str">
        <f t="shared" si="279"/>
        <v/>
      </c>
      <c r="D722" s="44" t="str">
        <f t="shared" si="281"/>
        <v/>
      </c>
      <c r="E722" s="52"/>
      <c r="F722" s="63" t="str">
        <f t="shared" si="282"/>
        <v/>
      </c>
      <c r="G722" s="56" t="str">
        <f t="shared" si="283"/>
        <v/>
      </c>
      <c r="H722" s="42"/>
      <c r="I722" s="2" t="str">
        <f t="shared" si="284"/>
        <v/>
      </c>
      <c r="J722" s="54" t="str">
        <f t="shared" si="271"/>
        <v/>
      </c>
      <c r="K722" s="55" t="str">
        <f t="shared" si="285"/>
        <v/>
      </c>
      <c r="L722" s="63" t="str">
        <f t="shared" si="286"/>
        <v/>
      </c>
      <c r="M722" s="96" t="str">
        <f t="shared" si="272"/>
        <v/>
      </c>
      <c r="N722" s="96" t="str">
        <f>IF(A722="","",IF(A722=Expiry,0,EXP(-q*Q722)*_xlfn.NORM.S.DIST(Y722,0)/(sigma*SQRT(Q722))*I722*Mult/100))</f>
        <v/>
      </c>
      <c r="O722" s="96" t="str">
        <f>IF(A722="","",IF(A722=Expiry,0,D722*E722*E722*EXP(-q*Q722)*_xlfn.NORM.S.DIST(Y722,0)*SQRT(Q722)/100))</f>
        <v/>
      </c>
      <c r="P722" s="69" t="str">
        <f>IF(A722="","",IF(A722=Expiry,0,AK722*I722*Mult*((-EXP(-q*Q722)*E722*_xlfn.NORM.S.DIST(Y722,0)*sigma/(2*SQRT(Q722))-r_dom*K*EXP(-r_dom*Q722)*_xlfn.NORM.S.DIST(Z722,1)+q*E722*EXP(-q*Q722)*_xlfn.NORM.S.DIST(Y722,1))/365)))</f>
        <v/>
      </c>
      <c r="Q722" s="83" t="str">
        <f t="shared" si="287"/>
        <v/>
      </c>
      <c r="R722" s="38"/>
      <c r="S722" s="68" t="str">
        <f t="shared" si="288"/>
        <v/>
      </c>
      <c r="T722" s="69" t="str">
        <f t="shared" si="289"/>
        <v/>
      </c>
      <c r="U722" s="70" t="str">
        <f t="shared" si="290"/>
        <v/>
      </c>
      <c r="V722" s="72" t="str">
        <f t="shared" si="291"/>
        <v/>
      </c>
      <c r="W722" s="2" t="str">
        <f t="shared" si="278"/>
        <v/>
      </c>
      <c r="X722" s="2" t="str">
        <f t="shared" si="273"/>
        <v/>
      </c>
      <c r="Y722" s="35" t="str">
        <f t="shared" ca="1" si="292"/>
        <v/>
      </c>
      <c r="Z722" s="36" t="str">
        <f t="shared" ca="1" si="293"/>
        <v/>
      </c>
      <c r="AA722" s="70" t="str">
        <f t="shared" si="294"/>
        <v/>
      </c>
      <c r="AB722" s="2"/>
      <c r="AC722" s="94" t="str">
        <f t="shared" si="274"/>
        <v/>
      </c>
      <c r="AD722" s="95" t="str">
        <f t="shared" si="275"/>
        <v/>
      </c>
      <c r="AE722" s="96" t="str">
        <f t="shared" si="276"/>
        <v/>
      </c>
      <c r="AF722" s="124" t="str">
        <f t="shared" si="277"/>
        <v/>
      </c>
      <c r="AG722" s="2"/>
      <c r="AH722" s="2"/>
      <c r="AI722" s="2"/>
      <c r="AJ722" s="2"/>
      <c r="AK722" s="2"/>
      <c r="AL722" s="2"/>
    </row>
    <row r="723" spans="1:38" x14ac:dyDescent="0.2">
      <c r="A723" s="45"/>
      <c r="B723" s="43" t="str">
        <f t="shared" si="280"/>
        <v/>
      </c>
      <c r="C723" s="96" t="str">
        <f t="shared" si="279"/>
        <v/>
      </c>
      <c r="D723" s="44" t="str">
        <f t="shared" si="281"/>
        <v/>
      </c>
      <c r="E723" s="52"/>
      <c r="F723" s="63" t="str">
        <f t="shared" si="282"/>
        <v/>
      </c>
      <c r="G723" s="56" t="str">
        <f t="shared" si="283"/>
        <v/>
      </c>
      <c r="H723" s="42"/>
      <c r="I723" s="2" t="str">
        <f t="shared" si="284"/>
        <v/>
      </c>
      <c r="J723" s="54" t="str">
        <f t="shared" si="271"/>
        <v/>
      </c>
      <c r="K723" s="55" t="str">
        <f t="shared" si="285"/>
        <v/>
      </c>
      <c r="L723" s="63" t="str">
        <f t="shared" si="286"/>
        <v/>
      </c>
      <c r="M723" s="96" t="str">
        <f t="shared" si="272"/>
        <v/>
      </c>
      <c r="N723" s="96" t="str">
        <f>IF(A723="","",IF(A723=Expiry,0,EXP(-q*Q723)*_xlfn.NORM.S.DIST(Y723,0)/(sigma*SQRT(Q723))*I723*Mult/100))</f>
        <v/>
      </c>
      <c r="O723" s="96" t="str">
        <f>IF(A723="","",IF(A723=Expiry,0,D723*E723*E723*EXP(-q*Q723)*_xlfn.NORM.S.DIST(Y723,0)*SQRT(Q723)/100))</f>
        <v/>
      </c>
      <c r="P723" s="69" t="str">
        <f>IF(A723="","",IF(A723=Expiry,0,AK723*I723*Mult*((-EXP(-q*Q723)*E723*_xlfn.NORM.S.DIST(Y723,0)*sigma/(2*SQRT(Q723))-r_dom*K*EXP(-r_dom*Q723)*_xlfn.NORM.S.DIST(Z723,1)+q*E723*EXP(-q*Q723)*_xlfn.NORM.S.DIST(Y723,1))/365)))</f>
        <v/>
      </c>
      <c r="Q723" s="83" t="str">
        <f t="shared" si="287"/>
        <v/>
      </c>
      <c r="R723" s="38"/>
      <c r="S723" s="68" t="str">
        <f t="shared" si="288"/>
        <v/>
      </c>
      <c r="T723" s="69" t="str">
        <f t="shared" si="289"/>
        <v/>
      </c>
      <c r="U723" s="70" t="str">
        <f t="shared" si="290"/>
        <v/>
      </c>
      <c r="V723" s="72" t="str">
        <f t="shared" si="291"/>
        <v/>
      </c>
      <c r="W723" s="2" t="str">
        <f t="shared" si="278"/>
        <v/>
      </c>
      <c r="X723" s="2" t="str">
        <f t="shared" si="273"/>
        <v/>
      </c>
      <c r="Y723" s="35" t="str">
        <f t="shared" ca="1" si="292"/>
        <v/>
      </c>
      <c r="Z723" s="36" t="str">
        <f t="shared" ca="1" si="293"/>
        <v/>
      </c>
      <c r="AA723" s="70" t="str">
        <f t="shared" si="294"/>
        <v/>
      </c>
      <c r="AB723" s="2"/>
      <c r="AC723" s="94" t="str">
        <f t="shared" si="274"/>
        <v/>
      </c>
      <c r="AD723" s="95" t="str">
        <f t="shared" si="275"/>
        <v/>
      </c>
      <c r="AE723" s="96" t="str">
        <f t="shared" si="276"/>
        <v/>
      </c>
      <c r="AF723" s="124" t="str">
        <f t="shared" si="277"/>
        <v/>
      </c>
      <c r="AG723" s="2"/>
      <c r="AH723" s="2"/>
      <c r="AI723" s="2"/>
      <c r="AJ723" s="2"/>
      <c r="AK723" s="2"/>
      <c r="AL723" s="2"/>
    </row>
    <row r="724" spans="1:38" x14ac:dyDescent="0.2">
      <c r="A724" s="45"/>
      <c r="B724" s="43" t="str">
        <f t="shared" si="280"/>
        <v/>
      </c>
      <c r="C724" s="96" t="str">
        <f t="shared" si="279"/>
        <v/>
      </c>
      <c r="D724" s="44" t="str">
        <f t="shared" si="281"/>
        <v/>
      </c>
      <c r="E724" s="52"/>
      <c r="F724" s="63" t="str">
        <f t="shared" si="282"/>
        <v/>
      </c>
      <c r="G724" s="56" t="str">
        <f t="shared" si="283"/>
        <v/>
      </c>
      <c r="H724" s="42"/>
      <c r="I724" s="2" t="str">
        <f t="shared" si="284"/>
        <v/>
      </c>
      <c r="J724" s="54" t="str">
        <f t="shared" si="271"/>
        <v/>
      </c>
      <c r="K724" s="55" t="str">
        <f t="shared" si="285"/>
        <v/>
      </c>
      <c r="L724" s="63" t="str">
        <f t="shared" si="286"/>
        <v/>
      </c>
      <c r="M724" s="96" t="str">
        <f t="shared" si="272"/>
        <v/>
      </c>
      <c r="N724" s="96" t="str">
        <f>IF(A724="","",IF(A724=Expiry,0,EXP(-q*Q724)*_xlfn.NORM.S.DIST(Y724,0)/(sigma*SQRT(Q724))*I724*Mult/100))</f>
        <v/>
      </c>
      <c r="O724" s="96" t="str">
        <f>IF(A724="","",IF(A724=Expiry,0,D724*E724*E724*EXP(-q*Q724)*_xlfn.NORM.S.DIST(Y724,0)*SQRT(Q724)/100))</f>
        <v/>
      </c>
      <c r="P724" s="69" t="str">
        <f>IF(A724="","",IF(A724=Expiry,0,AK724*I724*Mult*((-EXP(-q*Q724)*E724*_xlfn.NORM.S.DIST(Y724,0)*sigma/(2*SQRT(Q724))-r_dom*K*EXP(-r_dom*Q724)*_xlfn.NORM.S.DIST(Z724,1)+q*E724*EXP(-q*Q724)*_xlfn.NORM.S.DIST(Y724,1))/365)))</f>
        <v/>
      </c>
      <c r="Q724" s="83" t="str">
        <f t="shared" si="287"/>
        <v/>
      </c>
      <c r="R724" s="38"/>
      <c r="S724" s="68" t="str">
        <f t="shared" si="288"/>
        <v/>
      </c>
      <c r="T724" s="69" t="str">
        <f t="shared" si="289"/>
        <v/>
      </c>
      <c r="U724" s="70" t="str">
        <f t="shared" si="290"/>
        <v/>
      </c>
      <c r="V724" s="72" t="str">
        <f t="shared" si="291"/>
        <v/>
      </c>
      <c r="W724" s="2" t="str">
        <f t="shared" si="278"/>
        <v/>
      </c>
      <c r="X724" s="2" t="str">
        <f t="shared" si="273"/>
        <v/>
      </c>
      <c r="Y724" s="35" t="str">
        <f t="shared" ca="1" si="292"/>
        <v/>
      </c>
      <c r="Z724" s="36" t="str">
        <f t="shared" ca="1" si="293"/>
        <v/>
      </c>
      <c r="AA724" s="70" t="str">
        <f t="shared" si="294"/>
        <v/>
      </c>
      <c r="AB724" s="2"/>
      <c r="AC724" s="94" t="str">
        <f t="shared" si="274"/>
        <v/>
      </c>
      <c r="AD724" s="95" t="str">
        <f t="shared" si="275"/>
        <v/>
      </c>
      <c r="AE724" s="96" t="str">
        <f t="shared" si="276"/>
        <v/>
      </c>
      <c r="AF724" s="124" t="str">
        <f t="shared" si="277"/>
        <v/>
      </c>
      <c r="AG724" s="2"/>
      <c r="AH724" s="2"/>
      <c r="AI724" s="2"/>
      <c r="AJ724" s="2"/>
      <c r="AK724" s="2"/>
      <c r="AL724" s="2"/>
    </row>
    <row r="725" spans="1:38" x14ac:dyDescent="0.2">
      <c r="A725" s="45"/>
      <c r="B725" s="43" t="str">
        <f t="shared" si="280"/>
        <v/>
      </c>
      <c r="C725" s="96" t="str">
        <f t="shared" si="279"/>
        <v/>
      </c>
      <c r="D725" s="44" t="str">
        <f t="shared" si="281"/>
        <v/>
      </c>
      <c r="E725" s="52"/>
      <c r="F725" s="63" t="str">
        <f t="shared" si="282"/>
        <v/>
      </c>
      <c r="G725" s="56" t="str">
        <f t="shared" si="283"/>
        <v/>
      </c>
      <c r="H725" s="42"/>
      <c r="I725" s="2" t="str">
        <f t="shared" si="284"/>
        <v/>
      </c>
      <c r="J725" s="54" t="str">
        <f t="shared" si="271"/>
        <v/>
      </c>
      <c r="K725" s="55" t="str">
        <f t="shared" si="285"/>
        <v/>
      </c>
      <c r="L725" s="63" t="str">
        <f t="shared" si="286"/>
        <v/>
      </c>
      <c r="M725" s="96" t="str">
        <f t="shared" si="272"/>
        <v/>
      </c>
      <c r="N725" s="96" t="str">
        <f>IF(A725="","",IF(A725=Expiry,0,EXP(-q*Q725)*_xlfn.NORM.S.DIST(Y725,0)/(sigma*SQRT(Q725))*I725*Mult/100))</f>
        <v/>
      </c>
      <c r="O725" s="96" t="str">
        <f>IF(A725="","",IF(A725=Expiry,0,D725*E725*E725*EXP(-q*Q725)*_xlfn.NORM.S.DIST(Y725,0)*SQRT(Q725)/100))</f>
        <v/>
      </c>
      <c r="P725" s="69" t="str">
        <f>IF(A725="","",IF(A725=Expiry,0,AK725*I725*Mult*((-EXP(-q*Q725)*E725*_xlfn.NORM.S.DIST(Y725,0)*sigma/(2*SQRT(Q725))-r_dom*K*EXP(-r_dom*Q725)*_xlfn.NORM.S.DIST(Z725,1)+q*E725*EXP(-q*Q725)*_xlfn.NORM.S.DIST(Y725,1))/365)))</f>
        <v/>
      </c>
      <c r="Q725" s="83" t="str">
        <f t="shared" si="287"/>
        <v/>
      </c>
      <c r="R725" s="38"/>
      <c r="S725" s="68" t="str">
        <f t="shared" si="288"/>
        <v/>
      </c>
      <c r="T725" s="69" t="str">
        <f t="shared" si="289"/>
        <v/>
      </c>
      <c r="U725" s="70" t="str">
        <f t="shared" si="290"/>
        <v/>
      </c>
      <c r="V725" s="72" t="str">
        <f t="shared" si="291"/>
        <v/>
      </c>
      <c r="W725" s="2" t="str">
        <f t="shared" si="278"/>
        <v/>
      </c>
      <c r="X725" s="2" t="str">
        <f t="shared" si="273"/>
        <v/>
      </c>
      <c r="Y725" s="35" t="str">
        <f t="shared" ca="1" si="292"/>
        <v/>
      </c>
      <c r="Z725" s="36" t="str">
        <f t="shared" ca="1" si="293"/>
        <v/>
      </c>
      <c r="AA725" s="70" t="str">
        <f t="shared" si="294"/>
        <v/>
      </c>
      <c r="AB725" s="2"/>
      <c r="AC725" s="94" t="str">
        <f t="shared" si="274"/>
        <v/>
      </c>
      <c r="AD725" s="95" t="str">
        <f t="shared" si="275"/>
        <v/>
      </c>
      <c r="AE725" s="96" t="str">
        <f t="shared" si="276"/>
        <v/>
      </c>
      <c r="AF725" s="124" t="str">
        <f t="shared" si="277"/>
        <v/>
      </c>
      <c r="AG725" s="2"/>
      <c r="AH725" s="2"/>
      <c r="AI725" s="2"/>
      <c r="AJ725" s="2"/>
      <c r="AK725" s="2"/>
      <c r="AL725" s="2"/>
    </row>
    <row r="726" spans="1:38" x14ac:dyDescent="0.2">
      <c r="A726" s="45"/>
      <c r="B726" s="43" t="str">
        <f t="shared" si="280"/>
        <v/>
      </c>
      <c r="C726" s="96" t="str">
        <f t="shared" si="279"/>
        <v/>
      </c>
      <c r="D726" s="44" t="str">
        <f t="shared" si="281"/>
        <v/>
      </c>
      <c r="E726" s="52"/>
      <c r="F726" s="63" t="str">
        <f t="shared" si="282"/>
        <v/>
      </c>
      <c r="G726" s="56" t="str">
        <f t="shared" si="283"/>
        <v/>
      </c>
      <c r="H726" s="42"/>
      <c r="I726" s="2" t="str">
        <f t="shared" si="284"/>
        <v/>
      </c>
      <c r="J726" s="54" t="str">
        <f t="shared" si="271"/>
        <v/>
      </c>
      <c r="K726" s="55" t="str">
        <f t="shared" si="285"/>
        <v/>
      </c>
      <c r="L726" s="63" t="str">
        <f t="shared" si="286"/>
        <v/>
      </c>
      <c r="M726" s="96" t="str">
        <f t="shared" si="272"/>
        <v/>
      </c>
      <c r="N726" s="96" t="str">
        <f>IF(A726="","",IF(A726=Expiry,0,EXP(-q*Q726)*_xlfn.NORM.S.DIST(Y726,0)/(sigma*SQRT(Q726))*I726*Mult/100))</f>
        <v/>
      </c>
      <c r="O726" s="96" t="str">
        <f>IF(A726="","",IF(A726=Expiry,0,D726*E726*E726*EXP(-q*Q726)*_xlfn.NORM.S.DIST(Y726,0)*SQRT(Q726)/100))</f>
        <v/>
      </c>
      <c r="P726" s="69" t="str">
        <f>IF(A726="","",IF(A726=Expiry,0,AK726*I726*Mult*((-EXP(-q*Q726)*E726*_xlfn.NORM.S.DIST(Y726,0)*sigma/(2*SQRT(Q726))-r_dom*K*EXP(-r_dom*Q726)*_xlfn.NORM.S.DIST(Z726,1)+q*E726*EXP(-q*Q726)*_xlfn.NORM.S.DIST(Y726,1))/365)))</f>
        <v/>
      </c>
      <c r="Q726" s="83" t="str">
        <f t="shared" si="287"/>
        <v/>
      </c>
      <c r="R726" s="38"/>
      <c r="S726" s="68" t="str">
        <f t="shared" si="288"/>
        <v/>
      </c>
      <c r="T726" s="69" t="str">
        <f t="shared" si="289"/>
        <v/>
      </c>
      <c r="U726" s="70" t="str">
        <f t="shared" si="290"/>
        <v/>
      </c>
      <c r="V726" s="72" t="str">
        <f t="shared" si="291"/>
        <v/>
      </c>
      <c r="W726" s="2" t="str">
        <f t="shared" si="278"/>
        <v/>
      </c>
      <c r="X726" s="2" t="str">
        <f t="shared" si="273"/>
        <v/>
      </c>
      <c r="Y726" s="35" t="str">
        <f t="shared" ca="1" si="292"/>
        <v/>
      </c>
      <c r="Z726" s="36" t="str">
        <f t="shared" ca="1" si="293"/>
        <v/>
      </c>
      <c r="AA726" s="70" t="str">
        <f t="shared" si="294"/>
        <v/>
      </c>
      <c r="AB726" s="2"/>
      <c r="AC726" s="94" t="str">
        <f t="shared" si="274"/>
        <v/>
      </c>
      <c r="AD726" s="95" t="str">
        <f t="shared" si="275"/>
        <v/>
      </c>
      <c r="AE726" s="96" t="str">
        <f t="shared" si="276"/>
        <v/>
      </c>
      <c r="AF726" s="124" t="str">
        <f t="shared" si="277"/>
        <v/>
      </c>
      <c r="AG726" s="2"/>
      <c r="AH726" s="2"/>
      <c r="AI726" s="2"/>
      <c r="AJ726" s="2"/>
      <c r="AK726" s="2"/>
      <c r="AL726" s="2"/>
    </row>
    <row r="727" spans="1:38" x14ac:dyDescent="0.2">
      <c r="A727" s="45"/>
      <c r="B727" s="43" t="str">
        <f t="shared" si="280"/>
        <v/>
      </c>
      <c r="C727" s="96" t="str">
        <f t="shared" si="279"/>
        <v/>
      </c>
      <c r="D727" s="44" t="str">
        <f t="shared" si="281"/>
        <v/>
      </c>
      <c r="E727" s="52"/>
      <c r="F727" s="63" t="str">
        <f t="shared" si="282"/>
        <v/>
      </c>
      <c r="G727" s="56" t="str">
        <f t="shared" si="283"/>
        <v/>
      </c>
      <c r="H727" s="42"/>
      <c r="I727" s="2" t="str">
        <f t="shared" si="284"/>
        <v/>
      </c>
      <c r="J727" s="54" t="str">
        <f t="shared" si="271"/>
        <v/>
      </c>
      <c r="K727" s="55" t="str">
        <f t="shared" si="285"/>
        <v/>
      </c>
      <c r="L727" s="63" t="str">
        <f t="shared" si="286"/>
        <v/>
      </c>
      <c r="M727" s="96" t="str">
        <f t="shared" si="272"/>
        <v/>
      </c>
      <c r="N727" s="96" t="str">
        <f>IF(A727="","",IF(A727=Expiry,0,EXP(-q*Q727)*_xlfn.NORM.S.DIST(Y727,0)/(sigma*SQRT(Q727))*I727*Mult/100))</f>
        <v/>
      </c>
      <c r="O727" s="96" t="str">
        <f>IF(A727="","",IF(A727=Expiry,0,D727*E727*E727*EXP(-q*Q727)*_xlfn.NORM.S.DIST(Y727,0)*SQRT(Q727)/100))</f>
        <v/>
      </c>
      <c r="P727" s="69" t="str">
        <f>IF(A727="","",IF(A727=Expiry,0,AK727*I727*Mult*((-EXP(-q*Q727)*E727*_xlfn.NORM.S.DIST(Y727,0)*sigma/(2*SQRT(Q727))-r_dom*K*EXP(-r_dom*Q727)*_xlfn.NORM.S.DIST(Z727,1)+q*E727*EXP(-q*Q727)*_xlfn.NORM.S.DIST(Y727,1))/365)))</f>
        <v/>
      </c>
      <c r="Q727" s="83" t="str">
        <f t="shared" si="287"/>
        <v/>
      </c>
      <c r="R727" s="38"/>
      <c r="S727" s="68" t="str">
        <f t="shared" si="288"/>
        <v/>
      </c>
      <c r="T727" s="69" t="str">
        <f t="shared" si="289"/>
        <v/>
      </c>
      <c r="U727" s="70" t="str">
        <f t="shared" si="290"/>
        <v/>
      </c>
      <c r="V727" s="72" t="str">
        <f t="shared" si="291"/>
        <v/>
      </c>
      <c r="W727" s="2" t="str">
        <f t="shared" si="278"/>
        <v/>
      </c>
      <c r="X727" s="2" t="str">
        <f t="shared" si="273"/>
        <v/>
      </c>
      <c r="Y727" s="35" t="str">
        <f t="shared" ca="1" si="292"/>
        <v/>
      </c>
      <c r="Z727" s="36" t="str">
        <f t="shared" ca="1" si="293"/>
        <v/>
      </c>
      <c r="AA727" s="70" t="str">
        <f t="shared" si="294"/>
        <v/>
      </c>
      <c r="AB727" s="2"/>
      <c r="AC727" s="94" t="str">
        <f t="shared" si="274"/>
        <v/>
      </c>
      <c r="AD727" s="95" t="str">
        <f t="shared" si="275"/>
        <v/>
      </c>
      <c r="AE727" s="96" t="str">
        <f t="shared" si="276"/>
        <v/>
      </c>
      <c r="AF727" s="124" t="str">
        <f t="shared" si="277"/>
        <v/>
      </c>
      <c r="AG727" s="2"/>
      <c r="AH727" s="2"/>
      <c r="AI727" s="2"/>
      <c r="AJ727" s="2"/>
      <c r="AK727" s="2"/>
      <c r="AL727" s="2"/>
    </row>
    <row r="728" spans="1:38" x14ac:dyDescent="0.2">
      <c r="A728" s="45"/>
      <c r="B728" s="43" t="str">
        <f t="shared" si="280"/>
        <v/>
      </c>
      <c r="C728" s="96" t="str">
        <f t="shared" si="279"/>
        <v/>
      </c>
      <c r="D728" s="44" t="str">
        <f t="shared" si="281"/>
        <v/>
      </c>
      <c r="E728" s="52"/>
      <c r="F728" s="63" t="str">
        <f t="shared" si="282"/>
        <v/>
      </c>
      <c r="G728" s="56" t="str">
        <f t="shared" si="283"/>
        <v/>
      </c>
      <c r="H728" s="42"/>
      <c r="I728" s="2" t="str">
        <f t="shared" si="284"/>
        <v/>
      </c>
      <c r="J728" s="54" t="str">
        <f t="shared" si="271"/>
        <v/>
      </c>
      <c r="K728" s="55" t="str">
        <f t="shared" si="285"/>
        <v/>
      </c>
      <c r="L728" s="63" t="str">
        <f t="shared" si="286"/>
        <v/>
      </c>
      <c r="M728" s="96" t="str">
        <f t="shared" si="272"/>
        <v/>
      </c>
      <c r="N728" s="96" t="str">
        <f>IF(A728="","",IF(A728=Expiry,0,EXP(-q*Q728)*_xlfn.NORM.S.DIST(Y728,0)/(sigma*SQRT(Q728))*I728*Mult/100))</f>
        <v/>
      </c>
      <c r="O728" s="96" t="str">
        <f>IF(A728="","",IF(A728=Expiry,0,D728*E728*E728*EXP(-q*Q728)*_xlfn.NORM.S.DIST(Y728,0)*SQRT(Q728)/100))</f>
        <v/>
      </c>
      <c r="P728" s="69" t="str">
        <f>IF(A728="","",IF(A728=Expiry,0,AK728*I728*Mult*((-EXP(-q*Q728)*E728*_xlfn.NORM.S.DIST(Y728,0)*sigma/(2*SQRT(Q728))-r_dom*K*EXP(-r_dom*Q728)*_xlfn.NORM.S.DIST(Z728,1)+q*E728*EXP(-q*Q728)*_xlfn.NORM.S.DIST(Y728,1))/365)))</f>
        <v/>
      </c>
      <c r="Q728" s="83" t="str">
        <f t="shared" si="287"/>
        <v/>
      </c>
      <c r="R728" s="38"/>
      <c r="S728" s="68" t="str">
        <f t="shared" si="288"/>
        <v/>
      </c>
      <c r="T728" s="69" t="str">
        <f t="shared" si="289"/>
        <v/>
      </c>
      <c r="U728" s="70" t="str">
        <f t="shared" si="290"/>
        <v/>
      </c>
      <c r="V728" s="72" t="str">
        <f t="shared" si="291"/>
        <v/>
      </c>
      <c r="W728" s="2" t="str">
        <f t="shared" si="278"/>
        <v/>
      </c>
      <c r="X728" s="2" t="str">
        <f t="shared" si="273"/>
        <v/>
      </c>
      <c r="Y728" s="35" t="str">
        <f t="shared" ca="1" si="292"/>
        <v/>
      </c>
      <c r="Z728" s="36" t="str">
        <f t="shared" ca="1" si="293"/>
        <v/>
      </c>
      <c r="AA728" s="70" t="str">
        <f t="shared" si="294"/>
        <v/>
      </c>
      <c r="AB728" s="2"/>
      <c r="AC728" s="94" t="str">
        <f t="shared" si="274"/>
        <v/>
      </c>
      <c r="AD728" s="95" t="str">
        <f t="shared" si="275"/>
        <v/>
      </c>
      <c r="AE728" s="96" t="str">
        <f t="shared" si="276"/>
        <v/>
      </c>
      <c r="AF728" s="124" t="str">
        <f t="shared" si="277"/>
        <v/>
      </c>
      <c r="AG728" s="2"/>
      <c r="AH728" s="2"/>
      <c r="AI728" s="2"/>
      <c r="AJ728" s="2"/>
      <c r="AK728" s="2"/>
      <c r="AL728" s="2"/>
    </row>
    <row r="729" spans="1:38" x14ac:dyDescent="0.2">
      <c r="A729" s="45"/>
      <c r="B729" s="43" t="str">
        <f t="shared" si="280"/>
        <v/>
      </c>
      <c r="C729" s="96" t="str">
        <f t="shared" si="279"/>
        <v/>
      </c>
      <c r="D729" s="44" t="str">
        <f t="shared" si="281"/>
        <v/>
      </c>
      <c r="E729" s="52"/>
      <c r="F729" s="63" t="str">
        <f t="shared" si="282"/>
        <v/>
      </c>
      <c r="G729" s="56" t="str">
        <f t="shared" si="283"/>
        <v/>
      </c>
      <c r="H729" s="42"/>
      <c r="I729" s="2" t="str">
        <f t="shared" si="284"/>
        <v/>
      </c>
      <c r="J729" s="54" t="str">
        <f t="shared" si="271"/>
        <v/>
      </c>
      <c r="K729" s="55" t="str">
        <f t="shared" si="285"/>
        <v/>
      </c>
      <c r="L729" s="63" t="str">
        <f t="shared" si="286"/>
        <v/>
      </c>
      <c r="M729" s="96" t="str">
        <f t="shared" si="272"/>
        <v/>
      </c>
      <c r="N729" s="96" t="str">
        <f>IF(A729="","",IF(A729=Expiry,0,EXP(-q*Q729)*_xlfn.NORM.S.DIST(Y729,0)/(sigma*SQRT(Q729))*I729*Mult/100))</f>
        <v/>
      </c>
      <c r="O729" s="96" t="str">
        <f>IF(A729="","",IF(A729=Expiry,0,D729*E729*E729*EXP(-q*Q729)*_xlfn.NORM.S.DIST(Y729,0)*SQRT(Q729)/100))</f>
        <v/>
      </c>
      <c r="P729" s="69" t="str">
        <f>IF(A729="","",IF(A729=Expiry,0,AK729*I729*Mult*((-EXP(-q*Q729)*E729*_xlfn.NORM.S.DIST(Y729,0)*sigma/(2*SQRT(Q729))-r_dom*K*EXP(-r_dom*Q729)*_xlfn.NORM.S.DIST(Z729,1)+q*E729*EXP(-q*Q729)*_xlfn.NORM.S.DIST(Y729,1))/365)))</f>
        <v/>
      </c>
      <c r="Q729" s="83" t="str">
        <f t="shared" si="287"/>
        <v/>
      </c>
      <c r="R729" s="38"/>
      <c r="S729" s="68" t="str">
        <f t="shared" si="288"/>
        <v/>
      </c>
      <c r="T729" s="69" t="str">
        <f t="shared" si="289"/>
        <v/>
      </c>
      <c r="U729" s="70" t="str">
        <f t="shared" si="290"/>
        <v/>
      </c>
      <c r="V729" s="72" t="str">
        <f t="shared" si="291"/>
        <v/>
      </c>
      <c r="W729" s="2" t="str">
        <f t="shared" si="278"/>
        <v/>
      </c>
      <c r="X729" s="2" t="str">
        <f t="shared" si="273"/>
        <v/>
      </c>
      <c r="Y729" s="35" t="str">
        <f t="shared" ca="1" si="292"/>
        <v/>
      </c>
      <c r="Z729" s="36" t="str">
        <f t="shared" ca="1" si="293"/>
        <v/>
      </c>
      <c r="AA729" s="70" t="str">
        <f t="shared" si="294"/>
        <v/>
      </c>
      <c r="AB729" s="2"/>
      <c r="AC729" s="94" t="str">
        <f t="shared" si="274"/>
        <v/>
      </c>
      <c r="AD729" s="95" t="str">
        <f t="shared" si="275"/>
        <v/>
      </c>
      <c r="AE729" s="96" t="str">
        <f t="shared" si="276"/>
        <v/>
      </c>
      <c r="AF729" s="124" t="str">
        <f t="shared" si="277"/>
        <v/>
      </c>
      <c r="AG729" s="2"/>
      <c r="AH729" s="2"/>
      <c r="AI729" s="2"/>
      <c r="AJ729" s="2"/>
      <c r="AK729" s="2"/>
      <c r="AL729" s="2"/>
    </row>
    <row r="730" spans="1:38" x14ac:dyDescent="0.2">
      <c r="A730" s="45"/>
      <c r="B730" s="43" t="str">
        <f t="shared" si="280"/>
        <v/>
      </c>
      <c r="C730" s="96" t="str">
        <f t="shared" si="279"/>
        <v/>
      </c>
      <c r="D730" s="44" t="str">
        <f t="shared" si="281"/>
        <v/>
      </c>
      <c r="E730" s="52"/>
      <c r="F730" s="63" t="str">
        <f t="shared" si="282"/>
        <v/>
      </c>
      <c r="G730" s="56" t="str">
        <f t="shared" si="283"/>
        <v/>
      </c>
      <c r="H730" s="42"/>
      <c r="I730" s="2" t="str">
        <f t="shared" si="284"/>
        <v/>
      </c>
      <c r="J730" s="54" t="str">
        <f t="shared" si="271"/>
        <v/>
      </c>
      <c r="K730" s="55" t="str">
        <f t="shared" si="285"/>
        <v/>
      </c>
      <c r="L730" s="63" t="str">
        <f t="shared" si="286"/>
        <v/>
      </c>
      <c r="M730" s="96" t="str">
        <f t="shared" si="272"/>
        <v/>
      </c>
      <c r="N730" s="96" t="str">
        <f>IF(A730="","",IF(A730=Expiry,0,EXP(-q*Q730)*_xlfn.NORM.S.DIST(Y730,0)/(sigma*SQRT(Q730))*I730*Mult/100))</f>
        <v/>
      </c>
      <c r="O730" s="96" t="str">
        <f>IF(A730="","",IF(A730=Expiry,0,D730*E730*E730*EXP(-q*Q730)*_xlfn.NORM.S.DIST(Y730,0)*SQRT(Q730)/100))</f>
        <v/>
      </c>
      <c r="P730" s="69" t="str">
        <f>IF(A730="","",IF(A730=Expiry,0,AK730*I730*Mult*((-EXP(-q*Q730)*E730*_xlfn.NORM.S.DIST(Y730,0)*sigma/(2*SQRT(Q730))-r_dom*K*EXP(-r_dom*Q730)*_xlfn.NORM.S.DIST(Z730,1)+q*E730*EXP(-q*Q730)*_xlfn.NORM.S.DIST(Y730,1))/365)))</f>
        <v/>
      </c>
      <c r="Q730" s="83" t="str">
        <f t="shared" si="287"/>
        <v/>
      </c>
      <c r="R730" s="38"/>
      <c r="S730" s="68" t="str">
        <f t="shared" si="288"/>
        <v/>
      </c>
      <c r="T730" s="69" t="str">
        <f t="shared" si="289"/>
        <v/>
      </c>
      <c r="U730" s="70" t="str">
        <f t="shared" si="290"/>
        <v/>
      </c>
      <c r="V730" s="72" t="str">
        <f t="shared" si="291"/>
        <v/>
      </c>
      <c r="W730" s="2" t="str">
        <f t="shared" si="278"/>
        <v/>
      </c>
      <c r="X730" s="2" t="str">
        <f t="shared" si="273"/>
        <v/>
      </c>
      <c r="Y730" s="35" t="str">
        <f t="shared" ca="1" si="292"/>
        <v/>
      </c>
      <c r="Z730" s="36" t="str">
        <f t="shared" ca="1" si="293"/>
        <v/>
      </c>
      <c r="AA730" s="70" t="str">
        <f t="shared" si="294"/>
        <v/>
      </c>
      <c r="AB730" s="2"/>
      <c r="AC730" s="94" t="str">
        <f t="shared" si="274"/>
        <v/>
      </c>
      <c r="AD730" s="95" t="str">
        <f t="shared" si="275"/>
        <v/>
      </c>
      <c r="AE730" s="96" t="str">
        <f t="shared" si="276"/>
        <v/>
      </c>
      <c r="AF730" s="124" t="str">
        <f t="shared" si="277"/>
        <v/>
      </c>
      <c r="AG730" s="2"/>
      <c r="AH730" s="2"/>
      <c r="AI730" s="2"/>
      <c r="AJ730" s="2"/>
      <c r="AK730" s="2"/>
      <c r="AL730" s="2"/>
    </row>
    <row r="731" spans="1:38" x14ac:dyDescent="0.2">
      <c r="A731" s="45"/>
      <c r="B731" s="43" t="str">
        <f t="shared" si="280"/>
        <v/>
      </c>
      <c r="C731" s="96" t="str">
        <f t="shared" si="279"/>
        <v/>
      </c>
      <c r="D731" s="44" t="str">
        <f t="shared" si="281"/>
        <v/>
      </c>
      <c r="E731" s="52"/>
      <c r="F731" s="63" t="str">
        <f t="shared" si="282"/>
        <v/>
      </c>
      <c r="G731" s="56" t="str">
        <f t="shared" si="283"/>
        <v/>
      </c>
      <c r="H731" s="42"/>
      <c r="I731" s="2" t="str">
        <f t="shared" si="284"/>
        <v/>
      </c>
      <c r="J731" s="54" t="str">
        <f t="shared" si="271"/>
        <v/>
      </c>
      <c r="K731" s="55" t="str">
        <f t="shared" si="285"/>
        <v/>
      </c>
      <c r="L731" s="63" t="str">
        <f t="shared" si="286"/>
        <v/>
      </c>
      <c r="M731" s="96" t="str">
        <f t="shared" si="272"/>
        <v/>
      </c>
      <c r="N731" s="96" t="str">
        <f>IF(A731="","",IF(A731=Expiry,0,EXP(-q*Q731)*_xlfn.NORM.S.DIST(Y731,0)/(sigma*SQRT(Q731))*I731*Mult/100))</f>
        <v/>
      </c>
      <c r="O731" s="96" t="str">
        <f>IF(A731="","",IF(A731=Expiry,0,D731*E731*E731*EXP(-q*Q731)*_xlfn.NORM.S.DIST(Y731,0)*SQRT(Q731)/100))</f>
        <v/>
      </c>
      <c r="P731" s="69" t="str">
        <f>IF(A731="","",IF(A731=Expiry,0,AK731*I731*Mult*((-EXP(-q*Q731)*E731*_xlfn.NORM.S.DIST(Y731,0)*sigma/(2*SQRT(Q731))-r_dom*K*EXP(-r_dom*Q731)*_xlfn.NORM.S.DIST(Z731,1)+q*E731*EXP(-q*Q731)*_xlfn.NORM.S.DIST(Y731,1))/365)))</f>
        <v/>
      </c>
      <c r="Q731" s="83" t="str">
        <f t="shared" si="287"/>
        <v/>
      </c>
      <c r="R731" s="38"/>
      <c r="S731" s="68" t="str">
        <f t="shared" si="288"/>
        <v/>
      </c>
      <c r="T731" s="69" t="str">
        <f t="shared" si="289"/>
        <v/>
      </c>
      <c r="U731" s="70" t="str">
        <f t="shared" si="290"/>
        <v/>
      </c>
      <c r="V731" s="72" t="str">
        <f t="shared" si="291"/>
        <v/>
      </c>
      <c r="W731" s="2" t="str">
        <f t="shared" si="278"/>
        <v/>
      </c>
      <c r="X731" s="2" t="str">
        <f t="shared" si="273"/>
        <v/>
      </c>
      <c r="Y731" s="35" t="str">
        <f t="shared" ca="1" si="292"/>
        <v/>
      </c>
      <c r="Z731" s="36" t="str">
        <f t="shared" ca="1" si="293"/>
        <v/>
      </c>
      <c r="AA731" s="70" t="str">
        <f t="shared" si="294"/>
        <v/>
      </c>
      <c r="AB731" s="2"/>
      <c r="AC731" s="94" t="str">
        <f t="shared" si="274"/>
        <v/>
      </c>
      <c r="AD731" s="95" t="str">
        <f t="shared" si="275"/>
        <v/>
      </c>
      <c r="AE731" s="96" t="str">
        <f t="shared" si="276"/>
        <v/>
      </c>
      <c r="AF731" s="124" t="str">
        <f t="shared" si="277"/>
        <v/>
      </c>
      <c r="AG731" s="2"/>
      <c r="AH731" s="2"/>
      <c r="AI731" s="2"/>
      <c r="AJ731" s="2"/>
      <c r="AK731" s="2"/>
      <c r="AL731" s="2"/>
    </row>
    <row r="732" spans="1:38" x14ac:dyDescent="0.2">
      <c r="A732" s="45"/>
      <c r="B732" s="43" t="str">
        <f t="shared" si="280"/>
        <v/>
      </c>
      <c r="C732" s="96" t="str">
        <f t="shared" si="279"/>
        <v/>
      </c>
      <c r="D732" s="44" t="str">
        <f t="shared" si="281"/>
        <v/>
      </c>
      <c r="E732" s="52"/>
      <c r="F732" s="63" t="str">
        <f t="shared" si="282"/>
        <v/>
      </c>
      <c r="G732" s="56" t="str">
        <f t="shared" si="283"/>
        <v/>
      </c>
      <c r="H732" s="42"/>
      <c r="I732" s="2" t="str">
        <f t="shared" si="284"/>
        <v/>
      </c>
      <c r="J732" s="54" t="str">
        <f t="shared" si="271"/>
        <v/>
      </c>
      <c r="K732" s="55" t="str">
        <f t="shared" si="285"/>
        <v/>
      </c>
      <c r="L732" s="63" t="str">
        <f t="shared" si="286"/>
        <v/>
      </c>
      <c r="M732" s="96" t="str">
        <f t="shared" si="272"/>
        <v/>
      </c>
      <c r="N732" s="96" t="str">
        <f>IF(A732="","",IF(A732=Expiry,0,EXP(-q*Q732)*_xlfn.NORM.S.DIST(Y732,0)/(sigma*SQRT(Q732))*I732*Mult/100))</f>
        <v/>
      </c>
      <c r="O732" s="96" t="str">
        <f>IF(A732="","",IF(A732=Expiry,0,D732*E732*E732*EXP(-q*Q732)*_xlfn.NORM.S.DIST(Y732,0)*SQRT(Q732)/100))</f>
        <v/>
      </c>
      <c r="P732" s="69" t="str">
        <f>IF(A732="","",IF(A732=Expiry,0,AK732*I732*Mult*((-EXP(-q*Q732)*E732*_xlfn.NORM.S.DIST(Y732,0)*sigma/(2*SQRT(Q732))-r_dom*K*EXP(-r_dom*Q732)*_xlfn.NORM.S.DIST(Z732,1)+q*E732*EXP(-q*Q732)*_xlfn.NORM.S.DIST(Y732,1))/365)))</f>
        <v/>
      </c>
      <c r="Q732" s="83" t="str">
        <f t="shared" si="287"/>
        <v/>
      </c>
      <c r="R732" s="38"/>
      <c r="S732" s="68" t="str">
        <f t="shared" si="288"/>
        <v/>
      </c>
      <c r="T732" s="69" t="str">
        <f t="shared" si="289"/>
        <v/>
      </c>
      <c r="U732" s="70" t="str">
        <f t="shared" si="290"/>
        <v/>
      </c>
      <c r="V732" s="72" t="str">
        <f t="shared" si="291"/>
        <v/>
      </c>
      <c r="W732" s="2" t="str">
        <f t="shared" si="278"/>
        <v/>
      </c>
      <c r="X732" s="2" t="str">
        <f t="shared" si="273"/>
        <v/>
      </c>
      <c r="Y732" s="35" t="str">
        <f t="shared" ca="1" si="292"/>
        <v/>
      </c>
      <c r="Z732" s="36" t="str">
        <f t="shared" ca="1" si="293"/>
        <v/>
      </c>
      <c r="AA732" s="70" t="str">
        <f t="shared" si="294"/>
        <v/>
      </c>
      <c r="AB732" s="2"/>
      <c r="AC732" s="94" t="str">
        <f t="shared" si="274"/>
        <v/>
      </c>
      <c r="AD732" s="95" t="str">
        <f t="shared" si="275"/>
        <v/>
      </c>
      <c r="AE732" s="96" t="str">
        <f t="shared" si="276"/>
        <v/>
      </c>
      <c r="AF732" s="124" t="str">
        <f t="shared" si="277"/>
        <v/>
      </c>
      <c r="AG732" s="2"/>
      <c r="AH732" s="2"/>
      <c r="AI732" s="2"/>
      <c r="AJ732" s="2"/>
      <c r="AK732" s="2"/>
      <c r="AL732" s="2"/>
    </row>
    <row r="733" spans="1:38" x14ac:dyDescent="0.2">
      <c r="A733" s="45"/>
      <c r="B733" s="43" t="str">
        <f t="shared" si="280"/>
        <v/>
      </c>
      <c r="C733" s="96" t="str">
        <f t="shared" si="279"/>
        <v/>
      </c>
      <c r="D733" s="44" t="str">
        <f t="shared" si="281"/>
        <v/>
      </c>
      <c r="E733" s="52"/>
      <c r="F733" s="63" t="str">
        <f t="shared" si="282"/>
        <v/>
      </c>
      <c r="G733" s="56" t="str">
        <f t="shared" si="283"/>
        <v/>
      </c>
      <c r="H733" s="42"/>
      <c r="I733" s="2" t="str">
        <f t="shared" si="284"/>
        <v/>
      </c>
      <c r="J733" s="54" t="str">
        <f t="shared" si="271"/>
        <v/>
      </c>
      <c r="K733" s="55" t="str">
        <f t="shared" si="285"/>
        <v/>
      </c>
      <c r="L733" s="63" t="str">
        <f t="shared" si="286"/>
        <v/>
      </c>
      <c r="M733" s="96" t="str">
        <f t="shared" si="272"/>
        <v/>
      </c>
      <c r="N733" s="96" t="str">
        <f>IF(A733="","",IF(A733=Expiry,0,EXP(-q*Q733)*_xlfn.NORM.S.DIST(Y733,0)/(sigma*SQRT(Q733))*I733*Mult/100))</f>
        <v/>
      </c>
      <c r="O733" s="96" t="str">
        <f>IF(A733="","",IF(A733=Expiry,0,D733*E733*E733*EXP(-q*Q733)*_xlfn.NORM.S.DIST(Y733,0)*SQRT(Q733)/100))</f>
        <v/>
      </c>
      <c r="P733" s="69" t="str">
        <f>IF(A733="","",IF(A733=Expiry,0,AK733*I733*Mult*((-EXP(-q*Q733)*E733*_xlfn.NORM.S.DIST(Y733,0)*sigma/(2*SQRT(Q733))-r_dom*K*EXP(-r_dom*Q733)*_xlfn.NORM.S.DIST(Z733,1)+q*E733*EXP(-q*Q733)*_xlfn.NORM.S.DIST(Y733,1))/365)))</f>
        <v/>
      </c>
      <c r="Q733" s="83" t="str">
        <f t="shared" si="287"/>
        <v/>
      </c>
      <c r="R733" s="38"/>
      <c r="S733" s="68" t="str">
        <f t="shared" si="288"/>
        <v/>
      </c>
      <c r="T733" s="69" t="str">
        <f t="shared" si="289"/>
        <v/>
      </c>
      <c r="U733" s="70" t="str">
        <f t="shared" si="290"/>
        <v/>
      </c>
      <c r="V733" s="72" t="str">
        <f t="shared" si="291"/>
        <v/>
      </c>
      <c r="W733" s="2" t="str">
        <f t="shared" si="278"/>
        <v/>
      </c>
      <c r="X733" s="2" t="str">
        <f t="shared" si="273"/>
        <v/>
      </c>
      <c r="Y733" s="35" t="str">
        <f t="shared" ca="1" si="292"/>
        <v/>
      </c>
      <c r="Z733" s="36" t="str">
        <f t="shared" ca="1" si="293"/>
        <v/>
      </c>
      <c r="AA733" s="70" t="str">
        <f t="shared" si="294"/>
        <v/>
      </c>
      <c r="AB733" s="2"/>
      <c r="AC733" s="94" t="str">
        <f t="shared" si="274"/>
        <v/>
      </c>
      <c r="AD733" s="95" t="str">
        <f t="shared" si="275"/>
        <v/>
      </c>
      <c r="AE733" s="96" t="str">
        <f t="shared" si="276"/>
        <v/>
      </c>
      <c r="AF733" s="124" t="str">
        <f t="shared" si="277"/>
        <v/>
      </c>
      <c r="AG733" s="2"/>
      <c r="AH733" s="2"/>
      <c r="AI733" s="2"/>
      <c r="AJ733" s="2"/>
      <c r="AK733" s="2"/>
      <c r="AL733" s="2"/>
    </row>
    <row r="734" spans="1:38" x14ac:dyDescent="0.2">
      <c r="A734" s="45"/>
      <c r="B734" s="43" t="str">
        <f t="shared" si="280"/>
        <v/>
      </c>
      <c r="C734" s="96" t="str">
        <f t="shared" si="279"/>
        <v/>
      </c>
      <c r="D734" s="44" t="str">
        <f t="shared" si="281"/>
        <v/>
      </c>
      <c r="E734" s="52"/>
      <c r="F734" s="63" t="str">
        <f t="shared" si="282"/>
        <v/>
      </c>
      <c r="G734" s="56" t="str">
        <f t="shared" si="283"/>
        <v/>
      </c>
      <c r="H734" s="42"/>
      <c r="I734" s="2" t="str">
        <f t="shared" si="284"/>
        <v/>
      </c>
      <c r="J734" s="54" t="str">
        <f t="shared" si="271"/>
        <v/>
      </c>
      <c r="K734" s="55" t="str">
        <f t="shared" si="285"/>
        <v/>
      </c>
      <c r="L734" s="63" t="str">
        <f t="shared" si="286"/>
        <v/>
      </c>
      <c r="M734" s="96" t="str">
        <f t="shared" si="272"/>
        <v/>
      </c>
      <c r="N734" s="96" t="str">
        <f>IF(A734="","",IF(A734=Expiry,0,EXP(-q*Q734)*_xlfn.NORM.S.DIST(Y734,0)/(sigma*SQRT(Q734))*I734*Mult/100))</f>
        <v/>
      </c>
      <c r="O734" s="96" t="str">
        <f>IF(A734="","",IF(A734=Expiry,0,D734*E734*E734*EXP(-q*Q734)*_xlfn.NORM.S.DIST(Y734,0)*SQRT(Q734)/100))</f>
        <v/>
      </c>
      <c r="P734" s="69" t="str">
        <f>IF(A734="","",IF(A734=Expiry,0,AK734*I734*Mult*((-EXP(-q*Q734)*E734*_xlfn.NORM.S.DIST(Y734,0)*sigma/(2*SQRT(Q734))-r_dom*K*EXP(-r_dom*Q734)*_xlfn.NORM.S.DIST(Z734,1)+q*E734*EXP(-q*Q734)*_xlfn.NORM.S.DIST(Y734,1))/365)))</f>
        <v/>
      </c>
      <c r="Q734" s="83" t="str">
        <f t="shared" si="287"/>
        <v/>
      </c>
      <c r="R734" s="38"/>
      <c r="S734" s="68" t="str">
        <f t="shared" si="288"/>
        <v/>
      </c>
      <c r="T734" s="69" t="str">
        <f t="shared" si="289"/>
        <v/>
      </c>
      <c r="U734" s="70" t="str">
        <f t="shared" si="290"/>
        <v/>
      </c>
      <c r="V734" s="72" t="str">
        <f t="shared" si="291"/>
        <v/>
      </c>
      <c r="W734" s="2" t="str">
        <f t="shared" si="278"/>
        <v/>
      </c>
      <c r="X734" s="2" t="str">
        <f t="shared" si="273"/>
        <v/>
      </c>
      <c r="Y734" s="35" t="str">
        <f t="shared" ca="1" si="292"/>
        <v/>
      </c>
      <c r="Z734" s="36" t="str">
        <f t="shared" ca="1" si="293"/>
        <v/>
      </c>
      <c r="AA734" s="70" t="str">
        <f t="shared" si="294"/>
        <v/>
      </c>
      <c r="AB734" s="2"/>
      <c r="AC734" s="94" t="str">
        <f t="shared" si="274"/>
        <v/>
      </c>
      <c r="AD734" s="95" t="str">
        <f t="shared" si="275"/>
        <v/>
      </c>
      <c r="AE734" s="96" t="str">
        <f t="shared" si="276"/>
        <v/>
      </c>
      <c r="AF734" s="124" t="str">
        <f t="shared" si="277"/>
        <v/>
      </c>
      <c r="AG734" s="2"/>
      <c r="AH734" s="2"/>
      <c r="AI734" s="2"/>
      <c r="AJ734" s="2"/>
      <c r="AK734" s="2"/>
      <c r="AL734" s="2"/>
    </row>
    <row r="735" spans="1:38" x14ac:dyDescent="0.2">
      <c r="A735" s="45"/>
      <c r="B735" s="43" t="str">
        <f t="shared" si="280"/>
        <v/>
      </c>
      <c r="C735" s="96" t="str">
        <f t="shared" si="279"/>
        <v/>
      </c>
      <c r="D735" s="44" t="str">
        <f t="shared" si="281"/>
        <v/>
      </c>
      <c r="E735" s="52"/>
      <c r="F735" s="63" t="str">
        <f t="shared" si="282"/>
        <v/>
      </c>
      <c r="G735" s="56" t="str">
        <f t="shared" si="283"/>
        <v/>
      </c>
      <c r="H735" s="42"/>
      <c r="I735" s="2" t="str">
        <f t="shared" si="284"/>
        <v/>
      </c>
      <c r="J735" s="54" t="str">
        <f t="shared" si="271"/>
        <v/>
      </c>
      <c r="K735" s="55" t="str">
        <f t="shared" si="285"/>
        <v/>
      </c>
      <c r="L735" s="63" t="str">
        <f t="shared" si="286"/>
        <v/>
      </c>
      <c r="M735" s="96" t="str">
        <f t="shared" si="272"/>
        <v/>
      </c>
      <c r="N735" s="96" t="str">
        <f>IF(A735="","",IF(A735=Expiry,0,EXP(-q*Q735)*_xlfn.NORM.S.DIST(Y735,0)/(sigma*SQRT(Q735))*I735*Mult/100))</f>
        <v/>
      </c>
      <c r="O735" s="96" t="str">
        <f>IF(A735="","",IF(A735=Expiry,0,D735*E735*E735*EXP(-q*Q735)*_xlfn.NORM.S.DIST(Y735,0)*SQRT(Q735)/100))</f>
        <v/>
      </c>
      <c r="P735" s="69" t="str">
        <f>IF(A735="","",IF(A735=Expiry,0,AK735*I735*Mult*((-EXP(-q*Q735)*E735*_xlfn.NORM.S.DIST(Y735,0)*sigma/(2*SQRT(Q735))-r_dom*K*EXP(-r_dom*Q735)*_xlfn.NORM.S.DIST(Z735,1)+q*E735*EXP(-q*Q735)*_xlfn.NORM.S.DIST(Y735,1))/365)))</f>
        <v/>
      </c>
      <c r="Q735" s="83" t="str">
        <f t="shared" si="287"/>
        <v/>
      </c>
      <c r="R735" s="38"/>
      <c r="S735" s="68" t="str">
        <f t="shared" si="288"/>
        <v/>
      </c>
      <c r="T735" s="69" t="str">
        <f t="shared" si="289"/>
        <v/>
      </c>
      <c r="U735" s="70" t="str">
        <f t="shared" si="290"/>
        <v/>
      </c>
      <c r="V735" s="72" t="str">
        <f t="shared" si="291"/>
        <v/>
      </c>
      <c r="W735" s="2" t="str">
        <f t="shared" si="278"/>
        <v/>
      </c>
      <c r="X735" s="2" t="str">
        <f t="shared" si="273"/>
        <v/>
      </c>
      <c r="Y735" s="35" t="str">
        <f t="shared" ca="1" si="292"/>
        <v/>
      </c>
      <c r="Z735" s="36" t="str">
        <f t="shared" ca="1" si="293"/>
        <v/>
      </c>
      <c r="AA735" s="70" t="str">
        <f t="shared" si="294"/>
        <v/>
      </c>
      <c r="AB735" s="2"/>
      <c r="AC735" s="94" t="str">
        <f t="shared" si="274"/>
        <v/>
      </c>
      <c r="AD735" s="95" t="str">
        <f t="shared" si="275"/>
        <v/>
      </c>
      <c r="AE735" s="96" t="str">
        <f t="shared" si="276"/>
        <v/>
      </c>
      <c r="AF735" s="124" t="str">
        <f t="shared" si="277"/>
        <v/>
      </c>
      <c r="AG735" s="2"/>
      <c r="AH735" s="2"/>
      <c r="AI735" s="2"/>
      <c r="AJ735" s="2"/>
      <c r="AK735" s="2"/>
      <c r="AL735" s="2"/>
    </row>
    <row r="736" spans="1:38" x14ac:dyDescent="0.2">
      <c r="A736" s="45"/>
      <c r="B736" s="43" t="str">
        <f t="shared" si="280"/>
        <v/>
      </c>
      <c r="C736" s="96" t="str">
        <f t="shared" si="279"/>
        <v/>
      </c>
      <c r="D736" s="44" t="str">
        <f t="shared" si="281"/>
        <v/>
      </c>
      <c r="E736" s="52"/>
      <c r="F736" s="63" t="str">
        <f t="shared" si="282"/>
        <v/>
      </c>
      <c r="G736" s="56" t="str">
        <f t="shared" si="283"/>
        <v/>
      </c>
      <c r="H736" s="42"/>
      <c r="I736" s="2" t="str">
        <f t="shared" si="284"/>
        <v/>
      </c>
      <c r="J736" s="54" t="str">
        <f t="shared" si="271"/>
        <v/>
      </c>
      <c r="K736" s="55" t="str">
        <f t="shared" si="285"/>
        <v/>
      </c>
      <c r="L736" s="63" t="str">
        <f t="shared" si="286"/>
        <v/>
      </c>
      <c r="M736" s="96" t="str">
        <f t="shared" si="272"/>
        <v/>
      </c>
      <c r="N736" s="96" t="str">
        <f>IF(A736="","",IF(A736=Expiry,0,EXP(-q*Q736)*_xlfn.NORM.S.DIST(Y736,0)/(sigma*SQRT(Q736))*I736*Mult/100))</f>
        <v/>
      </c>
      <c r="O736" s="96" t="str">
        <f>IF(A736="","",IF(A736=Expiry,0,D736*E736*E736*EXP(-q*Q736)*_xlfn.NORM.S.DIST(Y736,0)*SQRT(Q736)/100))</f>
        <v/>
      </c>
      <c r="P736" s="69" t="str">
        <f>IF(A736="","",IF(A736=Expiry,0,AK736*I736*Mult*((-EXP(-q*Q736)*E736*_xlfn.NORM.S.DIST(Y736,0)*sigma/(2*SQRT(Q736))-r_dom*K*EXP(-r_dom*Q736)*_xlfn.NORM.S.DIST(Z736,1)+q*E736*EXP(-q*Q736)*_xlfn.NORM.S.DIST(Y736,1))/365)))</f>
        <v/>
      </c>
      <c r="Q736" s="83" t="str">
        <f t="shared" si="287"/>
        <v/>
      </c>
      <c r="R736" s="38"/>
      <c r="S736" s="68" t="str">
        <f t="shared" si="288"/>
        <v/>
      </c>
      <c r="T736" s="69" t="str">
        <f t="shared" si="289"/>
        <v/>
      </c>
      <c r="U736" s="70" t="str">
        <f t="shared" si="290"/>
        <v/>
      </c>
      <c r="V736" s="72" t="str">
        <f t="shared" si="291"/>
        <v/>
      </c>
      <c r="W736" s="2" t="str">
        <f t="shared" si="278"/>
        <v/>
      </c>
      <c r="X736" s="2" t="str">
        <f t="shared" si="273"/>
        <v/>
      </c>
      <c r="Y736" s="35" t="str">
        <f t="shared" ca="1" si="292"/>
        <v/>
      </c>
      <c r="Z736" s="36" t="str">
        <f t="shared" ca="1" si="293"/>
        <v/>
      </c>
      <c r="AA736" s="70" t="str">
        <f t="shared" si="294"/>
        <v/>
      </c>
      <c r="AB736" s="2"/>
      <c r="AC736" s="94" t="str">
        <f t="shared" si="274"/>
        <v/>
      </c>
      <c r="AD736" s="95" t="str">
        <f t="shared" si="275"/>
        <v/>
      </c>
      <c r="AE736" s="96" t="str">
        <f t="shared" si="276"/>
        <v/>
      </c>
      <c r="AF736" s="124" t="str">
        <f t="shared" si="277"/>
        <v/>
      </c>
      <c r="AG736" s="2"/>
      <c r="AH736" s="2"/>
      <c r="AI736" s="2"/>
      <c r="AJ736" s="2"/>
      <c r="AK736" s="2"/>
      <c r="AL736" s="2"/>
    </row>
    <row r="737" spans="1:38" x14ac:dyDescent="0.2">
      <c r="A737" s="45"/>
      <c r="B737" s="43" t="str">
        <f t="shared" si="280"/>
        <v/>
      </c>
      <c r="C737" s="96" t="str">
        <f t="shared" si="279"/>
        <v/>
      </c>
      <c r="D737" s="44" t="str">
        <f t="shared" si="281"/>
        <v/>
      </c>
      <c r="E737" s="52"/>
      <c r="F737" s="63" t="str">
        <f t="shared" si="282"/>
        <v/>
      </c>
      <c r="G737" s="56" t="str">
        <f t="shared" si="283"/>
        <v/>
      </c>
      <c r="H737" s="42"/>
      <c r="I737" s="2" t="str">
        <f t="shared" si="284"/>
        <v/>
      </c>
      <c r="J737" s="54" t="str">
        <f t="shared" si="271"/>
        <v/>
      </c>
      <c r="K737" s="55" t="str">
        <f t="shared" si="285"/>
        <v/>
      </c>
      <c r="L737" s="63" t="str">
        <f t="shared" si="286"/>
        <v/>
      </c>
      <c r="M737" s="96" t="str">
        <f t="shared" si="272"/>
        <v/>
      </c>
      <c r="N737" s="96" t="str">
        <f>IF(A737="","",IF(A737=Expiry,0,EXP(-q*Q737)*_xlfn.NORM.S.DIST(Y737,0)/(sigma*SQRT(Q737))*I737*Mult/100))</f>
        <v/>
      </c>
      <c r="O737" s="96" t="str">
        <f>IF(A737="","",IF(A737=Expiry,0,D737*E737*E737*EXP(-q*Q737)*_xlfn.NORM.S.DIST(Y737,0)*SQRT(Q737)/100))</f>
        <v/>
      </c>
      <c r="P737" s="69" t="str">
        <f>IF(A737="","",IF(A737=Expiry,0,AK737*I737*Mult*((-EXP(-q*Q737)*E737*_xlfn.NORM.S.DIST(Y737,0)*sigma/(2*SQRT(Q737))-r_dom*K*EXP(-r_dom*Q737)*_xlfn.NORM.S.DIST(Z737,1)+q*E737*EXP(-q*Q737)*_xlfn.NORM.S.DIST(Y737,1))/365)))</f>
        <v/>
      </c>
      <c r="Q737" s="83" t="str">
        <f t="shared" si="287"/>
        <v/>
      </c>
      <c r="R737" s="38"/>
      <c r="S737" s="68" t="str">
        <f t="shared" si="288"/>
        <v/>
      </c>
      <c r="T737" s="69" t="str">
        <f t="shared" si="289"/>
        <v/>
      </c>
      <c r="U737" s="70" t="str">
        <f t="shared" si="290"/>
        <v/>
      </c>
      <c r="V737" s="72" t="str">
        <f t="shared" si="291"/>
        <v/>
      </c>
      <c r="W737" s="2" t="str">
        <f t="shared" si="278"/>
        <v/>
      </c>
      <c r="X737" s="2" t="str">
        <f t="shared" si="273"/>
        <v/>
      </c>
      <c r="Y737" s="35" t="str">
        <f t="shared" ca="1" si="292"/>
        <v/>
      </c>
      <c r="Z737" s="36" t="str">
        <f t="shared" ca="1" si="293"/>
        <v/>
      </c>
      <c r="AA737" s="70" t="str">
        <f t="shared" si="294"/>
        <v/>
      </c>
      <c r="AB737" s="2"/>
      <c r="AC737" s="94" t="str">
        <f t="shared" si="274"/>
        <v/>
      </c>
      <c r="AD737" s="95" t="str">
        <f t="shared" si="275"/>
        <v/>
      </c>
      <c r="AE737" s="96" t="str">
        <f t="shared" si="276"/>
        <v/>
      </c>
      <c r="AF737" s="124" t="str">
        <f t="shared" si="277"/>
        <v/>
      </c>
      <c r="AG737" s="2"/>
      <c r="AH737" s="2"/>
      <c r="AI737" s="2"/>
      <c r="AJ737" s="2"/>
      <c r="AK737" s="2"/>
      <c r="AL737" s="2"/>
    </row>
    <row r="738" spans="1:38" x14ac:dyDescent="0.2">
      <c r="A738" s="45"/>
      <c r="B738" s="43" t="str">
        <f t="shared" si="280"/>
        <v/>
      </c>
      <c r="C738" s="96" t="str">
        <f t="shared" si="279"/>
        <v/>
      </c>
      <c r="D738" s="44" t="str">
        <f t="shared" si="281"/>
        <v/>
      </c>
      <c r="E738" s="52"/>
      <c r="F738" s="63" t="str">
        <f t="shared" si="282"/>
        <v/>
      </c>
      <c r="G738" s="56" t="str">
        <f t="shared" si="283"/>
        <v/>
      </c>
      <c r="H738" s="42"/>
      <c r="I738" s="2" t="str">
        <f t="shared" si="284"/>
        <v/>
      </c>
      <c r="J738" s="54" t="str">
        <f t="shared" si="271"/>
        <v/>
      </c>
      <c r="K738" s="55" t="str">
        <f t="shared" si="285"/>
        <v/>
      </c>
      <c r="L738" s="63" t="str">
        <f t="shared" si="286"/>
        <v/>
      </c>
      <c r="M738" s="96" t="str">
        <f t="shared" si="272"/>
        <v/>
      </c>
      <c r="N738" s="96" t="str">
        <f>IF(A738="","",IF(A738=Expiry,0,EXP(-q*Q738)*_xlfn.NORM.S.DIST(Y738,0)/(sigma*SQRT(Q738))*I738*Mult/100))</f>
        <v/>
      </c>
      <c r="O738" s="96" t="str">
        <f>IF(A738="","",IF(A738=Expiry,0,D738*E738*E738*EXP(-q*Q738)*_xlfn.NORM.S.DIST(Y738,0)*SQRT(Q738)/100))</f>
        <v/>
      </c>
      <c r="P738" s="69" t="str">
        <f>IF(A738="","",IF(A738=Expiry,0,AK738*I738*Mult*((-EXP(-q*Q738)*E738*_xlfn.NORM.S.DIST(Y738,0)*sigma/(2*SQRT(Q738))-r_dom*K*EXP(-r_dom*Q738)*_xlfn.NORM.S.DIST(Z738,1)+q*E738*EXP(-q*Q738)*_xlfn.NORM.S.DIST(Y738,1))/365)))</f>
        <v/>
      </c>
      <c r="Q738" s="83" t="str">
        <f t="shared" si="287"/>
        <v/>
      </c>
      <c r="R738" s="38"/>
      <c r="S738" s="68" t="str">
        <f t="shared" si="288"/>
        <v/>
      </c>
      <c r="T738" s="69" t="str">
        <f t="shared" si="289"/>
        <v/>
      </c>
      <c r="U738" s="70" t="str">
        <f t="shared" si="290"/>
        <v/>
      </c>
      <c r="V738" s="72" t="str">
        <f t="shared" si="291"/>
        <v/>
      </c>
      <c r="W738" s="2" t="str">
        <f t="shared" si="278"/>
        <v/>
      </c>
      <c r="X738" s="2" t="str">
        <f t="shared" si="273"/>
        <v/>
      </c>
      <c r="Y738" s="35" t="str">
        <f t="shared" ca="1" si="292"/>
        <v/>
      </c>
      <c r="Z738" s="36" t="str">
        <f t="shared" ca="1" si="293"/>
        <v/>
      </c>
      <c r="AA738" s="70" t="str">
        <f t="shared" si="294"/>
        <v/>
      </c>
      <c r="AB738" s="2"/>
      <c r="AC738" s="94" t="str">
        <f t="shared" si="274"/>
        <v/>
      </c>
      <c r="AD738" s="95" t="str">
        <f t="shared" si="275"/>
        <v/>
      </c>
      <c r="AE738" s="96" t="str">
        <f t="shared" si="276"/>
        <v/>
      </c>
      <c r="AF738" s="124" t="str">
        <f t="shared" si="277"/>
        <v/>
      </c>
      <c r="AG738" s="2"/>
      <c r="AH738" s="2"/>
      <c r="AI738" s="2"/>
      <c r="AJ738" s="2"/>
      <c r="AK738" s="2"/>
      <c r="AL738" s="2"/>
    </row>
    <row r="739" spans="1:38" x14ac:dyDescent="0.2">
      <c r="A739" s="45"/>
      <c r="B739" s="43" t="str">
        <f t="shared" si="280"/>
        <v/>
      </c>
      <c r="C739" s="96" t="str">
        <f t="shared" si="279"/>
        <v/>
      </c>
      <c r="D739" s="44" t="str">
        <f t="shared" si="281"/>
        <v/>
      </c>
      <c r="E739" s="52"/>
      <c r="F739" s="63" t="str">
        <f t="shared" si="282"/>
        <v/>
      </c>
      <c r="G739" s="56" t="str">
        <f t="shared" si="283"/>
        <v/>
      </c>
      <c r="H739" s="42"/>
      <c r="I739" s="2" t="str">
        <f t="shared" si="284"/>
        <v/>
      </c>
      <c r="J739" s="54" t="str">
        <f t="shared" si="271"/>
        <v/>
      </c>
      <c r="K739" s="55" t="str">
        <f t="shared" si="285"/>
        <v/>
      </c>
      <c r="L739" s="63" t="str">
        <f t="shared" si="286"/>
        <v/>
      </c>
      <c r="M739" s="96" t="str">
        <f t="shared" si="272"/>
        <v/>
      </c>
      <c r="N739" s="96" t="str">
        <f>IF(A739="","",IF(A739=Expiry,0,EXP(-q*Q739)*_xlfn.NORM.S.DIST(Y739,0)/(sigma*SQRT(Q739))*I739*Mult/100))</f>
        <v/>
      </c>
      <c r="O739" s="96" t="str">
        <f>IF(A739="","",IF(A739=Expiry,0,D739*E739*E739*EXP(-q*Q739)*_xlfn.NORM.S.DIST(Y739,0)*SQRT(Q739)/100))</f>
        <v/>
      </c>
      <c r="P739" s="69" t="str">
        <f>IF(A739="","",IF(A739=Expiry,0,AK739*I739*Mult*((-EXP(-q*Q739)*E739*_xlfn.NORM.S.DIST(Y739,0)*sigma/(2*SQRT(Q739))-r_dom*K*EXP(-r_dom*Q739)*_xlfn.NORM.S.DIST(Z739,1)+q*E739*EXP(-q*Q739)*_xlfn.NORM.S.DIST(Y739,1))/365)))</f>
        <v/>
      </c>
      <c r="Q739" s="83" t="str">
        <f t="shared" si="287"/>
        <v/>
      </c>
      <c r="R739" s="38"/>
      <c r="S739" s="68" t="str">
        <f t="shared" si="288"/>
        <v/>
      </c>
      <c r="T739" s="69" t="str">
        <f t="shared" si="289"/>
        <v/>
      </c>
      <c r="U739" s="70" t="str">
        <f t="shared" si="290"/>
        <v/>
      </c>
      <c r="V739" s="72" t="str">
        <f t="shared" si="291"/>
        <v/>
      </c>
      <c r="W739" s="2" t="str">
        <f t="shared" si="278"/>
        <v/>
      </c>
      <c r="X739" s="2" t="str">
        <f t="shared" si="273"/>
        <v/>
      </c>
      <c r="Y739" s="35" t="str">
        <f t="shared" ca="1" si="292"/>
        <v/>
      </c>
      <c r="Z739" s="36" t="str">
        <f t="shared" ca="1" si="293"/>
        <v/>
      </c>
      <c r="AA739" s="70" t="str">
        <f t="shared" si="294"/>
        <v/>
      </c>
      <c r="AB739" s="2"/>
      <c r="AC739" s="94" t="str">
        <f t="shared" si="274"/>
        <v/>
      </c>
      <c r="AD739" s="95" t="str">
        <f t="shared" si="275"/>
        <v/>
      </c>
      <c r="AE739" s="96" t="str">
        <f t="shared" si="276"/>
        <v/>
      </c>
      <c r="AF739" s="124" t="str">
        <f t="shared" si="277"/>
        <v/>
      </c>
      <c r="AG739" s="2"/>
      <c r="AH739" s="2"/>
      <c r="AI739" s="2"/>
      <c r="AJ739" s="2"/>
      <c r="AK739" s="2"/>
      <c r="AL739" s="2"/>
    </row>
    <row r="740" spans="1:38" x14ac:dyDescent="0.2">
      <c r="A740" s="45"/>
      <c r="B740" s="43" t="str">
        <f t="shared" si="280"/>
        <v/>
      </c>
      <c r="C740" s="96" t="str">
        <f t="shared" si="279"/>
        <v/>
      </c>
      <c r="D740" s="44" t="str">
        <f t="shared" si="281"/>
        <v/>
      </c>
      <c r="E740" s="52"/>
      <c r="F740" s="63" t="str">
        <f t="shared" si="282"/>
        <v/>
      </c>
      <c r="G740" s="56" t="str">
        <f t="shared" si="283"/>
        <v/>
      </c>
      <c r="H740" s="42"/>
      <c r="I740" s="2" t="str">
        <f t="shared" si="284"/>
        <v/>
      </c>
      <c r="J740" s="54" t="str">
        <f t="shared" ref="J740:J803" si="295">IF(CorP="C",AC740,AD740)</f>
        <v/>
      </c>
      <c r="K740" s="55" t="str">
        <f t="shared" si="285"/>
        <v/>
      </c>
      <c r="L740" s="63" t="str">
        <f t="shared" si="286"/>
        <v/>
      </c>
      <c r="M740" s="96" t="str">
        <f t="shared" ref="M740:M803" si="296">IF(CorP="C",AE740,AF740)</f>
        <v/>
      </c>
      <c r="N740" s="96" t="str">
        <f>IF(A740="","",IF(A740=Expiry,0,EXP(-q*Q740)*_xlfn.NORM.S.DIST(Y740,0)/(sigma*SQRT(Q740))*I740*Mult/100))</f>
        <v/>
      </c>
      <c r="O740" s="96" t="str">
        <f>IF(A740="","",IF(A740=Expiry,0,D740*E740*E740*EXP(-q*Q740)*_xlfn.NORM.S.DIST(Y740,0)*SQRT(Q740)/100))</f>
        <v/>
      </c>
      <c r="P740" s="69" t="str">
        <f>IF(A740="","",IF(A740=Expiry,0,AK740*I740*Mult*((-EXP(-q*Q740)*E740*_xlfn.NORM.S.DIST(Y740,0)*sigma/(2*SQRT(Q740))-r_dom*K*EXP(-r_dom*Q740)*_xlfn.NORM.S.DIST(Z740,1)+q*E740*EXP(-q*Q740)*_xlfn.NORM.S.DIST(Y740,1))/365)))</f>
        <v/>
      </c>
      <c r="Q740" s="83" t="str">
        <f t="shared" si="287"/>
        <v/>
      </c>
      <c r="R740" s="38"/>
      <c r="S740" s="68" t="str">
        <f t="shared" si="288"/>
        <v/>
      </c>
      <c r="T740" s="69" t="str">
        <f t="shared" si="289"/>
        <v/>
      </c>
      <c r="U740" s="70" t="str">
        <f t="shared" si="290"/>
        <v/>
      </c>
      <c r="V740" s="72" t="str">
        <f t="shared" si="291"/>
        <v/>
      </c>
      <c r="W740" s="2" t="str">
        <f t="shared" si="278"/>
        <v/>
      </c>
      <c r="X740" s="2" t="str">
        <f t="shared" ref="X740:X803" si="297">IF(A740="","",K)</f>
        <v/>
      </c>
      <c r="Y740" s="35" t="str">
        <f t="shared" ca="1" si="292"/>
        <v/>
      </c>
      <c r="Z740" s="36" t="str">
        <f t="shared" ca="1" si="293"/>
        <v/>
      </c>
      <c r="AA740" s="70" t="str">
        <f t="shared" si="294"/>
        <v/>
      </c>
      <c r="AB740" s="2"/>
      <c r="AC740" s="94" t="str">
        <f t="shared" ref="AC740:AC803" si="298">IF(A740="","",IF(A740=Expiry,MAX(E740-K,0),E740*EXP(-q*Q740)*_xlfn.NORM.S.DIST(Y740,1)-K*EXP(-r_dom*Q740)*_xlfn.NORM.S.DIST(Z740,1)))</f>
        <v/>
      </c>
      <c r="AD740" s="95" t="str">
        <f t="shared" ref="AD740:AD803" si="299">IF(A740="","",IF(A740=Expiry,MAX(K-E740,0),K*EXP(-r_dom*Q740)*_xlfn.NORM.S.DIST(-Z740,1)-E740*EXP(-q*Q740)*_xlfn.NORM.S.DIST(-Y740,1)))</f>
        <v/>
      </c>
      <c r="AE740" s="96" t="str">
        <f t="shared" ref="AE740:AE803" si="300">IF(A740="","",I740*Mult*IF(A740=Expiry,IF(E740&gt;K,1,0),EXP(-q*Q740)*_xlfn.NORM.S.DIST(Y740,1)))</f>
        <v/>
      </c>
      <c r="AF740" s="124" t="str">
        <f t="shared" ref="AF740:AF803" si="301">IF(A740="","",I740*Mult*IF(A740=Expiry,IF(E740&lt;K,-1,0),-EXP(-q*Q740)*_xlfn.NORM.S.DIST(-Y740,1)))</f>
        <v/>
      </c>
      <c r="AG740" s="2"/>
      <c r="AH740" s="2"/>
      <c r="AI740" s="2"/>
      <c r="AJ740" s="2"/>
      <c r="AK740" s="2"/>
      <c r="AL740" s="2"/>
    </row>
    <row r="741" spans="1:38" x14ac:dyDescent="0.2">
      <c r="A741" s="45"/>
      <c r="B741" s="43" t="str">
        <f t="shared" si="280"/>
        <v/>
      </c>
      <c r="C741" s="96" t="str">
        <f t="shared" si="279"/>
        <v/>
      </c>
      <c r="D741" s="44" t="str">
        <f t="shared" si="281"/>
        <v/>
      </c>
      <c r="E741" s="52"/>
      <c r="F741" s="63" t="str">
        <f t="shared" si="282"/>
        <v/>
      </c>
      <c r="G741" s="56" t="str">
        <f t="shared" si="283"/>
        <v/>
      </c>
      <c r="H741" s="42"/>
      <c r="I741" s="2" t="str">
        <f t="shared" si="284"/>
        <v/>
      </c>
      <c r="J741" s="54" t="str">
        <f t="shared" si="295"/>
        <v/>
      </c>
      <c r="K741" s="55" t="str">
        <f t="shared" si="285"/>
        <v/>
      </c>
      <c r="L741" s="63" t="str">
        <f t="shared" si="286"/>
        <v/>
      </c>
      <c r="M741" s="96" t="str">
        <f t="shared" si="296"/>
        <v/>
      </c>
      <c r="N741" s="96" t="str">
        <f>IF(A741="","",IF(A741=Expiry,0,EXP(-q*Q741)*_xlfn.NORM.S.DIST(Y741,0)/(sigma*SQRT(Q741))*I741*Mult/100))</f>
        <v/>
      </c>
      <c r="O741" s="96" t="str">
        <f>IF(A741="","",IF(A741=Expiry,0,D741*E741*E741*EXP(-q*Q741)*_xlfn.NORM.S.DIST(Y741,0)*SQRT(Q741)/100))</f>
        <v/>
      </c>
      <c r="P741" s="69" t="str">
        <f>IF(A741="","",IF(A741=Expiry,0,AK741*I741*Mult*((-EXP(-q*Q741)*E741*_xlfn.NORM.S.DIST(Y741,0)*sigma/(2*SQRT(Q741))-r_dom*K*EXP(-r_dom*Q741)*_xlfn.NORM.S.DIST(Z741,1)+q*E741*EXP(-q*Q741)*_xlfn.NORM.S.DIST(Y741,1))/365)))</f>
        <v/>
      </c>
      <c r="Q741" s="83" t="str">
        <f t="shared" si="287"/>
        <v/>
      </c>
      <c r="R741" s="38"/>
      <c r="S741" s="68" t="str">
        <f t="shared" si="288"/>
        <v/>
      </c>
      <c r="T741" s="69" t="str">
        <f t="shared" si="289"/>
        <v/>
      </c>
      <c r="U741" s="70" t="str">
        <f t="shared" si="290"/>
        <v/>
      </c>
      <c r="V741" s="72" t="str">
        <f t="shared" si="291"/>
        <v/>
      </c>
      <c r="W741" s="2" t="str">
        <f t="shared" ref="W741:W804" si="302">IF(A741="","",100)</f>
        <v/>
      </c>
      <c r="X741" s="2" t="str">
        <f t="shared" si="297"/>
        <v/>
      </c>
      <c r="Y741" s="35" t="str">
        <f t="shared" ca="1" si="292"/>
        <v/>
      </c>
      <c r="Z741" s="36" t="str">
        <f t="shared" ca="1" si="293"/>
        <v/>
      </c>
      <c r="AA741" s="70" t="str">
        <f t="shared" si="294"/>
        <v/>
      </c>
      <c r="AB741" s="2"/>
      <c r="AC741" s="94" t="str">
        <f t="shared" si="298"/>
        <v/>
      </c>
      <c r="AD741" s="95" t="str">
        <f t="shared" si="299"/>
        <v/>
      </c>
      <c r="AE741" s="96" t="str">
        <f t="shared" si="300"/>
        <v/>
      </c>
      <c r="AF741" s="124" t="str">
        <f t="shared" si="301"/>
        <v/>
      </c>
      <c r="AG741" s="2"/>
      <c r="AH741" s="2"/>
      <c r="AI741" s="2"/>
      <c r="AJ741" s="2"/>
      <c r="AK741" s="2"/>
      <c r="AL741" s="2"/>
    </row>
    <row r="742" spans="1:38" x14ac:dyDescent="0.2">
      <c r="A742" s="45"/>
      <c r="B742" s="43" t="str">
        <f t="shared" si="280"/>
        <v/>
      </c>
      <c r="C742" s="96" t="str">
        <f t="shared" ref="C742:C805" si="303">IF(A742="","",C741+B742)</f>
        <v/>
      </c>
      <c r="D742" s="44" t="str">
        <f t="shared" si="281"/>
        <v/>
      </c>
      <c r="E742" s="52"/>
      <c r="F742" s="63" t="str">
        <f t="shared" si="282"/>
        <v/>
      </c>
      <c r="G742" s="56" t="str">
        <f t="shared" si="283"/>
        <v/>
      </c>
      <c r="H742" s="42"/>
      <c r="I742" s="2" t="str">
        <f t="shared" si="284"/>
        <v/>
      </c>
      <c r="J742" s="54" t="str">
        <f t="shared" si="295"/>
        <v/>
      </c>
      <c r="K742" s="55" t="str">
        <f t="shared" si="285"/>
        <v/>
      </c>
      <c r="L742" s="63" t="str">
        <f t="shared" si="286"/>
        <v/>
      </c>
      <c r="M742" s="96" t="str">
        <f t="shared" si="296"/>
        <v/>
      </c>
      <c r="N742" s="96" t="str">
        <f>IF(A742="","",IF(A742=Expiry,0,EXP(-q*Q742)*_xlfn.NORM.S.DIST(Y742,0)/(sigma*SQRT(Q742))*I742*Mult/100))</f>
        <v/>
      </c>
      <c r="O742" s="96" t="str">
        <f>IF(A742="","",IF(A742=Expiry,0,D742*E742*E742*EXP(-q*Q742)*_xlfn.NORM.S.DIST(Y742,0)*SQRT(Q742)/100))</f>
        <v/>
      </c>
      <c r="P742" s="69" t="str">
        <f>IF(A742="","",IF(A742=Expiry,0,AK742*I742*Mult*((-EXP(-q*Q742)*E742*_xlfn.NORM.S.DIST(Y742,0)*sigma/(2*SQRT(Q742))-r_dom*K*EXP(-r_dom*Q742)*_xlfn.NORM.S.DIST(Z742,1)+q*E742*EXP(-q*Q742)*_xlfn.NORM.S.DIST(Y742,1))/365)))</f>
        <v/>
      </c>
      <c r="Q742" s="83" t="str">
        <f t="shared" si="287"/>
        <v/>
      </c>
      <c r="R742" s="38"/>
      <c r="S742" s="68" t="str">
        <f t="shared" si="288"/>
        <v/>
      </c>
      <c r="T742" s="69" t="str">
        <f t="shared" si="289"/>
        <v/>
      </c>
      <c r="U742" s="70" t="str">
        <f t="shared" si="290"/>
        <v/>
      </c>
      <c r="V742" s="72" t="str">
        <f t="shared" si="291"/>
        <v/>
      </c>
      <c r="W742" s="2" t="str">
        <f t="shared" si="302"/>
        <v/>
      </c>
      <c r="X742" s="2" t="str">
        <f t="shared" si="297"/>
        <v/>
      </c>
      <c r="Y742" s="35" t="str">
        <f t="shared" ca="1" si="292"/>
        <v/>
      </c>
      <c r="Z742" s="36" t="str">
        <f t="shared" ca="1" si="293"/>
        <v/>
      </c>
      <c r="AA742" s="70" t="str">
        <f t="shared" si="294"/>
        <v/>
      </c>
      <c r="AB742" s="2"/>
      <c r="AC742" s="94" t="str">
        <f t="shared" si="298"/>
        <v/>
      </c>
      <c r="AD742" s="95" t="str">
        <f t="shared" si="299"/>
        <v/>
      </c>
      <c r="AE742" s="96" t="str">
        <f t="shared" si="300"/>
        <v/>
      </c>
      <c r="AF742" s="124" t="str">
        <f t="shared" si="301"/>
        <v/>
      </c>
      <c r="AG742" s="2"/>
      <c r="AH742" s="2"/>
      <c r="AI742" s="2"/>
      <c r="AJ742" s="2"/>
      <c r="AK742" s="2"/>
      <c r="AL742" s="2"/>
    </row>
    <row r="743" spans="1:38" x14ac:dyDescent="0.2">
      <c r="A743" s="45"/>
      <c r="B743" s="43" t="str">
        <f t="shared" si="280"/>
        <v/>
      </c>
      <c r="C743" s="96" t="str">
        <f t="shared" si="303"/>
        <v/>
      </c>
      <c r="D743" s="44" t="str">
        <f t="shared" si="281"/>
        <v/>
      </c>
      <c r="E743" s="52"/>
      <c r="F743" s="63" t="str">
        <f t="shared" si="282"/>
        <v/>
      </c>
      <c r="G743" s="56" t="str">
        <f t="shared" si="283"/>
        <v/>
      </c>
      <c r="H743" s="42"/>
      <c r="I743" s="2" t="str">
        <f t="shared" si="284"/>
        <v/>
      </c>
      <c r="J743" s="54" t="str">
        <f t="shared" si="295"/>
        <v/>
      </c>
      <c r="K743" s="55" t="str">
        <f t="shared" si="285"/>
        <v/>
      </c>
      <c r="L743" s="63" t="str">
        <f t="shared" si="286"/>
        <v/>
      </c>
      <c r="M743" s="96" t="str">
        <f t="shared" si="296"/>
        <v/>
      </c>
      <c r="N743" s="96" t="str">
        <f>IF(A743="","",IF(A743=Expiry,0,EXP(-q*Q743)*_xlfn.NORM.S.DIST(Y743,0)/(sigma*SQRT(Q743))*I743*Mult/100))</f>
        <v/>
      </c>
      <c r="O743" s="96" t="str">
        <f>IF(A743="","",IF(A743=Expiry,0,D743*E743*E743*EXP(-q*Q743)*_xlfn.NORM.S.DIST(Y743,0)*SQRT(Q743)/100))</f>
        <v/>
      </c>
      <c r="P743" s="69" t="str">
        <f>IF(A743="","",IF(A743=Expiry,0,AK743*I743*Mult*((-EXP(-q*Q743)*E743*_xlfn.NORM.S.DIST(Y743,0)*sigma/(2*SQRT(Q743))-r_dom*K*EXP(-r_dom*Q743)*_xlfn.NORM.S.DIST(Z743,1)+q*E743*EXP(-q*Q743)*_xlfn.NORM.S.DIST(Y743,1))/365)))</f>
        <v/>
      </c>
      <c r="Q743" s="83" t="str">
        <f t="shared" si="287"/>
        <v/>
      </c>
      <c r="R743" s="38"/>
      <c r="S743" s="68" t="str">
        <f t="shared" si="288"/>
        <v/>
      </c>
      <c r="T743" s="69" t="str">
        <f t="shared" si="289"/>
        <v/>
      </c>
      <c r="U743" s="70" t="str">
        <f t="shared" si="290"/>
        <v/>
      </c>
      <c r="V743" s="72" t="str">
        <f t="shared" si="291"/>
        <v/>
      </c>
      <c r="W743" s="2" t="str">
        <f t="shared" si="302"/>
        <v/>
      </c>
      <c r="X743" s="2" t="str">
        <f t="shared" si="297"/>
        <v/>
      </c>
      <c r="Y743" s="35" t="str">
        <f t="shared" ca="1" si="292"/>
        <v/>
      </c>
      <c r="Z743" s="36" t="str">
        <f t="shared" ca="1" si="293"/>
        <v/>
      </c>
      <c r="AA743" s="70" t="str">
        <f t="shared" si="294"/>
        <v/>
      </c>
      <c r="AB743" s="2"/>
      <c r="AC743" s="94" t="str">
        <f t="shared" si="298"/>
        <v/>
      </c>
      <c r="AD743" s="95" t="str">
        <f t="shared" si="299"/>
        <v/>
      </c>
      <c r="AE743" s="96" t="str">
        <f t="shared" si="300"/>
        <v/>
      </c>
      <c r="AF743" s="124" t="str">
        <f t="shared" si="301"/>
        <v/>
      </c>
      <c r="AG743" s="2"/>
      <c r="AH743" s="2"/>
      <c r="AI743" s="2"/>
      <c r="AJ743" s="2"/>
      <c r="AK743" s="2"/>
      <c r="AL743" s="2"/>
    </row>
    <row r="744" spans="1:38" x14ac:dyDescent="0.2">
      <c r="A744" s="45"/>
      <c r="B744" s="43" t="str">
        <f t="shared" si="280"/>
        <v/>
      </c>
      <c r="C744" s="96" t="str">
        <f t="shared" si="303"/>
        <v/>
      </c>
      <c r="D744" s="44" t="str">
        <f t="shared" si="281"/>
        <v/>
      </c>
      <c r="E744" s="52"/>
      <c r="F744" s="63" t="str">
        <f t="shared" si="282"/>
        <v/>
      </c>
      <c r="G744" s="56" t="str">
        <f t="shared" si="283"/>
        <v/>
      </c>
      <c r="H744" s="42"/>
      <c r="I744" s="2" t="str">
        <f t="shared" si="284"/>
        <v/>
      </c>
      <c r="J744" s="54" t="str">
        <f t="shared" si="295"/>
        <v/>
      </c>
      <c r="K744" s="55" t="str">
        <f t="shared" si="285"/>
        <v/>
      </c>
      <c r="L744" s="63" t="str">
        <f t="shared" si="286"/>
        <v/>
      </c>
      <c r="M744" s="96" t="str">
        <f t="shared" si="296"/>
        <v/>
      </c>
      <c r="N744" s="96" t="str">
        <f>IF(A744="","",IF(A744=Expiry,0,EXP(-q*Q744)*_xlfn.NORM.S.DIST(Y744,0)/(sigma*SQRT(Q744))*I744*Mult/100))</f>
        <v/>
      </c>
      <c r="O744" s="96" t="str">
        <f>IF(A744="","",IF(A744=Expiry,0,D744*E744*E744*EXP(-q*Q744)*_xlfn.NORM.S.DIST(Y744,0)*SQRT(Q744)/100))</f>
        <v/>
      </c>
      <c r="P744" s="69" t="str">
        <f>IF(A744="","",IF(A744=Expiry,0,AK744*I744*Mult*((-EXP(-q*Q744)*E744*_xlfn.NORM.S.DIST(Y744,0)*sigma/(2*SQRT(Q744))-r_dom*K*EXP(-r_dom*Q744)*_xlfn.NORM.S.DIST(Z744,1)+q*E744*EXP(-q*Q744)*_xlfn.NORM.S.DIST(Y744,1))/365)))</f>
        <v/>
      </c>
      <c r="Q744" s="83" t="str">
        <f t="shared" si="287"/>
        <v/>
      </c>
      <c r="R744" s="38"/>
      <c r="S744" s="68" t="str">
        <f t="shared" si="288"/>
        <v/>
      </c>
      <c r="T744" s="69" t="str">
        <f t="shared" si="289"/>
        <v/>
      </c>
      <c r="U744" s="70" t="str">
        <f t="shared" si="290"/>
        <v/>
      </c>
      <c r="V744" s="72" t="str">
        <f t="shared" si="291"/>
        <v/>
      </c>
      <c r="W744" s="2" t="str">
        <f t="shared" si="302"/>
        <v/>
      </c>
      <c r="X744" s="2" t="str">
        <f t="shared" si="297"/>
        <v/>
      </c>
      <c r="Y744" s="35" t="str">
        <f t="shared" ca="1" si="292"/>
        <v/>
      </c>
      <c r="Z744" s="36" t="str">
        <f t="shared" ca="1" si="293"/>
        <v/>
      </c>
      <c r="AA744" s="70" t="str">
        <f t="shared" si="294"/>
        <v/>
      </c>
      <c r="AB744" s="2"/>
      <c r="AC744" s="94" t="str">
        <f t="shared" si="298"/>
        <v/>
      </c>
      <c r="AD744" s="95" t="str">
        <f t="shared" si="299"/>
        <v/>
      </c>
      <c r="AE744" s="96" t="str">
        <f t="shared" si="300"/>
        <v/>
      </c>
      <c r="AF744" s="124" t="str">
        <f t="shared" si="301"/>
        <v/>
      </c>
      <c r="AG744" s="2"/>
      <c r="AH744" s="2"/>
      <c r="AI744" s="2"/>
      <c r="AJ744" s="2"/>
      <c r="AK744" s="2"/>
      <c r="AL744" s="2"/>
    </row>
    <row r="745" spans="1:38" x14ac:dyDescent="0.2">
      <c r="A745" s="45"/>
      <c r="B745" s="43" t="str">
        <f t="shared" si="280"/>
        <v/>
      </c>
      <c r="C745" s="96" t="str">
        <f t="shared" si="303"/>
        <v/>
      </c>
      <c r="D745" s="44" t="str">
        <f t="shared" si="281"/>
        <v/>
      </c>
      <c r="E745" s="52"/>
      <c r="F745" s="63" t="str">
        <f t="shared" si="282"/>
        <v/>
      </c>
      <c r="G745" s="56" t="str">
        <f t="shared" si="283"/>
        <v/>
      </c>
      <c r="H745" s="42"/>
      <c r="I745" s="2" t="str">
        <f t="shared" si="284"/>
        <v/>
      </c>
      <c r="J745" s="54" t="str">
        <f t="shared" si="295"/>
        <v/>
      </c>
      <c r="K745" s="55" t="str">
        <f t="shared" si="285"/>
        <v/>
      </c>
      <c r="L745" s="63" t="str">
        <f t="shared" si="286"/>
        <v/>
      </c>
      <c r="M745" s="96" t="str">
        <f t="shared" si="296"/>
        <v/>
      </c>
      <c r="N745" s="96" t="str">
        <f>IF(A745="","",IF(A745=Expiry,0,EXP(-q*Q745)*_xlfn.NORM.S.DIST(Y745,0)/(sigma*SQRT(Q745))*I745*Mult/100))</f>
        <v/>
      </c>
      <c r="O745" s="96" t="str">
        <f>IF(A745="","",IF(A745=Expiry,0,D745*E745*E745*EXP(-q*Q745)*_xlfn.NORM.S.DIST(Y745,0)*SQRT(Q745)/100))</f>
        <v/>
      </c>
      <c r="P745" s="69" t="str">
        <f>IF(A745="","",IF(A745=Expiry,0,AK745*I745*Mult*((-EXP(-q*Q745)*E745*_xlfn.NORM.S.DIST(Y745,0)*sigma/(2*SQRT(Q745))-r_dom*K*EXP(-r_dom*Q745)*_xlfn.NORM.S.DIST(Z745,1)+q*E745*EXP(-q*Q745)*_xlfn.NORM.S.DIST(Y745,1))/365)))</f>
        <v/>
      </c>
      <c r="Q745" s="83" t="str">
        <f t="shared" si="287"/>
        <v/>
      </c>
      <c r="R745" s="38"/>
      <c r="S745" s="68" t="str">
        <f t="shared" si="288"/>
        <v/>
      </c>
      <c r="T745" s="69" t="str">
        <f t="shared" si="289"/>
        <v/>
      </c>
      <c r="U745" s="70" t="str">
        <f t="shared" si="290"/>
        <v/>
      </c>
      <c r="V745" s="72" t="str">
        <f t="shared" si="291"/>
        <v/>
      </c>
      <c r="W745" s="2" t="str">
        <f t="shared" si="302"/>
        <v/>
      </c>
      <c r="X745" s="2" t="str">
        <f t="shared" si="297"/>
        <v/>
      </c>
      <c r="Y745" s="35" t="str">
        <f t="shared" ca="1" si="292"/>
        <v/>
      </c>
      <c r="Z745" s="36" t="str">
        <f t="shared" ca="1" si="293"/>
        <v/>
      </c>
      <c r="AA745" s="70" t="str">
        <f t="shared" si="294"/>
        <v/>
      </c>
      <c r="AB745" s="2"/>
      <c r="AC745" s="94" t="str">
        <f t="shared" si="298"/>
        <v/>
      </c>
      <c r="AD745" s="95" t="str">
        <f t="shared" si="299"/>
        <v/>
      </c>
      <c r="AE745" s="96" t="str">
        <f t="shared" si="300"/>
        <v/>
      </c>
      <c r="AF745" s="124" t="str">
        <f t="shared" si="301"/>
        <v/>
      </c>
      <c r="AG745" s="2"/>
      <c r="AH745" s="2"/>
      <c r="AI745" s="2"/>
      <c r="AJ745" s="2"/>
      <c r="AK745" s="2"/>
      <c r="AL745" s="2"/>
    </row>
    <row r="746" spans="1:38" x14ac:dyDescent="0.2">
      <c r="A746" s="45"/>
      <c r="B746" s="43" t="str">
        <f t="shared" si="280"/>
        <v/>
      </c>
      <c r="C746" s="96" t="str">
        <f t="shared" si="303"/>
        <v/>
      </c>
      <c r="D746" s="44" t="str">
        <f t="shared" si="281"/>
        <v/>
      </c>
      <c r="E746" s="52"/>
      <c r="F746" s="63" t="str">
        <f t="shared" si="282"/>
        <v/>
      </c>
      <c r="G746" s="56" t="str">
        <f t="shared" si="283"/>
        <v/>
      </c>
      <c r="H746" s="42"/>
      <c r="I746" s="2" t="str">
        <f t="shared" si="284"/>
        <v/>
      </c>
      <c r="J746" s="54" t="str">
        <f t="shared" si="295"/>
        <v/>
      </c>
      <c r="K746" s="55" t="str">
        <f t="shared" si="285"/>
        <v/>
      </c>
      <c r="L746" s="63" t="str">
        <f t="shared" si="286"/>
        <v/>
      </c>
      <c r="M746" s="96" t="str">
        <f t="shared" si="296"/>
        <v/>
      </c>
      <c r="N746" s="96" t="str">
        <f>IF(A746="","",IF(A746=Expiry,0,EXP(-q*Q746)*_xlfn.NORM.S.DIST(Y746,0)/(sigma*SQRT(Q746))*I746*Mult/100))</f>
        <v/>
      </c>
      <c r="O746" s="96" t="str">
        <f>IF(A746="","",IF(A746=Expiry,0,D746*E746*E746*EXP(-q*Q746)*_xlfn.NORM.S.DIST(Y746,0)*SQRT(Q746)/100))</f>
        <v/>
      </c>
      <c r="P746" s="69" t="str">
        <f>IF(A746="","",IF(A746=Expiry,0,AK746*I746*Mult*((-EXP(-q*Q746)*E746*_xlfn.NORM.S.DIST(Y746,0)*sigma/(2*SQRT(Q746))-r_dom*K*EXP(-r_dom*Q746)*_xlfn.NORM.S.DIST(Z746,1)+q*E746*EXP(-q*Q746)*_xlfn.NORM.S.DIST(Y746,1))/365)))</f>
        <v/>
      </c>
      <c r="Q746" s="83" t="str">
        <f t="shared" si="287"/>
        <v/>
      </c>
      <c r="R746" s="38"/>
      <c r="S746" s="68" t="str">
        <f t="shared" si="288"/>
        <v/>
      </c>
      <c r="T746" s="69" t="str">
        <f t="shared" si="289"/>
        <v/>
      </c>
      <c r="U746" s="70" t="str">
        <f t="shared" si="290"/>
        <v/>
      </c>
      <c r="V746" s="72" t="str">
        <f t="shared" si="291"/>
        <v/>
      </c>
      <c r="W746" s="2" t="str">
        <f t="shared" si="302"/>
        <v/>
      </c>
      <c r="X746" s="2" t="str">
        <f t="shared" si="297"/>
        <v/>
      </c>
      <c r="Y746" s="35" t="str">
        <f t="shared" ca="1" si="292"/>
        <v/>
      </c>
      <c r="Z746" s="36" t="str">
        <f t="shared" ca="1" si="293"/>
        <v/>
      </c>
      <c r="AA746" s="70" t="str">
        <f t="shared" si="294"/>
        <v/>
      </c>
      <c r="AB746" s="2"/>
      <c r="AC746" s="94" t="str">
        <f t="shared" si="298"/>
        <v/>
      </c>
      <c r="AD746" s="95" t="str">
        <f t="shared" si="299"/>
        <v/>
      </c>
      <c r="AE746" s="96" t="str">
        <f t="shared" si="300"/>
        <v/>
      </c>
      <c r="AF746" s="124" t="str">
        <f t="shared" si="301"/>
        <v/>
      </c>
      <c r="AG746" s="2"/>
      <c r="AH746" s="2"/>
      <c r="AI746" s="2"/>
      <c r="AJ746" s="2"/>
      <c r="AK746" s="2"/>
      <c r="AL746" s="2"/>
    </row>
    <row r="747" spans="1:38" x14ac:dyDescent="0.2">
      <c r="A747" s="45"/>
      <c r="B747" s="43" t="str">
        <f t="shared" si="280"/>
        <v/>
      </c>
      <c r="C747" s="96" t="str">
        <f t="shared" si="303"/>
        <v/>
      </c>
      <c r="D747" s="44" t="str">
        <f t="shared" si="281"/>
        <v/>
      </c>
      <c r="E747" s="52"/>
      <c r="F747" s="63" t="str">
        <f t="shared" si="282"/>
        <v/>
      </c>
      <c r="G747" s="56" t="str">
        <f t="shared" si="283"/>
        <v/>
      </c>
      <c r="H747" s="42"/>
      <c r="I747" s="2" t="str">
        <f t="shared" si="284"/>
        <v/>
      </c>
      <c r="J747" s="54" t="str">
        <f t="shared" si="295"/>
        <v/>
      </c>
      <c r="K747" s="55" t="str">
        <f t="shared" si="285"/>
        <v/>
      </c>
      <c r="L747" s="63" t="str">
        <f t="shared" si="286"/>
        <v/>
      </c>
      <c r="M747" s="96" t="str">
        <f t="shared" si="296"/>
        <v/>
      </c>
      <c r="N747" s="96" t="str">
        <f>IF(A747="","",IF(A747=Expiry,0,EXP(-q*Q747)*_xlfn.NORM.S.DIST(Y747,0)/(sigma*SQRT(Q747))*I747*Mult/100))</f>
        <v/>
      </c>
      <c r="O747" s="96" t="str">
        <f>IF(A747="","",IF(A747=Expiry,0,D747*E747*E747*EXP(-q*Q747)*_xlfn.NORM.S.DIST(Y747,0)*SQRT(Q747)/100))</f>
        <v/>
      </c>
      <c r="P747" s="69" t="str">
        <f>IF(A747="","",IF(A747=Expiry,0,AK747*I747*Mult*((-EXP(-q*Q747)*E747*_xlfn.NORM.S.DIST(Y747,0)*sigma/(2*SQRT(Q747))-r_dom*K*EXP(-r_dom*Q747)*_xlfn.NORM.S.DIST(Z747,1)+q*E747*EXP(-q*Q747)*_xlfn.NORM.S.DIST(Y747,1))/365)))</f>
        <v/>
      </c>
      <c r="Q747" s="83" t="str">
        <f t="shared" si="287"/>
        <v/>
      </c>
      <c r="R747" s="38"/>
      <c r="S747" s="68" t="str">
        <f t="shared" si="288"/>
        <v/>
      </c>
      <c r="T747" s="69" t="str">
        <f t="shared" si="289"/>
        <v/>
      </c>
      <c r="U747" s="70" t="str">
        <f t="shared" si="290"/>
        <v/>
      </c>
      <c r="V747" s="72" t="str">
        <f t="shared" si="291"/>
        <v/>
      </c>
      <c r="W747" s="2" t="str">
        <f t="shared" si="302"/>
        <v/>
      </c>
      <c r="X747" s="2" t="str">
        <f t="shared" si="297"/>
        <v/>
      </c>
      <c r="Y747" s="35" t="str">
        <f t="shared" ca="1" si="292"/>
        <v/>
      </c>
      <c r="Z747" s="36" t="str">
        <f t="shared" ca="1" si="293"/>
        <v/>
      </c>
      <c r="AA747" s="70" t="str">
        <f t="shared" si="294"/>
        <v/>
      </c>
      <c r="AB747" s="2"/>
      <c r="AC747" s="94" t="str">
        <f t="shared" si="298"/>
        <v/>
      </c>
      <c r="AD747" s="95" t="str">
        <f t="shared" si="299"/>
        <v/>
      </c>
      <c r="AE747" s="96" t="str">
        <f t="shared" si="300"/>
        <v/>
      </c>
      <c r="AF747" s="124" t="str">
        <f t="shared" si="301"/>
        <v/>
      </c>
      <c r="AG747" s="2"/>
      <c r="AH747" s="2"/>
      <c r="AI747" s="2"/>
      <c r="AJ747" s="2"/>
      <c r="AK747" s="2"/>
      <c r="AL747" s="2"/>
    </row>
    <row r="748" spans="1:38" x14ac:dyDescent="0.2">
      <c r="A748" s="45"/>
      <c r="B748" s="43" t="str">
        <f t="shared" si="280"/>
        <v/>
      </c>
      <c r="C748" s="96" t="str">
        <f t="shared" si="303"/>
        <v/>
      </c>
      <c r="D748" s="44" t="str">
        <f t="shared" si="281"/>
        <v/>
      </c>
      <c r="E748" s="52"/>
      <c r="F748" s="63" t="str">
        <f t="shared" si="282"/>
        <v/>
      </c>
      <c r="G748" s="56" t="str">
        <f t="shared" si="283"/>
        <v/>
      </c>
      <c r="H748" s="42"/>
      <c r="I748" s="2" t="str">
        <f t="shared" si="284"/>
        <v/>
      </c>
      <c r="J748" s="54" t="str">
        <f t="shared" si="295"/>
        <v/>
      </c>
      <c r="K748" s="55" t="str">
        <f t="shared" si="285"/>
        <v/>
      </c>
      <c r="L748" s="63" t="str">
        <f t="shared" si="286"/>
        <v/>
      </c>
      <c r="M748" s="96" t="str">
        <f t="shared" si="296"/>
        <v/>
      </c>
      <c r="N748" s="96" t="str">
        <f>IF(A748="","",IF(A748=Expiry,0,EXP(-q*Q748)*_xlfn.NORM.S.DIST(Y748,0)/(sigma*SQRT(Q748))*I748*Mult/100))</f>
        <v/>
      </c>
      <c r="O748" s="96" t="str">
        <f>IF(A748="","",IF(A748=Expiry,0,D748*E748*E748*EXP(-q*Q748)*_xlfn.NORM.S.DIST(Y748,0)*SQRT(Q748)/100))</f>
        <v/>
      </c>
      <c r="P748" s="69" t="str">
        <f>IF(A748="","",IF(A748=Expiry,0,AK748*I748*Mult*((-EXP(-q*Q748)*E748*_xlfn.NORM.S.DIST(Y748,0)*sigma/(2*SQRT(Q748))-r_dom*K*EXP(-r_dom*Q748)*_xlfn.NORM.S.DIST(Z748,1)+q*E748*EXP(-q*Q748)*_xlfn.NORM.S.DIST(Y748,1))/365)))</f>
        <v/>
      </c>
      <c r="Q748" s="83" t="str">
        <f t="shared" si="287"/>
        <v/>
      </c>
      <c r="R748" s="38"/>
      <c r="S748" s="68" t="str">
        <f t="shared" si="288"/>
        <v/>
      </c>
      <c r="T748" s="69" t="str">
        <f t="shared" si="289"/>
        <v/>
      </c>
      <c r="U748" s="70" t="str">
        <f t="shared" si="290"/>
        <v/>
      </c>
      <c r="V748" s="72" t="str">
        <f t="shared" si="291"/>
        <v/>
      </c>
      <c r="W748" s="2" t="str">
        <f t="shared" si="302"/>
        <v/>
      </c>
      <c r="X748" s="2" t="str">
        <f t="shared" si="297"/>
        <v/>
      </c>
      <c r="Y748" s="35" t="str">
        <f t="shared" ca="1" si="292"/>
        <v/>
      </c>
      <c r="Z748" s="36" t="str">
        <f t="shared" ca="1" si="293"/>
        <v/>
      </c>
      <c r="AA748" s="70" t="str">
        <f t="shared" si="294"/>
        <v/>
      </c>
      <c r="AB748" s="2"/>
      <c r="AC748" s="94" t="str">
        <f t="shared" si="298"/>
        <v/>
      </c>
      <c r="AD748" s="95" t="str">
        <f t="shared" si="299"/>
        <v/>
      </c>
      <c r="AE748" s="96" t="str">
        <f t="shared" si="300"/>
        <v/>
      </c>
      <c r="AF748" s="124" t="str">
        <f t="shared" si="301"/>
        <v/>
      </c>
      <c r="AG748" s="2"/>
      <c r="AH748" s="2"/>
      <c r="AI748" s="2"/>
      <c r="AJ748" s="2"/>
      <c r="AK748" s="2"/>
      <c r="AL748" s="2"/>
    </row>
    <row r="749" spans="1:38" x14ac:dyDescent="0.2">
      <c r="A749" s="45"/>
      <c r="B749" s="43" t="str">
        <f t="shared" si="280"/>
        <v/>
      </c>
      <c r="C749" s="96" t="str">
        <f t="shared" si="303"/>
        <v/>
      </c>
      <c r="D749" s="44" t="str">
        <f t="shared" si="281"/>
        <v/>
      </c>
      <c r="E749" s="52"/>
      <c r="F749" s="63" t="str">
        <f t="shared" si="282"/>
        <v/>
      </c>
      <c r="G749" s="56" t="str">
        <f t="shared" si="283"/>
        <v/>
      </c>
      <c r="H749" s="42"/>
      <c r="I749" s="2" t="str">
        <f t="shared" si="284"/>
        <v/>
      </c>
      <c r="J749" s="54" t="str">
        <f t="shared" si="295"/>
        <v/>
      </c>
      <c r="K749" s="55" t="str">
        <f t="shared" si="285"/>
        <v/>
      </c>
      <c r="L749" s="63" t="str">
        <f t="shared" si="286"/>
        <v/>
      </c>
      <c r="M749" s="96" t="str">
        <f t="shared" si="296"/>
        <v/>
      </c>
      <c r="N749" s="96" t="str">
        <f>IF(A749="","",IF(A749=Expiry,0,EXP(-q*Q749)*_xlfn.NORM.S.DIST(Y749,0)/(sigma*SQRT(Q749))*I749*Mult/100))</f>
        <v/>
      </c>
      <c r="O749" s="96" t="str">
        <f>IF(A749="","",IF(A749=Expiry,0,D749*E749*E749*EXP(-q*Q749)*_xlfn.NORM.S.DIST(Y749,0)*SQRT(Q749)/100))</f>
        <v/>
      </c>
      <c r="P749" s="69" t="str">
        <f>IF(A749="","",IF(A749=Expiry,0,AK749*I749*Mult*((-EXP(-q*Q749)*E749*_xlfn.NORM.S.DIST(Y749,0)*sigma/(2*SQRT(Q749))-r_dom*K*EXP(-r_dom*Q749)*_xlfn.NORM.S.DIST(Z749,1)+q*E749*EXP(-q*Q749)*_xlfn.NORM.S.DIST(Y749,1))/365)))</f>
        <v/>
      </c>
      <c r="Q749" s="83" t="str">
        <f t="shared" si="287"/>
        <v/>
      </c>
      <c r="R749" s="38"/>
      <c r="S749" s="68" t="str">
        <f t="shared" si="288"/>
        <v/>
      </c>
      <c r="T749" s="69" t="str">
        <f t="shared" si="289"/>
        <v/>
      </c>
      <c r="U749" s="70" t="str">
        <f t="shared" si="290"/>
        <v/>
      </c>
      <c r="V749" s="72" t="str">
        <f t="shared" si="291"/>
        <v/>
      </c>
      <c r="W749" s="2" t="str">
        <f t="shared" si="302"/>
        <v/>
      </c>
      <c r="X749" s="2" t="str">
        <f t="shared" si="297"/>
        <v/>
      </c>
      <c r="Y749" s="35" t="str">
        <f t="shared" ca="1" si="292"/>
        <v/>
      </c>
      <c r="Z749" s="36" t="str">
        <f t="shared" ca="1" si="293"/>
        <v/>
      </c>
      <c r="AA749" s="70" t="str">
        <f t="shared" si="294"/>
        <v/>
      </c>
      <c r="AB749" s="2"/>
      <c r="AC749" s="94" t="str">
        <f t="shared" si="298"/>
        <v/>
      </c>
      <c r="AD749" s="95" t="str">
        <f t="shared" si="299"/>
        <v/>
      </c>
      <c r="AE749" s="96" t="str">
        <f t="shared" si="300"/>
        <v/>
      </c>
      <c r="AF749" s="124" t="str">
        <f t="shared" si="301"/>
        <v/>
      </c>
      <c r="AG749" s="2"/>
      <c r="AH749" s="2"/>
      <c r="AI749" s="2"/>
      <c r="AJ749" s="2"/>
      <c r="AK749" s="2"/>
      <c r="AL749" s="2"/>
    </row>
    <row r="750" spans="1:38" x14ac:dyDescent="0.2">
      <c r="A750" s="45"/>
      <c r="B750" s="43" t="str">
        <f t="shared" si="280"/>
        <v/>
      </c>
      <c r="C750" s="96" t="str">
        <f t="shared" si="303"/>
        <v/>
      </c>
      <c r="D750" s="44" t="str">
        <f t="shared" si="281"/>
        <v/>
      </c>
      <c r="E750" s="52"/>
      <c r="F750" s="63" t="str">
        <f t="shared" si="282"/>
        <v/>
      </c>
      <c r="G750" s="56" t="str">
        <f t="shared" si="283"/>
        <v/>
      </c>
      <c r="H750" s="42"/>
      <c r="I750" s="2" t="str">
        <f t="shared" si="284"/>
        <v/>
      </c>
      <c r="J750" s="54" t="str">
        <f t="shared" si="295"/>
        <v/>
      </c>
      <c r="K750" s="55" t="str">
        <f t="shared" si="285"/>
        <v/>
      </c>
      <c r="L750" s="63" t="str">
        <f t="shared" si="286"/>
        <v/>
      </c>
      <c r="M750" s="96" t="str">
        <f t="shared" si="296"/>
        <v/>
      </c>
      <c r="N750" s="96" t="str">
        <f>IF(A750="","",IF(A750=Expiry,0,EXP(-q*Q750)*_xlfn.NORM.S.DIST(Y750,0)/(sigma*SQRT(Q750))*I750*Mult/100))</f>
        <v/>
      </c>
      <c r="O750" s="96" t="str">
        <f>IF(A750="","",IF(A750=Expiry,0,D750*E750*E750*EXP(-q*Q750)*_xlfn.NORM.S.DIST(Y750,0)*SQRT(Q750)/100))</f>
        <v/>
      </c>
      <c r="P750" s="69" t="str">
        <f>IF(A750="","",IF(A750=Expiry,0,AK750*I750*Mult*((-EXP(-q*Q750)*E750*_xlfn.NORM.S.DIST(Y750,0)*sigma/(2*SQRT(Q750))-r_dom*K*EXP(-r_dom*Q750)*_xlfn.NORM.S.DIST(Z750,1)+q*E750*EXP(-q*Q750)*_xlfn.NORM.S.DIST(Y750,1))/365)))</f>
        <v/>
      </c>
      <c r="Q750" s="83" t="str">
        <f t="shared" si="287"/>
        <v/>
      </c>
      <c r="R750" s="38"/>
      <c r="S750" s="68" t="str">
        <f t="shared" si="288"/>
        <v/>
      </c>
      <c r="T750" s="69" t="str">
        <f t="shared" si="289"/>
        <v/>
      </c>
      <c r="U750" s="70" t="str">
        <f t="shared" si="290"/>
        <v/>
      </c>
      <c r="V750" s="72" t="str">
        <f t="shared" si="291"/>
        <v/>
      </c>
      <c r="W750" s="2" t="str">
        <f t="shared" si="302"/>
        <v/>
      </c>
      <c r="X750" s="2" t="str">
        <f t="shared" si="297"/>
        <v/>
      </c>
      <c r="Y750" s="35" t="str">
        <f t="shared" ca="1" si="292"/>
        <v/>
      </c>
      <c r="Z750" s="36" t="str">
        <f t="shared" ca="1" si="293"/>
        <v/>
      </c>
      <c r="AA750" s="70" t="str">
        <f t="shared" si="294"/>
        <v/>
      </c>
      <c r="AB750" s="2"/>
      <c r="AC750" s="94" t="str">
        <f t="shared" si="298"/>
        <v/>
      </c>
      <c r="AD750" s="95" t="str">
        <f t="shared" si="299"/>
        <v/>
      </c>
      <c r="AE750" s="96" t="str">
        <f t="shared" si="300"/>
        <v/>
      </c>
      <c r="AF750" s="124" t="str">
        <f t="shared" si="301"/>
        <v/>
      </c>
      <c r="AG750" s="2"/>
      <c r="AH750" s="2"/>
      <c r="AI750" s="2"/>
      <c r="AJ750" s="2"/>
      <c r="AK750" s="2"/>
      <c r="AL750" s="2"/>
    </row>
    <row r="751" spans="1:38" x14ac:dyDescent="0.2">
      <c r="A751" s="45"/>
      <c r="B751" s="43" t="str">
        <f t="shared" si="280"/>
        <v/>
      </c>
      <c r="C751" s="96" t="str">
        <f t="shared" si="303"/>
        <v/>
      </c>
      <c r="D751" s="44" t="str">
        <f t="shared" si="281"/>
        <v/>
      </c>
      <c r="E751" s="52"/>
      <c r="F751" s="63" t="str">
        <f t="shared" si="282"/>
        <v/>
      </c>
      <c r="G751" s="56" t="str">
        <f t="shared" si="283"/>
        <v/>
      </c>
      <c r="H751" s="42"/>
      <c r="I751" s="2" t="str">
        <f t="shared" si="284"/>
        <v/>
      </c>
      <c r="J751" s="54" t="str">
        <f t="shared" si="295"/>
        <v/>
      </c>
      <c r="K751" s="55" t="str">
        <f t="shared" si="285"/>
        <v/>
      </c>
      <c r="L751" s="63" t="str">
        <f t="shared" si="286"/>
        <v/>
      </c>
      <c r="M751" s="96" t="str">
        <f t="shared" si="296"/>
        <v/>
      </c>
      <c r="N751" s="96" t="str">
        <f>IF(A751="","",IF(A751=Expiry,0,EXP(-q*Q751)*_xlfn.NORM.S.DIST(Y751,0)/(sigma*SQRT(Q751))*I751*Mult/100))</f>
        <v/>
      </c>
      <c r="O751" s="96" t="str">
        <f>IF(A751="","",IF(A751=Expiry,0,D751*E751*E751*EXP(-q*Q751)*_xlfn.NORM.S.DIST(Y751,0)*SQRT(Q751)/100))</f>
        <v/>
      </c>
      <c r="P751" s="69" t="str">
        <f>IF(A751="","",IF(A751=Expiry,0,AK751*I751*Mult*((-EXP(-q*Q751)*E751*_xlfn.NORM.S.DIST(Y751,0)*sigma/(2*SQRT(Q751))-r_dom*K*EXP(-r_dom*Q751)*_xlfn.NORM.S.DIST(Z751,1)+q*E751*EXP(-q*Q751)*_xlfn.NORM.S.DIST(Y751,1))/365)))</f>
        <v/>
      </c>
      <c r="Q751" s="83" t="str">
        <f t="shared" si="287"/>
        <v/>
      </c>
      <c r="R751" s="38"/>
      <c r="S751" s="68" t="str">
        <f t="shared" si="288"/>
        <v/>
      </c>
      <c r="T751" s="69" t="str">
        <f t="shared" si="289"/>
        <v/>
      </c>
      <c r="U751" s="70" t="str">
        <f t="shared" si="290"/>
        <v/>
      </c>
      <c r="V751" s="72" t="str">
        <f t="shared" si="291"/>
        <v/>
      </c>
      <c r="W751" s="2" t="str">
        <f t="shared" si="302"/>
        <v/>
      </c>
      <c r="X751" s="2" t="str">
        <f t="shared" si="297"/>
        <v/>
      </c>
      <c r="Y751" s="35" t="str">
        <f t="shared" ca="1" si="292"/>
        <v/>
      </c>
      <c r="Z751" s="36" t="str">
        <f t="shared" ca="1" si="293"/>
        <v/>
      </c>
      <c r="AA751" s="70" t="str">
        <f t="shared" si="294"/>
        <v/>
      </c>
      <c r="AB751" s="2"/>
      <c r="AC751" s="94" t="str">
        <f t="shared" si="298"/>
        <v/>
      </c>
      <c r="AD751" s="95" t="str">
        <f t="shared" si="299"/>
        <v/>
      </c>
      <c r="AE751" s="96" t="str">
        <f t="shared" si="300"/>
        <v/>
      </c>
      <c r="AF751" s="124" t="str">
        <f t="shared" si="301"/>
        <v/>
      </c>
      <c r="AG751" s="2"/>
      <c r="AH751" s="2"/>
      <c r="AI751" s="2"/>
      <c r="AJ751" s="2"/>
      <c r="AK751" s="2"/>
      <c r="AL751" s="2"/>
    </row>
    <row r="752" spans="1:38" x14ac:dyDescent="0.2">
      <c r="A752" s="45"/>
      <c r="B752" s="43" t="str">
        <f t="shared" si="280"/>
        <v/>
      </c>
      <c r="C752" s="96" t="str">
        <f t="shared" si="303"/>
        <v/>
      </c>
      <c r="D752" s="44" t="str">
        <f t="shared" si="281"/>
        <v/>
      </c>
      <c r="E752" s="52"/>
      <c r="F752" s="63" t="str">
        <f t="shared" si="282"/>
        <v/>
      </c>
      <c r="G752" s="56" t="str">
        <f t="shared" si="283"/>
        <v/>
      </c>
      <c r="H752" s="42"/>
      <c r="I752" s="2" t="str">
        <f t="shared" si="284"/>
        <v/>
      </c>
      <c r="J752" s="54" t="str">
        <f t="shared" si="295"/>
        <v/>
      </c>
      <c r="K752" s="55" t="str">
        <f t="shared" si="285"/>
        <v/>
      </c>
      <c r="L752" s="63" t="str">
        <f t="shared" si="286"/>
        <v/>
      </c>
      <c r="M752" s="96" t="str">
        <f t="shared" si="296"/>
        <v/>
      </c>
      <c r="N752" s="96" t="str">
        <f>IF(A752="","",IF(A752=Expiry,0,EXP(-q*Q752)*_xlfn.NORM.S.DIST(Y752,0)/(sigma*SQRT(Q752))*I752*Mult/100))</f>
        <v/>
      </c>
      <c r="O752" s="96" t="str">
        <f>IF(A752="","",IF(A752=Expiry,0,D752*E752*E752*EXP(-q*Q752)*_xlfn.NORM.S.DIST(Y752,0)*SQRT(Q752)/100))</f>
        <v/>
      </c>
      <c r="P752" s="69" t="str">
        <f>IF(A752="","",IF(A752=Expiry,0,AK752*I752*Mult*((-EXP(-q*Q752)*E752*_xlfn.NORM.S.DIST(Y752,0)*sigma/(2*SQRT(Q752))-r_dom*K*EXP(-r_dom*Q752)*_xlfn.NORM.S.DIST(Z752,1)+q*E752*EXP(-q*Q752)*_xlfn.NORM.S.DIST(Y752,1))/365)))</f>
        <v/>
      </c>
      <c r="Q752" s="83" t="str">
        <f t="shared" si="287"/>
        <v/>
      </c>
      <c r="R752" s="38"/>
      <c r="S752" s="68" t="str">
        <f t="shared" si="288"/>
        <v/>
      </c>
      <c r="T752" s="69" t="str">
        <f t="shared" si="289"/>
        <v/>
      </c>
      <c r="U752" s="70" t="str">
        <f t="shared" si="290"/>
        <v/>
      </c>
      <c r="V752" s="72" t="str">
        <f t="shared" si="291"/>
        <v/>
      </c>
      <c r="W752" s="2" t="str">
        <f t="shared" si="302"/>
        <v/>
      </c>
      <c r="X752" s="2" t="str">
        <f t="shared" si="297"/>
        <v/>
      </c>
      <c r="Y752" s="35" t="str">
        <f t="shared" ca="1" si="292"/>
        <v/>
      </c>
      <c r="Z752" s="36" t="str">
        <f t="shared" ca="1" si="293"/>
        <v/>
      </c>
      <c r="AA752" s="70" t="str">
        <f t="shared" si="294"/>
        <v/>
      </c>
      <c r="AB752" s="2"/>
      <c r="AC752" s="94" t="str">
        <f t="shared" si="298"/>
        <v/>
      </c>
      <c r="AD752" s="95" t="str">
        <f t="shared" si="299"/>
        <v/>
      </c>
      <c r="AE752" s="96" t="str">
        <f t="shared" si="300"/>
        <v/>
      </c>
      <c r="AF752" s="124" t="str">
        <f t="shared" si="301"/>
        <v/>
      </c>
      <c r="AG752" s="2"/>
      <c r="AH752" s="2"/>
      <c r="AI752" s="2"/>
      <c r="AJ752" s="2"/>
      <c r="AK752" s="2"/>
      <c r="AL752" s="2"/>
    </row>
    <row r="753" spans="1:38" x14ac:dyDescent="0.2">
      <c r="A753" s="45"/>
      <c r="B753" s="43" t="str">
        <f t="shared" si="280"/>
        <v/>
      </c>
      <c r="C753" s="96" t="str">
        <f t="shared" si="303"/>
        <v/>
      </c>
      <c r="D753" s="44" t="str">
        <f t="shared" si="281"/>
        <v/>
      </c>
      <c r="E753" s="52"/>
      <c r="F753" s="63" t="str">
        <f t="shared" si="282"/>
        <v/>
      </c>
      <c r="G753" s="56" t="str">
        <f t="shared" si="283"/>
        <v/>
      </c>
      <c r="H753" s="42"/>
      <c r="I753" s="2" t="str">
        <f t="shared" si="284"/>
        <v/>
      </c>
      <c r="J753" s="54" t="str">
        <f t="shared" si="295"/>
        <v/>
      </c>
      <c r="K753" s="55" t="str">
        <f t="shared" si="285"/>
        <v/>
      </c>
      <c r="L753" s="63" t="str">
        <f t="shared" si="286"/>
        <v/>
      </c>
      <c r="M753" s="96" t="str">
        <f t="shared" si="296"/>
        <v/>
      </c>
      <c r="N753" s="96" t="str">
        <f>IF(A753="","",IF(A753=Expiry,0,EXP(-q*Q753)*_xlfn.NORM.S.DIST(Y753,0)/(sigma*SQRT(Q753))*I753*Mult/100))</f>
        <v/>
      </c>
      <c r="O753" s="96" t="str">
        <f>IF(A753="","",IF(A753=Expiry,0,D753*E753*E753*EXP(-q*Q753)*_xlfn.NORM.S.DIST(Y753,0)*SQRT(Q753)/100))</f>
        <v/>
      </c>
      <c r="P753" s="69" t="str">
        <f>IF(A753="","",IF(A753=Expiry,0,AK753*I753*Mult*((-EXP(-q*Q753)*E753*_xlfn.NORM.S.DIST(Y753,0)*sigma/(2*SQRT(Q753))-r_dom*K*EXP(-r_dom*Q753)*_xlfn.NORM.S.DIST(Z753,1)+q*E753*EXP(-q*Q753)*_xlfn.NORM.S.DIST(Y753,1))/365)))</f>
        <v/>
      </c>
      <c r="Q753" s="83" t="str">
        <f t="shared" si="287"/>
        <v/>
      </c>
      <c r="R753" s="38"/>
      <c r="S753" s="68" t="str">
        <f t="shared" si="288"/>
        <v/>
      </c>
      <c r="T753" s="69" t="str">
        <f t="shared" si="289"/>
        <v/>
      </c>
      <c r="U753" s="70" t="str">
        <f t="shared" si="290"/>
        <v/>
      </c>
      <c r="V753" s="72" t="str">
        <f t="shared" si="291"/>
        <v/>
      </c>
      <c r="W753" s="2" t="str">
        <f t="shared" si="302"/>
        <v/>
      </c>
      <c r="X753" s="2" t="str">
        <f t="shared" si="297"/>
        <v/>
      </c>
      <c r="Y753" s="35" t="str">
        <f t="shared" ca="1" si="292"/>
        <v/>
      </c>
      <c r="Z753" s="36" t="str">
        <f t="shared" ca="1" si="293"/>
        <v/>
      </c>
      <c r="AA753" s="70" t="str">
        <f t="shared" si="294"/>
        <v/>
      </c>
      <c r="AB753" s="2"/>
      <c r="AC753" s="94" t="str">
        <f t="shared" si="298"/>
        <v/>
      </c>
      <c r="AD753" s="95" t="str">
        <f t="shared" si="299"/>
        <v/>
      </c>
      <c r="AE753" s="96" t="str">
        <f t="shared" si="300"/>
        <v/>
      </c>
      <c r="AF753" s="124" t="str">
        <f t="shared" si="301"/>
        <v/>
      </c>
      <c r="AG753" s="2"/>
      <c r="AH753" s="2"/>
      <c r="AI753" s="2"/>
      <c r="AJ753" s="2"/>
      <c r="AK753" s="2"/>
      <c r="AL753" s="2"/>
    </row>
    <row r="754" spans="1:38" x14ac:dyDescent="0.2">
      <c r="A754" s="45"/>
      <c r="B754" s="43" t="str">
        <f t="shared" ref="B754:B817" si="304">IF(A754="","",-(M754+C753))</f>
        <v/>
      </c>
      <c r="C754" s="96" t="str">
        <f t="shared" si="303"/>
        <v/>
      </c>
      <c r="D754" s="44" t="str">
        <f t="shared" ref="D754:D817" si="305">IF(A754="","",C754*E754)</f>
        <v/>
      </c>
      <c r="E754" s="52"/>
      <c r="F754" s="63" t="str">
        <f t="shared" ref="F754:F817" si="306">IF(A754="","",C753*(E754-E753))</f>
        <v/>
      </c>
      <c r="G754" s="56" t="str">
        <f t="shared" ref="G754:G817" si="307">IF(H754="","",J754)</f>
        <v/>
      </c>
      <c r="H754" s="42"/>
      <c r="I754" s="2" t="str">
        <f t="shared" ref="I754:I817" si="308">IF(A754="","",I753+H754)</f>
        <v/>
      </c>
      <c r="J754" s="54" t="str">
        <f t="shared" si="295"/>
        <v/>
      </c>
      <c r="K754" s="55" t="str">
        <f t="shared" ref="K754:K817" si="309">IF(I754="","",I754*Mult*J754)</f>
        <v/>
      </c>
      <c r="L754" s="63" t="str">
        <f t="shared" ref="L754:L817" si="310">IF(A754="","",Mult*(IFERROR(0,H754*(G754-J754))+(I754-H754)*(J754-J753)))</f>
        <v/>
      </c>
      <c r="M754" s="96" t="str">
        <f t="shared" si="296"/>
        <v/>
      </c>
      <c r="N754" s="96" t="str">
        <f>IF(A754="","",IF(A754=Expiry,0,EXP(-q*Q754)*_xlfn.NORM.S.DIST(Y754,0)/(sigma*SQRT(Q754))*I754*Mult/100))</f>
        <v/>
      </c>
      <c r="O754" s="96" t="str">
        <f>IF(A754="","",IF(A754=Expiry,0,D754*E754*E754*EXP(-q*Q754)*_xlfn.NORM.S.DIST(Y754,0)*SQRT(Q754)/100))</f>
        <v/>
      </c>
      <c r="P754" s="69" t="str">
        <f>IF(A754="","",IF(A754=Expiry,0,AK754*I754*Mult*((-EXP(-q*Q754)*E754*_xlfn.NORM.S.DIST(Y754,0)*sigma/(2*SQRT(Q754))-r_dom*K*EXP(-r_dom*Q754)*_xlfn.NORM.S.DIST(Z754,1)+q*E754*EXP(-q*Q754)*_xlfn.NORM.S.DIST(Y754,1))/365)))</f>
        <v/>
      </c>
      <c r="Q754" s="83" t="str">
        <f t="shared" ref="Q754:Q817" si="311">IF(A754="","",IF(OR(A754="",Expiry&lt;=A754),0,(Expiry-A754)/365))</f>
        <v/>
      </c>
      <c r="R754" s="38"/>
      <c r="S754" s="68" t="str">
        <f t="shared" ref="S754:S817" si="312">IF(A754="","",F754+L754)</f>
        <v/>
      </c>
      <c r="T754" s="69" t="str">
        <f t="shared" ref="T754:T817" si="313">IF(A754="","",T753+S754)</f>
        <v/>
      </c>
      <c r="U754" s="70" t="str">
        <f t="shared" ref="U754:U817" si="314">IF(A754="","",LN(T754/T753))</f>
        <v/>
      </c>
      <c r="V754" s="72" t="str">
        <f t="shared" ref="V754:V817" si="315">IF(A754="","",V753*EXP(U754))</f>
        <v/>
      </c>
      <c r="W754" s="2" t="str">
        <f t="shared" si="302"/>
        <v/>
      </c>
      <c r="X754" s="2" t="str">
        <f t="shared" si="297"/>
        <v/>
      </c>
      <c r="Y754" s="35" t="str">
        <f t="shared" ref="Y754:Y817" ca="1" si="316">IF(OR(A754="",A754=Expiry),"",((LN(E754/K)+(r_dom-q+sigma^2/2)*Q754))/(sigma*SQRT(Q754)))</f>
        <v/>
      </c>
      <c r="Z754" s="36" t="str">
        <f t="shared" ref="Z754:Z817" ca="1" si="317">IF(OR(A754="",A754=Expiry),"",Y754-sigma*SQRT(Q754))</f>
        <v/>
      </c>
      <c r="AA754" s="70" t="str">
        <f t="shared" ref="AA754:AA817" si="318">IF(A754="","",LN(E754/E753))</f>
        <v/>
      </c>
      <c r="AB754" s="2"/>
      <c r="AC754" s="94" t="str">
        <f t="shared" si="298"/>
        <v/>
      </c>
      <c r="AD754" s="95" t="str">
        <f t="shared" si="299"/>
        <v/>
      </c>
      <c r="AE754" s="96" t="str">
        <f t="shared" si="300"/>
        <v/>
      </c>
      <c r="AF754" s="124" t="str">
        <f t="shared" si="301"/>
        <v/>
      </c>
      <c r="AG754" s="2"/>
      <c r="AH754" s="2"/>
      <c r="AI754" s="2"/>
      <c r="AJ754" s="2"/>
      <c r="AK754" s="2"/>
      <c r="AL754" s="2"/>
    </row>
    <row r="755" spans="1:38" x14ac:dyDescent="0.2">
      <c r="A755" s="45"/>
      <c r="B755" s="43" t="str">
        <f t="shared" si="304"/>
        <v/>
      </c>
      <c r="C755" s="96" t="str">
        <f t="shared" si="303"/>
        <v/>
      </c>
      <c r="D755" s="44" t="str">
        <f t="shared" si="305"/>
        <v/>
      </c>
      <c r="E755" s="52"/>
      <c r="F755" s="63" t="str">
        <f t="shared" si="306"/>
        <v/>
      </c>
      <c r="G755" s="56" t="str">
        <f t="shared" si="307"/>
        <v/>
      </c>
      <c r="H755" s="42"/>
      <c r="I755" s="2" t="str">
        <f t="shared" si="308"/>
        <v/>
      </c>
      <c r="J755" s="54" t="str">
        <f t="shared" si="295"/>
        <v/>
      </c>
      <c r="K755" s="55" t="str">
        <f t="shared" si="309"/>
        <v/>
      </c>
      <c r="L755" s="63" t="str">
        <f t="shared" si="310"/>
        <v/>
      </c>
      <c r="M755" s="96" t="str">
        <f t="shared" si="296"/>
        <v/>
      </c>
      <c r="N755" s="96" t="str">
        <f>IF(A755="","",IF(A755=Expiry,0,EXP(-q*Q755)*_xlfn.NORM.S.DIST(Y755,0)/(sigma*SQRT(Q755))*I755*Mult/100))</f>
        <v/>
      </c>
      <c r="O755" s="96" t="str">
        <f>IF(A755="","",IF(A755=Expiry,0,D755*E755*E755*EXP(-q*Q755)*_xlfn.NORM.S.DIST(Y755,0)*SQRT(Q755)/100))</f>
        <v/>
      </c>
      <c r="P755" s="69" t="str">
        <f>IF(A755="","",IF(A755=Expiry,0,AK755*I755*Mult*((-EXP(-q*Q755)*E755*_xlfn.NORM.S.DIST(Y755,0)*sigma/(2*SQRT(Q755))-r_dom*K*EXP(-r_dom*Q755)*_xlfn.NORM.S.DIST(Z755,1)+q*E755*EXP(-q*Q755)*_xlfn.NORM.S.DIST(Y755,1))/365)))</f>
        <v/>
      </c>
      <c r="Q755" s="83" t="str">
        <f t="shared" si="311"/>
        <v/>
      </c>
      <c r="R755" s="38"/>
      <c r="S755" s="68" t="str">
        <f t="shared" si="312"/>
        <v/>
      </c>
      <c r="T755" s="69" t="str">
        <f t="shared" si="313"/>
        <v/>
      </c>
      <c r="U755" s="70" t="str">
        <f t="shared" si="314"/>
        <v/>
      </c>
      <c r="V755" s="72" t="str">
        <f t="shared" si="315"/>
        <v/>
      </c>
      <c r="W755" s="2" t="str">
        <f t="shared" si="302"/>
        <v/>
      </c>
      <c r="X755" s="2" t="str">
        <f t="shared" si="297"/>
        <v/>
      </c>
      <c r="Y755" s="35" t="str">
        <f t="shared" ca="1" si="316"/>
        <v/>
      </c>
      <c r="Z755" s="36" t="str">
        <f t="shared" ca="1" si="317"/>
        <v/>
      </c>
      <c r="AA755" s="70" t="str">
        <f t="shared" si="318"/>
        <v/>
      </c>
      <c r="AB755" s="2"/>
      <c r="AC755" s="94" t="str">
        <f t="shared" si="298"/>
        <v/>
      </c>
      <c r="AD755" s="95" t="str">
        <f t="shared" si="299"/>
        <v/>
      </c>
      <c r="AE755" s="96" t="str">
        <f t="shared" si="300"/>
        <v/>
      </c>
      <c r="AF755" s="124" t="str">
        <f t="shared" si="301"/>
        <v/>
      </c>
      <c r="AG755" s="2"/>
      <c r="AH755" s="2"/>
      <c r="AI755" s="2"/>
      <c r="AJ755" s="2"/>
      <c r="AK755" s="2"/>
      <c r="AL755" s="2"/>
    </row>
    <row r="756" spans="1:38" x14ac:dyDescent="0.2">
      <c r="A756" s="45"/>
      <c r="B756" s="43" t="str">
        <f t="shared" si="304"/>
        <v/>
      </c>
      <c r="C756" s="96" t="str">
        <f t="shared" si="303"/>
        <v/>
      </c>
      <c r="D756" s="44" t="str">
        <f t="shared" si="305"/>
        <v/>
      </c>
      <c r="E756" s="52"/>
      <c r="F756" s="63" t="str">
        <f t="shared" si="306"/>
        <v/>
      </c>
      <c r="G756" s="56" t="str">
        <f t="shared" si="307"/>
        <v/>
      </c>
      <c r="H756" s="42"/>
      <c r="I756" s="2" t="str">
        <f t="shared" si="308"/>
        <v/>
      </c>
      <c r="J756" s="54" t="str">
        <f t="shared" si="295"/>
        <v/>
      </c>
      <c r="K756" s="55" t="str">
        <f t="shared" si="309"/>
        <v/>
      </c>
      <c r="L756" s="63" t="str">
        <f t="shared" si="310"/>
        <v/>
      </c>
      <c r="M756" s="96" t="str">
        <f t="shared" si="296"/>
        <v/>
      </c>
      <c r="N756" s="96" t="str">
        <f>IF(A756="","",IF(A756=Expiry,0,EXP(-q*Q756)*_xlfn.NORM.S.DIST(Y756,0)/(sigma*SQRT(Q756))*I756*Mult/100))</f>
        <v/>
      </c>
      <c r="O756" s="96" t="str">
        <f>IF(A756="","",IF(A756=Expiry,0,D756*E756*E756*EXP(-q*Q756)*_xlfn.NORM.S.DIST(Y756,0)*SQRT(Q756)/100))</f>
        <v/>
      </c>
      <c r="P756" s="69" t="str">
        <f>IF(A756="","",IF(A756=Expiry,0,AK756*I756*Mult*((-EXP(-q*Q756)*E756*_xlfn.NORM.S.DIST(Y756,0)*sigma/(2*SQRT(Q756))-r_dom*K*EXP(-r_dom*Q756)*_xlfn.NORM.S.DIST(Z756,1)+q*E756*EXP(-q*Q756)*_xlfn.NORM.S.DIST(Y756,1))/365)))</f>
        <v/>
      </c>
      <c r="Q756" s="83" t="str">
        <f t="shared" si="311"/>
        <v/>
      </c>
      <c r="R756" s="38"/>
      <c r="S756" s="68" t="str">
        <f t="shared" si="312"/>
        <v/>
      </c>
      <c r="T756" s="69" t="str">
        <f t="shared" si="313"/>
        <v/>
      </c>
      <c r="U756" s="70" t="str">
        <f t="shared" si="314"/>
        <v/>
      </c>
      <c r="V756" s="72" t="str">
        <f t="shared" si="315"/>
        <v/>
      </c>
      <c r="W756" s="2" t="str">
        <f t="shared" si="302"/>
        <v/>
      </c>
      <c r="X756" s="2" t="str">
        <f t="shared" si="297"/>
        <v/>
      </c>
      <c r="Y756" s="35" t="str">
        <f t="shared" ca="1" si="316"/>
        <v/>
      </c>
      <c r="Z756" s="36" t="str">
        <f t="shared" ca="1" si="317"/>
        <v/>
      </c>
      <c r="AA756" s="70" t="str">
        <f t="shared" si="318"/>
        <v/>
      </c>
      <c r="AB756" s="2"/>
      <c r="AC756" s="94" t="str">
        <f t="shared" si="298"/>
        <v/>
      </c>
      <c r="AD756" s="95" t="str">
        <f t="shared" si="299"/>
        <v/>
      </c>
      <c r="AE756" s="96" t="str">
        <f t="shared" si="300"/>
        <v/>
      </c>
      <c r="AF756" s="124" t="str">
        <f t="shared" si="301"/>
        <v/>
      </c>
      <c r="AG756" s="2"/>
      <c r="AH756" s="2"/>
      <c r="AI756" s="2"/>
      <c r="AJ756" s="2"/>
      <c r="AK756" s="2"/>
      <c r="AL756" s="2"/>
    </row>
    <row r="757" spans="1:38" x14ac:dyDescent="0.2">
      <c r="A757" s="45"/>
      <c r="B757" s="43" t="str">
        <f t="shared" si="304"/>
        <v/>
      </c>
      <c r="C757" s="96" t="str">
        <f t="shared" si="303"/>
        <v/>
      </c>
      <c r="D757" s="44" t="str">
        <f t="shared" si="305"/>
        <v/>
      </c>
      <c r="E757" s="52"/>
      <c r="F757" s="63" t="str">
        <f t="shared" si="306"/>
        <v/>
      </c>
      <c r="G757" s="56" t="str">
        <f t="shared" si="307"/>
        <v/>
      </c>
      <c r="H757" s="42"/>
      <c r="I757" s="2" t="str">
        <f t="shared" si="308"/>
        <v/>
      </c>
      <c r="J757" s="54" t="str">
        <f t="shared" si="295"/>
        <v/>
      </c>
      <c r="K757" s="55" t="str">
        <f t="shared" si="309"/>
        <v/>
      </c>
      <c r="L757" s="63" t="str">
        <f t="shared" si="310"/>
        <v/>
      </c>
      <c r="M757" s="96" t="str">
        <f t="shared" si="296"/>
        <v/>
      </c>
      <c r="N757" s="96" t="str">
        <f>IF(A757="","",IF(A757=Expiry,0,EXP(-q*Q757)*_xlfn.NORM.S.DIST(Y757,0)/(sigma*SQRT(Q757))*I757*Mult/100))</f>
        <v/>
      </c>
      <c r="O757" s="96" t="str">
        <f>IF(A757="","",IF(A757=Expiry,0,D757*E757*E757*EXP(-q*Q757)*_xlfn.NORM.S.DIST(Y757,0)*SQRT(Q757)/100))</f>
        <v/>
      </c>
      <c r="P757" s="69" t="str">
        <f>IF(A757="","",IF(A757=Expiry,0,AK757*I757*Mult*((-EXP(-q*Q757)*E757*_xlfn.NORM.S.DIST(Y757,0)*sigma/(2*SQRT(Q757))-r_dom*K*EXP(-r_dom*Q757)*_xlfn.NORM.S.DIST(Z757,1)+q*E757*EXP(-q*Q757)*_xlfn.NORM.S.DIST(Y757,1))/365)))</f>
        <v/>
      </c>
      <c r="Q757" s="83" t="str">
        <f t="shared" si="311"/>
        <v/>
      </c>
      <c r="R757" s="38"/>
      <c r="S757" s="68" t="str">
        <f t="shared" si="312"/>
        <v/>
      </c>
      <c r="T757" s="69" t="str">
        <f t="shared" si="313"/>
        <v/>
      </c>
      <c r="U757" s="70" t="str">
        <f t="shared" si="314"/>
        <v/>
      </c>
      <c r="V757" s="72" t="str">
        <f t="shared" si="315"/>
        <v/>
      </c>
      <c r="W757" s="2" t="str">
        <f t="shared" si="302"/>
        <v/>
      </c>
      <c r="X757" s="2" t="str">
        <f t="shared" si="297"/>
        <v/>
      </c>
      <c r="Y757" s="35" t="str">
        <f t="shared" ca="1" si="316"/>
        <v/>
      </c>
      <c r="Z757" s="36" t="str">
        <f t="shared" ca="1" si="317"/>
        <v/>
      </c>
      <c r="AA757" s="70" t="str">
        <f t="shared" si="318"/>
        <v/>
      </c>
      <c r="AB757" s="2"/>
      <c r="AC757" s="94" t="str">
        <f t="shared" si="298"/>
        <v/>
      </c>
      <c r="AD757" s="95" t="str">
        <f t="shared" si="299"/>
        <v/>
      </c>
      <c r="AE757" s="96" t="str">
        <f t="shared" si="300"/>
        <v/>
      </c>
      <c r="AF757" s="124" t="str">
        <f t="shared" si="301"/>
        <v/>
      </c>
      <c r="AG757" s="2"/>
      <c r="AH757" s="2"/>
      <c r="AI757" s="2"/>
      <c r="AJ757" s="2"/>
      <c r="AK757" s="2"/>
      <c r="AL757" s="2"/>
    </row>
    <row r="758" spans="1:38" x14ac:dyDescent="0.2">
      <c r="A758" s="45"/>
      <c r="B758" s="43" t="str">
        <f t="shared" si="304"/>
        <v/>
      </c>
      <c r="C758" s="96" t="str">
        <f t="shared" si="303"/>
        <v/>
      </c>
      <c r="D758" s="44" t="str">
        <f t="shared" si="305"/>
        <v/>
      </c>
      <c r="E758" s="52"/>
      <c r="F758" s="63" t="str">
        <f t="shared" si="306"/>
        <v/>
      </c>
      <c r="G758" s="56" t="str">
        <f t="shared" si="307"/>
        <v/>
      </c>
      <c r="H758" s="42"/>
      <c r="I758" s="2" t="str">
        <f t="shared" si="308"/>
        <v/>
      </c>
      <c r="J758" s="54" t="str">
        <f t="shared" si="295"/>
        <v/>
      </c>
      <c r="K758" s="55" t="str">
        <f t="shared" si="309"/>
        <v/>
      </c>
      <c r="L758" s="63" t="str">
        <f t="shared" si="310"/>
        <v/>
      </c>
      <c r="M758" s="96" t="str">
        <f t="shared" si="296"/>
        <v/>
      </c>
      <c r="N758" s="96" t="str">
        <f>IF(A758="","",IF(A758=Expiry,0,EXP(-q*Q758)*_xlfn.NORM.S.DIST(Y758,0)/(sigma*SQRT(Q758))*I758*Mult/100))</f>
        <v/>
      </c>
      <c r="O758" s="96" t="str">
        <f>IF(A758="","",IF(A758=Expiry,0,D758*E758*E758*EXP(-q*Q758)*_xlfn.NORM.S.DIST(Y758,0)*SQRT(Q758)/100))</f>
        <v/>
      </c>
      <c r="P758" s="69" t="str">
        <f>IF(A758="","",IF(A758=Expiry,0,AK758*I758*Mult*((-EXP(-q*Q758)*E758*_xlfn.NORM.S.DIST(Y758,0)*sigma/(2*SQRT(Q758))-r_dom*K*EXP(-r_dom*Q758)*_xlfn.NORM.S.DIST(Z758,1)+q*E758*EXP(-q*Q758)*_xlfn.NORM.S.DIST(Y758,1))/365)))</f>
        <v/>
      </c>
      <c r="Q758" s="83" t="str">
        <f t="shared" si="311"/>
        <v/>
      </c>
      <c r="R758" s="38"/>
      <c r="S758" s="68" t="str">
        <f t="shared" si="312"/>
        <v/>
      </c>
      <c r="T758" s="69" t="str">
        <f t="shared" si="313"/>
        <v/>
      </c>
      <c r="U758" s="70" t="str">
        <f t="shared" si="314"/>
        <v/>
      </c>
      <c r="V758" s="72" t="str">
        <f t="shared" si="315"/>
        <v/>
      </c>
      <c r="W758" s="2" t="str">
        <f t="shared" si="302"/>
        <v/>
      </c>
      <c r="X758" s="2" t="str">
        <f t="shared" si="297"/>
        <v/>
      </c>
      <c r="Y758" s="35" t="str">
        <f t="shared" ca="1" si="316"/>
        <v/>
      </c>
      <c r="Z758" s="36" t="str">
        <f t="shared" ca="1" si="317"/>
        <v/>
      </c>
      <c r="AA758" s="70" t="str">
        <f t="shared" si="318"/>
        <v/>
      </c>
      <c r="AB758" s="2"/>
      <c r="AC758" s="94" t="str">
        <f t="shared" si="298"/>
        <v/>
      </c>
      <c r="AD758" s="95" t="str">
        <f t="shared" si="299"/>
        <v/>
      </c>
      <c r="AE758" s="96" t="str">
        <f t="shared" si="300"/>
        <v/>
      </c>
      <c r="AF758" s="124" t="str">
        <f t="shared" si="301"/>
        <v/>
      </c>
      <c r="AG758" s="2"/>
      <c r="AH758" s="2"/>
      <c r="AI758" s="2"/>
      <c r="AJ758" s="2"/>
      <c r="AK758" s="2"/>
      <c r="AL758" s="2"/>
    </row>
    <row r="759" spans="1:38" x14ac:dyDescent="0.2">
      <c r="A759" s="45"/>
      <c r="B759" s="43" t="str">
        <f t="shared" si="304"/>
        <v/>
      </c>
      <c r="C759" s="96" t="str">
        <f t="shared" si="303"/>
        <v/>
      </c>
      <c r="D759" s="44" t="str">
        <f t="shared" si="305"/>
        <v/>
      </c>
      <c r="E759" s="52"/>
      <c r="F759" s="63" t="str">
        <f t="shared" si="306"/>
        <v/>
      </c>
      <c r="G759" s="56" t="str">
        <f t="shared" si="307"/>
        <v/>
      </c>
      <c r="H759" s="42"/>
      <c r="I759" s="2" t="str">
        <f t="shared" si="308"/>
        <v/>
      </c>
      <c r="J759" s="54" t="str">
        <f t="shared" si="295"/>
        <v/>
      </c>
      <c r="K759" s="55" t="str">
        <f t="shared" si="309"/>
        <v/>
      </c>
      <c r="L759" s="63" t="str">
        <f t="shared" si="310"/>
        <v/>
      </c>
      <c r="M759" s="96" t="str">
        <f t="shared" si="296"/>
        <v/>
      </c>
      <c r="N759" s="96" t="str">
        <f>IF(A759="","",IF(A759=Expiry,0,EXP(-q*Q759)*_xlfn.NORM.S.DIST(Y759,0)/(sigma*SQRT(Q759))*I759*Mult/100))</f>
        <v/>
      </c>
      <c r="O759" s="96" t="str">
        <f>IF(A759="","",IF(A759=Expiry,0,D759*E759*E759*EXP(-q*Q759)*_xlfn.NORM.S.DIST(Y759,0)*SQRT(Q759)/100))</f>
        <v/>
      </c>
      <c r="P759" s="69" t="str">
        <f>IF(A759="","",IF(A759=Expiry,0,AK759*I759*Mult*((-EXP(-q*Q759)*E759*_xlfn.NORM.S.DIST(Y759,0)*sigma/(2*SQRT(Q759))-r_dom*K*EXP(-r_dom*Q759)*_xlfn.NORM.S.DIST(Z759,1)+q*E759*EXP(-q*Q759)*_xlfn.NORM.S.DIST(Y759,1))/365)))</f>
        <v/>
      </c>
      <c r="Q759" s="83" t="str">
        <f t="shared" si="311"/>
        <v/>
      </c>
      <c r="R759" s="38"/>
      <c r="S759" s="68" t="str">
        <f t="shared" si="312"/>
        <v/>
      </c>
      <c r="T759" s="69" t="str">
        <f t="shared" si="313"/>
        <v/>
      </c>
      <c r="U759" s="70" t="str">
        <f t="shared" si="314"/>
        <v/>
      </c>
      <c r="V759" s="72" t="str">
        <f t="shared" si="315"/>
        <v/>
      </c>
      <c r="W759" s="2" t="str">
        <f t="shared" si="302"/>
        <v/>
      </c>
      <c r="X759" s="2" t="str">
        <f t="shared" si="297"/>
        <v/>
      </c>
      <c r="Y759" s="35" t="str">
        <f t="shared" ca="1" si="316"/>
        <v/>
      </c>
      <c r="Z759" s="36" t="str">
        <f t="shared" ca="1" si="317"/>
        <v/>
      </c>
      <c r="AA759" s="70" t="str">
        <f t="shared" si="318"/>
        <v/>
      </c>
      <c r="AB759" s="2"/>
      <c r="AC759" s="94" t="str">
        <f t="shared" si="298"/>
        <v/>
      </c>
      <c r="AD759" s="95" t="str">
        <f t="shared" si="299"/>
        <v/>
      </c>
      <c r="AE759" s="96" t="str">
        <f t="shared" si="300"/>
        <v/>
      </c>
      <c r="AF759" s="124" t="str">
        <f t="shared" si="301"/>
        <v/>
      </c>
      <c r="AG759" s="2"/>
      <c r="AH759" s="2"/>
      <c r="AI759" s="2"/>
      <c r="AJ759" s="2"/>
      <c r="AK759" s="2"/>
      <c r="AL759" s="2"/>
    </row>
    <row r="760" spans="1:38" x14ac:dyDescent="0.2">
      <c r="A760" s="45"/>
      <c r="B760" s="43" t="str">
        <f t="shared" si="304"/>
        <v/>
      </c>
      <c r="C760" s="96" t="str">
        <f t="shared" si="303"/>
        <v/>
      </c>
      <c r="D760" s="44" t="str">
        <f t="shared" si="305"/>
        <v/>
      </c>
      <c r="E760" s="52"/>
      <c r="F760" s="63" t="str">
        <f t="shared" si="306"/>
        <v/>
      </c>
      <c r="G760" s="56" t="str">
        <f t="shared" si="307"/>
        <v/>
      </c>
      <c r="H760" s="42"/>
      <c r="I760" s="2" t="str">
        <f t="shared" si="308"/>
        <v/>
      </c>
      <c r="J760" s="54" t="str">
        <f t="shared" si="295"/>
        <v/>
      </c>
      <c r="K760" s="55" t="str">
        <f t="shared" si="309"/>
        <v/>
      </c>
      <c r="L760" s="63" t="str">
        <f t="shared" si="310"/>
        <v/>
      </c>
      <c r="M760" s="96" t="str">
        <f t="shared" si="296"/>
        <v/>
      </c>
      <c r="N760" s="96" t="str">
        <f>IF(A760="","",IF(A760=Expiry,0,EXP(-q*Q760)*_xlfn.NORM.S.DIST(Y760,0)/(sigma*SQRT(Q760))*I760*Mult/100))</f>
        <v/>
      </c>
      <c r="O760" s="96" t="str">
        <f>IF(A760="","",IF(A760=Expiry,0,D760*E760*E760*EXP(-q*Q760)*_xlfn.NORM.S.DIST(Y760,0)*SQRT(Q760)/100))</f>
        <v/>
      </c>
      <c r="P760" s="69" t="str">
        <f>IF(A760="","",IF(A760=Expiry,0,AK760*I760*Mult*((-EXP(-q*Q760)*E760*_xlfn.NORM.S.DIST(Y760,0)*sigma/(2*SQRT(Q760))-r_dom*K*EXP(-r_dom*Q760)*_xlfn.NORM.S.DIST(Z760,1)+q*E760*EXP(-q*Q760)*_xlfn.NORM.S.DIST(Y760,1))/365)))</f>
        <v/>
      </c>
      <c r="Q760" s="83" t="str">
        <f t="shared" si="311"/>
        <v/>
      </c>
      <c r="R760" s="38"/>
      <c r="S760" s="68" t="str">
        <f t="shared" si="312"/>
        <v/>
      </c>
      <c r="T760" s="69" t="str">
        <f t="shared" si="313"/>
        <v/>
      </c>
      <c r="U760" s="70" t="str">
        <f t="shared" si="314"/>
        <v/>
      </c>
      <c r="V760" s="72" t="str">
        <f t="shared" si="315"/>
        <v/>
      </c>
      <c r="W760" s="2" t="str">
        <f t="shared" si="302"/>
        <v/>
      </c>
      <c r="X760" s="2" t="str">
        <f t="shared" si="297"/>
        <v/>
      </c>
      <c r="Y760" s="35" t="str">
        <f t="shared" ca="1" si="316"/>
        <v/>
      </c>
      <c r="Z760" s="36" t="str">
        <f t="shared" ca="1" si="317"/>
        <v/>
      </c>
      <c r="AA760" s="70" t="str">
        <f t="shared" si="318"/>
        <v/>
      </c>
      <c r="AB760" s="2"/>
      <c r="AC760" s="94" t="str">
        <f t="shared" si="298"/>
        <v/>
      </c>
      <c r="AD760" s="95" t="str">
        <f t="shared" si="299"/>
        <v/>
      </c>
      <c r="AE760" s="96" t="str">
        <f t="shared" si="300"/>
        <v/>
      </c>
      <c r="AF760" s="124" t="str">
        <f t="shared" si="301"/>
        <v/>
      </c>
      <c r="AG760" s="2"/>
      <c r="AH760" s="2"/>
      <c r="AI760" s="2"/>
      <c r="AJ760" s="2"/>
      <c r="AK760" s="2"/>
      <c r="AL760" s="2"/>
    </row>
    <row r="761" spans="1:38" x14ac:dyDescent="0.2">
      <c r="A761" s="45"/>
      <c r="B761" s="43" t="str">
        <f t="shared" si="304"/>
        <v/>
      </c>
      <c r="C761" s="96" t="str">
        <f t="shared" si="303"/>
        <v/>
      </c>
      <c r="D761" s="44" t="str">
        <f t="shared" si="305"/>
        <v/>
      </c>
      <c r="E761" s="52"/>
      <c r="F761" s="63" t="str">
        <f t="shared" si="306"/>
        <v/>
      </c>
      <c r="G761" s="56" t="str">
        <f t="shared" si="307"/>
        <v/>
      </c>
      <c r="H761" s="42"/>
      <c r="I761" s="2" t="str">
        <f t="shared" si="308"/>
        <v/>
      </c>
      <c r="J761" s="54" t="str">
        <f t="shared" si="295"/>
        <v/>
      </c>
      <c r="K761" s="55" t="str">
        <f t="shared" si="309"/>
        <v/>
      </c>
      <c r="L761" s="63" t="str">
        <f t="shared" si="310"/>
        <v/>
      </c>
      <c r="M761" s="96" t="str">
        <f t="shared" si="296"/>
        <v/>
      </c>
      <c r="N761" s="96" t="str">
        <f>IF(A761="","",IF(A761=Expiry,0,EXP(-q*Q761)*_xlfn.NORM.S.DIST(Y761,0)/(sigma*SQRT(Q761))*I761*Mult/100))</f>
        <v/>
      </c>
      <c r="O761" s="96" t="str">
        <f>IF(A761="","",IF(A761=Expiry,0,D761*E761*E761*EXP(-q*Q761)*_xlfn.NORM.S.DIST(Y761,0)*SQRT(Q761)/100))</f>
        <v/>
      </c>
      <c r="P761" s="69" t="str">
        <f>IF(A761="","",IF(A761=Expiry,0,AK761*I761*Mult*((-EXP(-q*Q761)*E761*_xlfn.NORM.S.DIST(Y761,0)*sigma/(2*SQRT(Q761))-r_dom*K*EXP(-r_dom*Q761)*_xlfn.NORM.S.DIST(Z761,1)+q*E761*EXP(-q*Q761)*_xlfn.NORM.S.DIST(Y761,1))/365)))</f>
        <v/>
      </c>
      <c r="Q761" s="83" t="str">
        <f t="shared" si="311"/>
        <v/>
      </c>
      <c r="R761" s="38"/>
      <c r="S761" s="68" t="str">
        <f t="shared" si="312"/>
        <v/>
      </c>
      <c r="T761" s="69" t="str">
        <f t="shared" si="313"/>
        <v/>
      </c>
      <c r="U761" s="70" t="str">
        <f t="shared" si="314"/>
        <v/>
      </c>
      <c r="V761" s="72" t="str">
        <f t="shared" si="315"/>
        <v/>
      </c>
      <c r="W761" s="2" t="str">
        <f t="shared" si="302"/>
        <v/>
      </c>
      <c r="X761" s="2" t="str">
        <f t="shared" si="297"/>
        <v/>
      </c>
      <c r="Y761" s="35" t="str">
        <f t="shared" ca="1" si="316"/>
        <v/>
      </c>
      <c r="Z761" s="36" t="str">
        <f t="shared" ca="1" si="317"/>
        <v/>
      </c>
      <c r="AA761" s="70" t="str">
        <f t="shared" si="318"/>
        <v/>
      </c>
      <c r="AB761" s="2"/>
      <c r="AC761" s="94" t="str">
        <f t="shared" si="298"/>
        <v/>
      </c>
      <c r="AD761" s="95" t="str">
        <f t="shared" si="299"/>
        <v/>
      </c>
      <c r="AE761" s="96" t="str">
        <f t="shared" si="300"/>
        <v/>
      </c>
      <c r="AF761" s="124" t="str">
        <f t="shared" si="301"/>
        <v/>
      </c>
      <c r="AG761" s="2"/>
      <c r="AH761" s="2"/>
      <c r="AI761" s="2"/>
      <c r="AJ761" s="2"/>
      <c r="AK761" s="2"/>
      <c r="AL761" s="2"/>
    </row>
    <row r="762" spans="1:38" x14ac:dyDescent="0.2">
      <c r="A762" s="45"/>
      <c r="B762" s="43" t="str">
        <f t="shared" si="304"/>
        <v/>
      </c>
      <c r="C762" s="96" t="str">
        <f t="shared" si="303"/>
        <v/>
      </c>
      <c r="D762" s="44" t="str">
        <f t="shared" si="305"/>
        <v/>
      </c>
      <c r="E762" s="52"/>
      <c r="F762" s="63" t="str">
        <f t="shared" si="306"/>
        <v/>
      </c>
      <c r="G762" s="56" t="str">
        <f t="shared" si="307"/>
        <v/>
      </c>
      <c r="H762" s="42"/>
      <c r="I762" s="2" t="str">
        <f t="shared" si="308"/>
        <v/>
      </c>
      <c r="J762" s="54" t="str">
        <f t="shared" si="295"/>
        <v/>
      </c>
      <c r="K762" s="55" t="str">
        <f t="shared" si="309"/>
        <v/>
      </c>
      <c r="L762" s="63" t="str">
        <f t="shared" si="310"/>
        <v/>
      </c>
      <c r="M762" s="96" t="str">
        <f t="shared" si="296"/>
        <v/>
      </c>
      <c r="N762" s="96" t="str">
        <f>IF(A762="","",IF(A762=Expiry,0,EXP(-q*Q762)*_xlfn.NORM.S.DIST(Y762,0)/(sigma*SQRT(Q762))*I762*Mult/100))</f>
        <v/>
      </c>
      <c r="O762" s="96" t="str">
        <f>IF(A762="","",IF(A762=Expiry,0,D762*E762*E762*EXP(-q*Q762)*_xlfn.NORM.S.DIST(Y762,0)*SQRT(Q762)/100))</f>
        <v/>
      </c>
      <c r="P762" s="69" t="str">
        <f>IF(A762="","",IF(A762=Expiry,0,AK762*I762*Mult*((-EXP(-q*Q762)*E762*_xlfn.NORM.S.DIST(Y762,0)*sigma/(2*SQRT(Q762))-r_dom*K*EXP(-r_dom*Q762)*_xlfn.NORM.S.DIST(Z762,1)+q*E762*EXP(-q*Q762)*_xlfn.NORM.S.DIST(Y762,1))/365)))</f>
        <v/>
      </c>
      <c r="Q762" s="83" t="str">
        <f t="shared" si="311"/>
        <v/>
      </c>
      <c r="R762" s="38"/>
      <c r="S762" s="68" t="str">
        <f t="shared" si="312"/>
        <v/>
      </c>
      <c r="T762" s="69" t="str">
        <f t="shared" si="313"/>
        <v/>
      </c>
      <c r="U762" s="70" t="str">
        <f t="shared" si="314"/>
        <v/>
      </c>
      <c r="V762" s="72" t="str">
        <f t="shared" si="315"/>
        <v/>
      </c>
      <c r="W762" s="2" t="str">
        <f t="shared" si="302"/>
        <v/>
      </c>
      <c r="X762" s="2" t="str">
        <f t="shared" si="297"/>
        <v/>
      </c>
      <c r="Y762" s="35" t="str">
        <f t="shared" ca="1" si="316"/>
        <v/>
      </c>
      <c r="Z762" s="36" t="str">
        <f t="shared" ca="1" si="317"/>
        <v/>
      </c>
      <c r="AA762" s="70" t="str">
        <f t="shared" si="318"/>
        <v/>
      </c>
      <c r="AB762" s="2"/>
      <c r="AC762" s="94" t="str">
        <f t="shared" si="298"/>
        <v/>
      </c>
      <c r="AD762" s="95" t="str">
        <f t="shared" si="299"/>
        <v/>
      </c>
      <c r="AE762" s="96" t="str">
        <f t="shared" si="300"/>
        <v/>
      </c>
      <c r="AF762" s="124" t="str">
        <f t="shared" si="301"/>
        <v/>
      </c>
      <c r="AG762" s="2"/>
      <c r="AH762" s="2"/>
      <c r="AI762" s="2"/>
      <c r="AJ762" s="2"/>
      <c r="AK762" s="2"/>
      <c r="AL762" s="2"/>
    </row>
    <row r="763" spans="1:38" x14ac:dyDescent="0.2">
      <c r="A763" s="45"/>
      <c r="B763" s="43" t="str">
        <f t="shared" si="304"/>
        <v/>
      </c>
      <c r="C763" s="96" t="str">
        <f t="shared" si="303"/>
        <v/>
      </c>
      <c r="D763" s="44" t="str">
        <f t="shared" si="305"/>
        <v/>
      </c>
      <c r="E763" s="52"/>
      <c r="F763" s="63" t="str">
        <f t="shared" si="306"/>
        <v/>
      </c>
      <c r="G763" s="56" t="str">
        <f t="shared" si="307"/>
        <v/>
      </c>
      <c r="H763" s="42"/>
      <c r="I763" s="2" t="str">
        <f t="shared" si="308"/>
        <v/>
      </c>
      <c r="J763" s="54" t="str">
        <f t="shared" si="295"/>
        <v/>
      </c>
      <c r="K763" s="55" t="str">
        <f t="shared" si="309"/>
        <v/>
      </c>
      <c r="L763" s="63" t="str">
        <f t="shared" si="310"/>
        <v/>
      </c>
      <c r="M763" s="96" t="str">
        <f t="shared" si="296"/>
        <v/>
      </c>
      <c r="N763" s="96" t="str">
        <f>IF(A763="","",IF(A763=Expiry,0,EXP(-q*Q763)*_xlfn.NORM.S.DIST(Y763,0)/(sigma*SQRT(Q763))*I763*Mult/100))</f>
        <v/>
      </c>
      <c r="O763" s="96" t="str">
        <f>IF(A763="","",IF(A763=Expiry,0,D763*E763*E763*EXP(-q*Q763)*_xlfn.NORM.S.DIST(Y763,0)*SQRT(Q763)/100))</f>
        <v/>
      </c>
      <c r="P763" s="69" t="str">
        <f>IF(A763="","",IF(A763=Expiry,0,AK763*I763*Mult*((-EXP(-q*Q763)*E763*_xlfn.NORM.S.DIST(Y763,0)*sigma/(2*SQRT(Q763))-r_dom*K*EXP(-r_dom*Q763)*_xlfn.NORM.S.DIST(Z763,1)+q*E763*EXP(-q*Q763)*_xlfn.NORM.S.DIST(Y763,1))/365)))</f>
        <v/>
      </c>
      <c r="Q763" s="83" t="str">
        <f t="shared" si="311"/>
        <v/>
      </c>
      <c r="R763" s="38"/>
      <c r="S763" s="68" t="str">
        <f t="shared" si="312"/>
        <v/>
      </c>
      <c r="T763" s="69" t="str">
        <f t="shared" si="313"/>
        <v/>
      </c>
      <c r="U763" s="70" t="str">
        <f t="shared" si="314"/>
        <v/>
      </c>
      <c r="V763" s="72" t="str">
        <f t="shared" si="315"/>
        <v/>
      </c>
      <c r="W763" s="2" t="str">
        <f t="shared" si="302"/>
        <v/>
      </c>
      <c r="X763" s="2" t="str">
        <f t="shared" si="297"/>
        <v/>
      </c>
      <c r="Y763" s="35" t="str">
        <f t="shared" ca="1" si="316"/>
        <v/>
      </c>
      <c r="Z763" s="36" t="str">
        <f t="shared" ca="1" si="317"/>
        <v/>
      </c>
      <c r="AA763" s="70" t="str">
        <f t="shared" si="318"/>
        <v/>
      </c>
      <c r="AB763" s="2"/>
      <c r="AC763" s="94" t="str">
        <f t="shared" si="298"/>
        <v/>
      </c>
      <c r="AD763" s="95" t="str">
        <f t="shared" si="299"/>
        <v/>
      </c>
      <c r="AE763" s="96" t="str">
        <f t="shared" si="300"/>
        <v/>
      </c>
      <c r="AF763" s="124" t="str">
        <f t="shared" si="301"/>
        <v/>
      </c>
      <c r="AG763" s="2"/>
      <c r="AH763" s="2"/>
      <c r="AI763" s="2"/>
      <c r="AJ763" s="2"/>
      <c r="AK763" s="2"/>
      <c r="AL763" s="2"/>
    </row>
    <row r="764" spans="1:38" x14ac:dyDescent="0.2">
      <c r="A764" s="45"/>
      <c r="B764" s="43" t="str">
        <f t="shared" si="304"/>
        <v/>
      </c>
      <c r="C764" s="96" t="str">
        <f t="shared" si="303"/>
        <v/>
      </c>
      <c r="D764" s="44" t="str">
        <f t="shared" si="305"/>
        <v/>
      </c>
      <c r="E764" s="52"/>
      <c r="F764" s="63" t="str">
        <f t="shared" si="306"/>
        <v/>
      </c>
      <c r="G764" s="56" t="str">
        <f t="shared" si="307"/>
        <v/>
      </c>
      <c r="H764" s="42"/>
      <c r="I764" s="2" t="str">
        <f t="shared" si="308"/>
        <v/>
      </c>
      <c r="J764" s="54" t="str">
        <f t="shared" si="295"/>
        <v/>
      </c>
      <c r="K764" s="55" t="str">
        <f t="shared" si="309"/>
        <v/>
      </c>
      <c r="L764" s="63" t="str">
        <f t="shared" si="310"/>
        <v/>
      </c>
      <c r="M764" s="96" t="str">
        <f t="shared" si="296"/>
        <v/>
      </c>
      <c r="N764" s="96" t="str">
        <f>IF(A764="","",IF(A764=Expiry,0,EXP(-q*Q764)*_xlfn.NORM.S.DIST(Y764,0)/(sigma*SQRT(Q764))*I764*Mult/100))</f>
        <v/>
      </c>
      <c r="O764" s="96" t="str">
        <f>IF(A764="","",IF(A764=Expiry,0,D764*E764*E764*EXP(-q*Q764)*_xlfn.NORM.S.DIST(Y764,0)*SQRT(Q764)/100))</f>
        <v/>
      </c>
      <c r="P764" s="69" t="str">
        <f>IF(A764="","",IF(A764=Expiry,0,AK764*I764*Mult*((-EXP(-q*Q764)*E764*_xlfn.NORM.S.DIST(Y764,0)*sigma/(2*SQRT(Q764))-r_dom*K*EXP(-r_dom*Q764)*_xlfn.NORM.S.DIST(Z764,1)+q*E764*EXP(-q*Q764)*_xlfn.NORM.S.DIST(Y764,1))/365)))</f>
        <v/>
      </c>
      <c r="Q764" s="83" t="str">
        <f t="shared" si="311"/>
        <v/>
      </c>
      <c r="R764" s="38"/>
      <c r="S764" s="68" t="str">
        <f t="shared" si="312"/>
        <v/>
      </c>
      <c r="T764" s="69" t="str">
        <f t="shared" si="313"/>
        <v/>
      </c>
      <c r="U764" s="70" t="str">
        <f t="shared" si="314"/>
        <v/>
      </c>
      <c r="V764" s="72" t="str">
        <f t="shared" si="315"/>
        <v/>
      </c>
      <c r="W764" s="2" t="str">
        <f t="shared" si="302"/>
        <v/>
      </c>
      <c r="X764" s="2" t="str">
        <f t="shared" si="297"/>
        <v/>
      </c>
      <c r="Y764" s="35" t="str">
        <f t="shared" ca="1" si="316"/>
        <v/>
      </c>
      <c r="Z764" s="36" t="str">
        <f t="shared" ca="1" si="317"/>
        <v/>
      </c>
      <c r="AA764" s="70" t="str">
        <f t="shared" si="318"/>
        <v/>
      </c>
      <c r="AB764" s="2"/>
      <c r="AC764" s="94" t="str">
        <f t="shared" si="298"/>
        <v/>
      </c>
      <c r="AD764" s="95" t="str">
        <f t="shared" si="299"/>
        <v/>
      </c>
      <c r="AE764" s="96" t="str">
        <f t="shared" si="300"/>
        <v/>
      </c>
      <c r="AF764" s="124" t="str">
        <f t="shared" si="301"/>
        <v/>
      </c>
      <c r="AG764" s="2"/>
      <c r="AH764" s="2"/>
      <c r="AI764" s="2"/>
      <c r="AJ764" s="2"/>
      <c r="AK764" s="2"/>
      <c r="AL764" s="2"/>
    </row>
    <row r="765" spans="1:38" x14ac:dyDescent="0.2">
      <c r="A765" s="45"/>
      <c r="B765" s="43" t="str">
        <f t="shared" si="304"/>
        <v/>
      </c>
      <c r="C765" s="96" t="str">
        <f t="shared" si="303"/>
        <v/>
      </c>
      <c r="D765" s="44" t="str">
        <f t="shared" si="305"/>
        <v/>
      </c>
      <c r="E765" s="52"/>
      <c r="F765" s="63" t="str">
        <f t="shared" si="306"/>
        <v/>
      </c>
      <c r="G765" s="56" t="str">
        <f t="shared" si="307"/>
        <v/>
      </c>
      <c r="H765" s="42"/>
      <c r="I765" s="2" t="str">
        <f t="shared" si="308"/>
        <v/>
      </c>
      <c r="J765" s="54" t="str">
        <f t="shared" si="295"/>
        <v/>
      </c>
      <c r="K765" s="55" t="str">
        <f t="shared" si="309"/>
        <v/>
      </c>
      <c r="L765" s="63" t="str">
        <f t="shared" si="310"/>
        <v/>
      </c>
      <c r="M765" s="96" t="str">
        <f t="shared" si="296"/>
        <v/>
      </c>
      <c r="N765" s="96" t="str">
        <f>IF(A765="","",IF(A765=Expiry,0,EXP(-q*Q765)*_xlfn.NORM.S.DIST(Y765,0)/(sigma*SQRT(Q765))*I765*Mult/100))</f>
        <v/>
      </c>
      <c r="O765" s="96" t="str">
        <f>IF(A765="","",IF(A765=Expiry,0,D765*E765*E765*EXP(-q*Q765)*_xlfn.NORM.S.DIST(Y765,0)*SQRT(Q765)/100))</f>
        <v/>
      </c>
      <c r="P765" s="69" t="str">
        <f>IF(A765="","",IF(A765=Expiry,0,AK765*I765*Mult*((-EXP(-q*Q765)*E765*_xlfn.NORM.S.DIST(Y765,0)*sigma/(2*SQRT(Q765))-r_dom*K*EXP(-r_dom*Q765)*_xlfn.NORM.S.DIST(Z765,1)+q*E765*EXP(-q*Q765)*_xlfn.NORM.S.DIST(Y765,1))/365)))</f>
        <v/>
      </c>
      <c r="Q765" s="83" t="str">
        <f t="shared" si="311"/>
        <v/>
      </c>
      <c r="R765" s="38"/>
      <c r="S765" s="68" t="str">
        <f t="shared" si="312"/>
        <v/>
      </c>
      <c r="T765" s="69" t="str">
        <f t="shared" si="313"/>
        <v/>
      </c>
      <c r="U765" s="70" t="str">
        <f t="shared" si="314"/>
        <v/>
      </c>
      <c r="V765" s="72" t="str">
        <f t="shared" si="315"/>
        <v/>
      </c>
      <c r="W765" s="2" t="str">
        <f t="shared" si="302"/>
        <v/>
      </c>
      <c r="X765" s="2" t="str">
        <f t="shared" si="297"/>
        <v/>
      </c>
      <c r="Y765" s="35" t="str">
        <f t="shared" ca="1" si="316"/>
        <v/>
      </c>
      <c r="Z765" s="36" t="str">
        <f t="shared" ca="1" si="317"/>
        <v/>
      </c>
      <c r="AA765" s="70" t="str">
        <f t="shared" si="318"/>
        <v/>
      </c>
      <c r="AB765" s="2"/>
      <c r="AC765" s="94" t="str">
        <f t="shared" si="298"/>
        <v/>
      </c>
      <c r="AD765" s="95" t="str">
        <f t="shared" si="299"/>
        <v/>
      </c>
      <c r="AE765" s="96" t="str">
        <f t="shared" si="300"/>
        <v/>
      </c>
      <c r="AF765" s="124" t="str">
        <f t="shared" si="301"/>
        <v/>
      </c>
      <c r="AG765" s="2"/>
      <c r="AH765" s="2"/>
      <c r="AI765" s="2"/>
      <c r="AJ765" s="2"/>
      <c r="AK765" s="2"/>
      <c r="AL765" s="2"/>
    </row>
    <row r="766" spans="1:38" x14ac:dyDescent="0.2">
      <c r="A766" s="45"/>
      <c r="B766" s="43" t="str">
        <f t="shared" si="304"/>
        <v/>
      </c>
      <c r="C766" s="96" t="str">
        <f t="shared" si="303"/>
        <v/>
      </c>
      <c r="D766" s="44" t="str">
        <f t="shared" si="305"/>
        <v/>
      </c>
      <c r="E766" s="52"/>
      <c r="F766" s="63" t="str">
        <f t="shared" si="306"/>
        <v/>
      </c>
      <c r="G766" s="56" t="str">
        <f t="shared" si="307"/>
        <v/>
      </c>
      <c r="H766" s="42"/>
      <c r="I766" s="2" t="str">
        <f t="shared" si="308"/>
        <v/>
      </c>
      <c r="J766" s="54" t="str">
        <f t="shared" si="295"/>
        <v/>
      </c>
      <c r="K766" s="55" t="str">
        <f t="shared" si="309"/>
        <v/>
      </c>
      <c r="L766" s="63" t="str">
        <f t="shared" si="310"/>
        <v/>
      </c>
      <c r="M766" s="96" t="str">
        <f t="shared" si="296"/>
        <v/>
      </c>
      <c r="N766" s="96" t="str">
        <f>IF(A766="","",IF(A766=Expiry,0,EXP(-q*Q766)*_xlfn.NORM.S.DIST(Y766,0)/(sigma*SQRT(Q766))*I766*Mult/100))</f>
        <v/>
      </c>
      <c r="O766" s="96" t="str">
        <f>IF(A766="","",IF(A766=Expiry,0,D766*E766*E766*EXP(-q*Q766)*_xlfn.NORM.S.DIST(Y766,0)*SQRT(Q766)/100))</f>
        <v/>
      </c>
      <c r="P766" s="69" t="str">
        <f>IF(A766="","",IF(A766=Expiry,0,AK766*I766*Mult*((-EXP(-q*Q766)*E766*_xlfn.NORM.S.DIST(Y766,0)*sigma/(2*SQRT(Q766))-r_dom*K*EXP(-r_dom*Q766)*_xlfn.NORM.S.DIST(Z766,1)+q*E766*EXP(-q*Q766)*_xlfn.NORM.S.DIST(Y766,1))/365)))</f>
        <v/>
      </c>
      <c r="Q766" s="83" t="str">
        <f t="shared" si="311"/>
        <v/>
      </c>
      <c r="R766" s="38"/>
      <c r="S766" s="68" t="str">
        <f t="shared" si="312"/>
        <v/>
      </c>
      <c r="T766" s="69" t="str">
        <f t="shared" si="313"/>
        <v/>
      </c>
      <c r="U766" s="70" t="str">
        <f t="shared" si="314"/>
        <v/>
      </c>
      <c r="V766" s="72" t="str">
        <f t="shared" si="315"/>
        <v/>
      </c>
      <c r="W766" s="2" t="str">
        <f t="shared" si="302"/>
        <v/>
      </c>
      <c r="X766" s="2" t="str">
        <f t="shared" si="297"/>
        <v/>
      </c>
      <c r="Y766" s="35" t="str">
        <f t="shared" ca="1" si="316"/>
        <v/>
      </c>
      <c r="Z766" s="36" t="str">
        <f t="shared" ca="1" si="317"/>
        <v/>
      </c>
      <c r="AA766" s="70" t="str">
        <f t="shared" si="318"/>
        <v/>
      </c>
      <c r="AB766" s="2"/>
      <c r="AC766" s="94" t="str">
        <f t="shared" si="298"/>
        <v/>
      </c>
      <c r="AD766" s="95" t="str">
        <f t="shared" si="299"/>
        <v/>
      </c>
      <c r="AE766" s="96" t="str">
        <f t="shared" si="300"/>
        <v/>
      </c>
      <c r="AF766" s="124" t="str">
        <f t="shared" si="301"/>
        <v/>
      </c>
      <c r="AG766" s="2"/>
      <c r="AH766" s="2"/>
      <c r="AI766" s="2"/>
      <c r="AJ766" s="2"/>
      <c r="AK766" s="2"/>
      <c r="AL766" s="2"/>
    </row>
    <row r="767" spans="1:38" x14ac:dyDescent="0.2">
      <c r="A767" s="45"/>
      <c r="B767" s="43" t="str">
        <f t="shared" si="304"/>
        <v/>
      </c>
      <c r="C767" s="96" t="str">
        <f t="shared" si="303"/>
        <v/>
      </c>
      <c r="D767" s="44" t="str">
        <f t="shared" si="305"/>
        <v/>
      </c>
      <c r="E767" s="52"/>
      <c r="F767" s="63" t="str">
        <f t="shared" si="306"/>
        <v/>
      </c>
      <c r="G767" s="56" t="str">
        <f t="shared" si="307"/>
        <v/>
      </c>
      <c r="H767" s="42"/>
      <c r="I767" s="2" t="str">
        <f t="shared" si="308"/>
        <v/>
      </c>
      <c r="J767" s="54" t="str">
        <f t="shared" si="295"/>
        <v/>
      </c>
      <c r="K767" s="55" t="str">
        <f t="shared" si="309"/>
        <v/>
      </c>
      <c r="L767" s="63" t="str">
        <f t="shared" si="310"/>
        <v/>
      </c>
      <c r="M767" s="96" t="str">
        <f t="shared" si="296"/>
        <v/>
      </c>
      <c r="N767" s="96" t="str">
        <f>IF(A767="","",IF(A767=Expiry,0,EXP(-q*Q767)*_xlfn.NORM.S.DIST(Y767,0)/(sigma*SQRT(Q767))*I767*Mult/100))</f>
        <v/>
      </c>
      <c r="O767" s="96" t="str">
        <f>IF(A767="","",IF(A767=Expiry,0,D767*E767*E767*EXP(-q*Q767)*_xlfn.NORM.S.DIST(Y767,0)*SQRT(Q767)/100))</f>
        <v/>
      </c>
      <c r="P767" s="69" t="str">
        <f>IF(A767="","",IF(A767=Expiry,0,AK767*I767*Mult*((-EXP(-q*Q767)*E767*_xlfn.NORM.S.DIST(Y767,0)*sigma/(2*SQRT(Q767))-r_dom*K*EXP(-r_dom*Q767)*_xlfn.NORM.S.DIST(Z767,1)+q*E767*EXP(-q*Q767)*_xlfn.NORM.S.DIST(Y767,1))/365)))</f>
        <v/>
      </c>
      <c r="Q767" s="83" t="str">
        <f t="shared" si="311"/>
        <v/>
      </c>
      <c r="R767" s="38"/>
      <c r="S767" s="68" t="str">
        <f t="shared" si="312"/>
        <v/>
      </c>
      <c r="T767" s="69" t="str">
        <f t="shared" si="313"/>
        <v/>
      </c>
      <c r="U767" s="70" t="str">
        <f t="shared" si="314"/>
        <v/>
      </c>
      <c r="V767" s="72" t="str">
        <f t="shared" si="315"/>
        <v/>
      </c>
      <c r="W767" s="2" t="str">
        <f t="shared" si="302"/>
        <v/>
      </c>
      <c r="X767" s="2" t="str">
        <f t="shared" si="297"/>
        <v/>
      </c>
      <c r="Y767" s="35" t="str">
        <f t="shared" ca="1" si="316"/>
        <v/>
      </c>
      <c r="Z767" s="36" t="str">
        <f t="shared" ca="1" si="317"/>
        <v/>
      </c>
      <c r="AA767" s="70" t="str">
        <f t="shared" si="318"/>
        <v/>
      </c>
      <c r="AB767" s="2"/>
      <c r="AC767" s="94" t="str">
        <f t="shared" si="298"/>
        <v/>
      </c>
      <c r="AD767" s="95" t="str">
        <f t="shared" si="299"/>
        <v/>
      </c>
      <c r="AE767" s="96" t="str">
        <f t="shared" si="300"/>
        <v/>
      </c>
      <c r="AF767" s="124" t="str">
        <f t="shared" si="301"/>
        <v/>
      </c>
      <c r="AG767" s="2"/>
      <c r="AH767" s="2"/>
      <c r="AI767" s="2"/>
      <c r="AJ767" s="2"/>
      <c r="AK767" s="2"/>
      <c r="AL767" s="2"/>
    </row>
    <row r="768" spans="1:38" x14ac:dyDescent="0.2">
      <c r="A768" s="45"/>
      <c r="B768" s="43" t="str">
        <f t="shared" si="304"/>
        <v/>
      </c>
      <c r="C768" s="96" t="str">
        <f t="shared" si="303"/>
        <v/>
      </c>
      <c r="D768" s="44" t="str">
        <f t="shared" si="305"/>
        <v/>
      </c>
      <c r="E768" s="52"/>
      <c r="F768" s="63" t="str">
        <f t="shared" si="306"/>
        <v/>
      </c>
      <c r="G768" s="56" t="str">
        <f t="shared" si="307"/>
        <v/>
      </c>
      <c r="H768" s="42"/>
      <c r="I768" s="2" t="str">
        <f t="shared" si="308"/>
        <v/>
      </c>
      <c r="J768" s="54" t="str">
        <f t="shared" si="295"/>
        <v/>
      </c>
      <c r="K768" s="55" t="str">
        <f t="shared" si="309"/>
        <v/>
      </c>
      <c r="L768" s="63" t="str">
        <f t="shared" si="310"/>
        <v/>
      </c>
      <c r="M768" s="96" t="str">
        <f t="shared" si="296"/>
        <v/>
      </c>
      <c r="N768" s="96" t="str">
        <f>IF(A768="","",IF(A768=Expiry,0,EXP(-q*Q768)*_xlfn.NORM.S.DIST(Y768,0)/(sigma*SQRT(Q768))*I768*Mult/100))</f>
        <v/>
      </c>
      <c r="O768" s="96" t="str">
        <f>IF(A768="","",IF(A768=Expiry,0,D768*E768*E768*EXP(-q*Q768)*_xlfn.NORM.S.DIST(Y768,0)*SQRT(Q768)/100))</f>
        <v/>
      </c>
      <c r="P768" s="69" t="str">
        <f>IF(A768="","",IF(A768=Expiry,0,AK768*I768*Mult*((-EXP(-q*Q768)*E768*_xlfn.NORM.S.DIST(Y768,0)*sigma/(2*SQRT(Q768))-r_dom*K*EXP(-r_dom*Q768)*_xlfn.NORM.S.DIST(Z768,1)+q*E768*EXP(-q*Q768)*_xlfn.NORM.S.DIST(Y768,1))/365)))</f>
        <v/>
      </c>
      <c r="Q768" s="83" t="str">
        <f t="shared" si="311"/>
        <v/>
      </c>
      <c r="R768" s="38"/>
      <c r="S768" s="68" t="str">
        <f t="shared" si="312"/>
        <v/>
      </c>
      <c r="T768" s="69" t="str">
        <f t="shared" si="313"/>
        <v/>
      </c>
      <c r="U768" s="70" t="str">
        <f t="shared" si="314"/>
        <v/>
      </c>
      <c r="V768" s="72" t="str">
        <f t="shared" si="315"/>
        <v/>
      </c>
      <c r="W768" s="2" t="str">
        <f t="shared" si="302"/>
        <v/>
      </c>
      <c r="X768" s="2" t="str">
        <f t="shared" si="297"/>
        <v/>
      </c>
      <c r="Y768" s="35" t="str">
        <f t="shared" ca="1" si="316"/>
        <v/>
      </c>
      <c r="Z768" s="36" t="str">
        <f t="shared" ca="1" si="317"/>
        <v/>
      </c>
      <c r="AA768" s="70" t="str">
        <f t="shared" si="318"/>
        <v/>
      </c>
      <c r="AB768" s="2"/>
      <c r="AC768" s="94" t="str">
        <f t="shared" si="298"/>
        <v/>
      </c>
      <c r="AD768" s="95" t="str">
        <f t="shared" si="299"/>
        <v/>
      </c>
      <c r="AE768" s="96" t="str">
        <f t="shared" si="300"/>
        <v/>
      </c>
      <c r="AF768" s="124" t="str">
        <f t="shared" si="301"/>
        <v/>
      </c>
      <c r="AG768" s="2"/>
      <c r="AH768" s="2"/>
      <c r="AI768" s="2"/>
      <c r="AJ768" s="2"/>
      <c r="AK768" s="2"/>
      <c r="AL768" s="2"/>
    </row>
    <row r="769" spans="1:38" x14ac:dyDescent="0.2">
      <c r="A769" s="45"/>
      <c r="B769" s="43" t="str">
        <f t="shared" si="304"/>
        <v/>
      </c>
      <c r="C769" s="96" t="str">
        <f t="shared" si="303"/>
        <v/>
      </c>
      <c r="D769" s="44" t="str">
        <f t="shared" si="305"/>
        <v/>
      </c>
      <c r="E769" s="52"/>
      <c r="F769" s="63" t="str">
        <f t="shared" si="306"/>
        <v/>
      </c>
      <c r="G769" s="56" t="str">
        <f t="shared" si="307"/>
        <v/>
      </c>
      <c r="H769" s="42"/>
      <c r="I769" s="2" t="str">
        <f t="shared" si="308"/>
        <v/>
      </c>
      <c r="J769" s="54" t="str">
        <f t="shared" si="295"/>
        <v/>
      </c>
      <c r="K769" s="55" t="str">
        <f t="shared" si="309"/>
        <v/>
      </c>
      <c r="L769" s="63" t="str">
        <f t="shared" si="310"/>
        <v/>
      </c>
      <c r="M769" s="96" t="str">
        <f t="shared" si="296"/>
        <v/>
      </c>
      <c r="N769" s="96" t="str">
        <f>IF(A769="","",IF(A769=Expiry,0,EXP(-q*Q769)*_xlfn.NORM.S.DIST(Y769,0)/(sigma*SQRT(Q769))*I769*Mult/100))</f>
        <v/>
      </c>
      <c r="O769" s="96" t="str">
        <f>IF(A769="","",IF(A769=Expiry,0,D769*E769*E769*EXP(-q*Q769)*_xlfn.NORM.S.DIST(Y769,0)*SQRT(Q769)/100))</f>
        <v/>
      </c>
      <c r="P769" s="69" t="str">
        <f>IF(A769="","",IF(A769=Expiry,0,AK769*I769*Mult*((-EXP(-q*Q769)*E769*_xlfn.NORM.S.DIST(Y769,0)*sigma/(2*SQRT(Q769))-r_dom*K*EXP(-r_dom*Q769)*_xlfn.NORM.S.DIST(Z769,1)+q*E769*EXP(-q*Q769)*_xlfn.NORM.S.DIST(Y769,1))/365)))</f>
        <v/>
      </c>
      <c r="Q769" s="83" t="str">
        <f t="shared" si="311"/>
        <v/>
      </c>
      <c r="R769" s="38"/>
      <c r="S769" s="68" t="str">
        <f t="shared" si="312"/>
        <v/>
      </c>
      <c r="T769" s="69" t="str">
        <f t="shared" si="313"/>
        <v/>
      </c>
      <c r="U769" s="70" t="str">
        <f t="shared" si="314"/>
        <v/>
      </c>
      <c r="V769" s="72" t="str">
        <f t="shared" si="315"/>
        <v/>
      </c>
      <c r="W769" s="2" t="str">
        <f t="shared" si="302"/>
        <v/>
      </c>
      <c r="X769" s="2" t="str">
        <f t="shared" si="297"/>
        <v/>
      </c>
      <c r="Y769" s="35" t="str">
        <f t="shared" ca="1" si="316"/>
        <v/>
      </c>
      <c r="Z769" s="36" t="str">
        <f t="shared" ca="1" si="317"/>
        <v/>
      </c>
      <c r="AA769" s="70" t="str">
        <f t="shared" si="318"/>
        <v/>
      </c>
      <c r="AB769" s="2"/>
      <c r="AC769" s="94" t="str">
        <f t="shared" si="298"/>
        <v/>
      </c>
      <c r="AD769" s="95" t="str">
        <f t="shared" si="299"/>
        <v/>
      </c>
      <c r="AE769" s="96" t="str">
        <f t="shared" si="300"/>
        <v/>
      </c>
      <c r="AF769" s="124" t="str">
        <f t="shared" si="301"/>
        <v/>
      </c>
      <c r="AG769" s="2"/>
      <c r="AH769" s="2"/>
      <c r="AI769" s="2"/>
      <c r="AJ769" s="2"/>
      <c r="AK769" s="2"/>
      <c r="AL769" s="2"/>
    </row>
    <row r="770" spans="1:38" x14ac:dyDescent="0.2">
      <c r="A770" s="45"/>
      <c r="B770" s="43" t="str">
        <f t="shared" si="304"/>
        <v/>
      </c>
      <c r="C770" s="96" t="str">
        <f t="shared" si="303"/>
        <v/>
      </c>
      <c r="D770" s="44" t="str">
        <f t="shared" si="305"/>
        <v/>
      </c>
      <c r="E770" s="52"/>
      <c r="F770" s="63" t="str">
        <f t="shared" si="306"/>
        <v/>
      </c>
      <c r="G770" s="56" t="str">
        <f t="shared" si="307"/>
        <v/>
      </c>
      <c r="H770" s="42"/>
      <c r="I770" s="2" t="str">
        <f t="shared" si="308"/>
        <v/>
      </c>
      <c r="J770" s="54" t="str">
        <f t="shared" si="295"/>
        <v/>
      </c>
      <c r="K770" s="55" t="str">
        <f t="shared" si="309"/>
        <v/>
      </c>
      <c r="L770" s="63" t="str">
        <f t="shared" si="310"/>
        <v/>
      </c>
      <c r="M770" s="96" t="str">
        <f t="shared" si="296"/>
        <v/>
      </c>
      <c r="N770" s="96" t="str">
        <f>IF(A770="","",IF(A770=Expiry,0,EXP(-q*Q770)*_xlfn.NORM.S.DIST(Y770,0)/(sigma*SQRT(Q770))*I770*Mult/100))</f>
        <v/>
      </c>
      <c r="O770" s="96" t="str">
        <f>IF(A770="","",IF(A770=Expiry,0,D770*E770*E770*EXP(-q*Q770)*_xlfn.NORM.S.DIST(Y770,0)*SQRT(Q770)/100))</f>
        <v/>
      </c>
      <c r="P770" s="69" t="str">
        <f>IF(A770="","",IF(A770=Expiry,0,AK770*I770*Mult*((-EXP(-q*Q770)*E770*_xlfn.NORM.S.DIST(Y770,0)*sigma/(2*SQRT(Q770))-r_dom*K*EXP(-r_dom*Q770)*_xlfn.NORM.S.DIST(Z770,1)+q*E770*EXP(-q*Q770)*_xlfn.NORM.S.DIST(Y770,1))/365)))</f>
        <v/>
      </c>
      <c r="Q770" s="83" t="str">
        <f t="shared" si="311"/>
        <v/>
      </c>
      <c r="R770" s="38"/>
      <c r="S770" s="68" t="str">
        <f t="shared" si="312"/>
        <v/>
      </c>
      <c r="T770" s="69" t="str">
        <f t="shared" si="313"/>
        <v/>
      </c>
      <c r="U770" s="70" t="str">
        <f t="shared" si="314"/>
        <v/>
      </c>
      <c r="V770" s="72" t="str">
        <f t="shared" si="315"/>
        <v/>
      </c>
      <c r="W770" s="2" t="str">
        <f t="shared" si="302"/>
        <v/>
      </c>
      <c r="X770" s="2" t="str">
        <f t="shared" si="297"/>
        <v/>
      </c>
      <c r="Y770" s="35" t="str">
        <f t="shared" ca="1" si="316"/>
        <v/>
      </c>
      <c r="Z770" s="36" t="str">
        <f t="shared" ca="1" si="317"/>
        <v/>
      </c>
      <c r="AA770" s="70" t="str">
        <f t="shared" si="318"/>
        <v/>
      </c>
      <c r="AB770" s="2"/>
      <c r="AC770" s="94" t="str">
        <f t="shared" si="298"/>
        <v/>
      </c>
      <c r="AD770" s="95" t="str">
        <f t="shared" si="299"/>
        <v/>
      </c>
      <c r="AE770" s="96" t="str">
        <f t="shared" si="300"/>
        <v/>
      </c>
      <c r="AF770" s="124" t="str">
        <f t="shared" si="301"/>
        <v/>
      </c>
      <c r="AG770" s="2"/>
      <c r="AH770" s="2"/>
      <c r="AI770" s="2"/>
      <c r="AJ770" s="2"/>
      <c r="AK770" s="2"/>
      <c r="AL770" s="2"/>
    </row>
    <row r="771" spans="1:38" x14ac:dyDescent="0.2">
      <c r="A771" s="45"/>
      <c r="B771" s="43" t="str">
        <f t="shared" si="304"/>
        <v/>
      </c>
      <c r="C771" s="96" t="str">
        <f t="shared" si="303"/>
        <v/>
      </c>
      <c r="D771" s="44" t="str">
        <f t="shared" si="305"/>
        <v/>
      </c>
      <c r="E771" s="52"/>
      <c r="F771" s="63" t="str">
        <f t="shared" si="306"/>
        <v/>
      </c>
      <c r="G771" s="56" t="str">
        <f t="shared" si="307"/>
        <v/>
      </c>
      <c r="H771" s="42"/>
      <c r="I771" s="2" t="str">
        <f t="shared" si="308"/>
        <v/>
      </c>
      <c r="J771" s="54" t="str">
        <f t="shared" si="295"/>
        <v/>
      </c>
      <c r="K771" s="55" t="str">
        <f t="shared" si="309"/>
        <v/>
      </c>
      <c r="L771" s="63" t="str">
        <f t="shared" si="310"/>
        <v/>
      </c>
      <c r="M771" s="96" t="str">
        <f t="shared" si="296"/>
        <v/>
      </c>
      <c r="N771" s="96" t="str">
        <f>IF(A771="","",IF(A771=Expiry,0,EXP(-q*Q771)*_xlfn.NORM.S.DIST(Y771,0)/(sigma*SQRT(Q771))*I771*Mult/100))</f>
        <v/>
      </c>
      <c r="O771" s="96" t="str">
        <f>IF(A771="","",IF(A771=Expiry,0,D771*E771*E771*EXP(-q*Q771)*_xlfn.NORM.S.DIST(Y771,0)*SQRT(Q771)/100))</f>
        <v/>
      </c>
      <c r="P771" s="69" t="str">
        <f>IF(A771="","",IF(A771=Expiry,0,AK771*I771*Mult*((-EXP(-q*Q771)*E771*_xlfn.NORM.S.DIST(Y771,0)*sigma/(2*SQRT(Q771))-r_dom*K*EXP(-r_dom*Q771)*_xlfn.NORM.S.DIST(Z771,1)+q*E771*EXP(-q*Q771)*_xlfn.NORM.S.DIST(Y771,1))/365)))</f>
        <v/>
      </c>
      <c r="Q771" s="83" t="str">
        <f t="shared" si="311"/>
        <v/>
      </c>
      <c r="R771" s="38"/>
      <c r="S771" s="68" t="str">
        <f t="shared" si="312"/>
        <v/>
      </c>
      <c r="T771" s="69" t="str">
        <f t="shared" si="313"/>
        <v/>
      </c>
      <c r="U771" s="70" t="str">
        <f t="shared" si="314"/>
        <v/>
      </c>
      <c r="V771" s="72" t="str">
        <f t="shared" si="315"/>
        <v/>
      </c>
      <c r="W771" s="2" t="str">
        <f t="shared" si="302"/>
        <v/>
      </c>
      <c r="X771" s="2" t="str">
        <f t="shared" si="297"/>
        <v/>
      </c>
      <c r="Y771" s="35" t="str">
        <f t="shared" ca="1" si="316"/>
        <v/>
      </c>
      <c r="Z771" s="36" t="str">
        <f t="shared" ca="1" si="317"/>
        <v/>
      </c>
      <c r="AA771" s="70" t="str">
        <f t="shared" si="318"/>
        <v/>
      </c>
      <c r="AB771" s="2"/>
      <c r="AC771" s="94" t="str">
        <f t="shared" si="298"/>
        <v/>
      </c>
      <c r="AD771" s="95" t="str">
        <f t="shared" si="299"/>
        <v/>
      </c>
      <c r="AE771" s="96" t="str">
        <f t="shared" si="300"/>
        <v/>
      </c>
      <c r="AF771" s="124" t="str">
        <f t="shared" si="301"/>
        <v/>
      </c>
      <c r="AG771" s="2"/>
      <c r="AH771" s="2"/>
      <c r="AI771" s="2"/>
      <c r="AJ771" s="2"/>
      <c r="AK771" s="2"/>
      <c r="AL771" s="2"/>
    </row>
    <row r="772" spans="1:38" x14ac:dyDescent="0.2">
      <c r="A772" s="45"/>
      <c r="B772" s="43" t="str">
        <f t="shared" si="304"/>
        <v/>
      </c>
      <c r="C772" s="96" t="str">
        <f t="shared" si="303"/>
        <v/>
      </c>
      <c r="D772" s="44" t="str">
        <f t="shared" si="305"/>
        <v/>
      </c>
      <c r="E772" s="52"/>
      <c r="F772" s="63" t="str">
        <f t="shared" si="306"/>
        <v/>
      </c>
      <c r="G772" s="56" t="str">
        <f t="shared" si="307"/>
        <v/>
      </c>
      <c r="H772" s="42"/>
      <c r="I772" s="2" t="str">
        <f t="shared" si="308"/>
        <v/>
      </c>
      <c r="J772" s="54" t="str">
        <f t="shared" si="295"/>
        <v/>
      </c>
      <c r="K772" s="55" t="str">
        <f t="shared" si="309"/>
        <v/>
      </c>
      <c r="L772" s="63" t="str">
        <f t="shared" si="310"/>
        <v/>
      </c>
      <c r="M772" s="96" t="str">
        <f t="shared" si="296"/>
        <v/>
      </c>
      <c r="N772" s="96" t="str">
        <f>IF(A772="","",IF(A772=Expiry,0,EXP(-q*Q772)*_xlfn.NORM.S.DIST(Y772,0)/(sigma*SQRT(Q772))*I772*Mult/100))</f>
        <v/>
      </c>
      <c r="O772" s="96" t="str">
        <f>IF(A772="","",IF(A772=Expiry,0,D772*E772*E772*EXP(-q*Q772)*_xlfn.NORM.S.DIST(Y772,0)*SQRT(Q772)/100))</f>
        <v/>
      </c>
      <c r="P772" s="69" t="str">
        <f>IF(A772="","",IF(A772=Expiry,0,AK772*I772*Mult*((-EXP(-q*Q772)*E772*_xlfn.NORM.S.DIST(Y772,0)*sigma/(2*SQRT(Q772))-r_dom*K*EXP(-r_dom*Q772)*_xlfn.NORM.S.DIST(Z772,1)+q*E772*EXP(-q*Q772)*_xlfn.NORM.S.DIST(Y772,1))/365)))</f>
        <v/>
      </c>
      <c r="Q772" s="83" t="str">
        <f t="shared" si="311"/>
        <v/>
      </c>
      <c r="R772" s="38"/>
      <c r="S772" s="68" t="str">
        <f t="shared" si="312"/>
        <v/>
      </c>
      <c r="T772" s="69" t="str">
        <f t="shared" si="313"/>
        <v/>
      </c>
      <c r="U772" s="70" t="str">
        <f t="shared" si="314"/>
        <v/>
      </c>
      <c r="V772" s="72" t="str">
        <f t="shared" si="315"/>
        <v/>
      </c>
      <c r="W772" s="2" t="str">
        <f t="shared" si="302"/>
        <v/>
      </c>
      <c r="X772" s="2" t="str">
        <f t="shared" si="297"/>
        <v/>
      </c>
      <c r="Y772" s="35" t="str">
        <f t="shared" ca="1" si="316"/>
        <v/>
      </c>
      <c r="Z772" s="36" t="str">
        <f t="shared" ca="1" si="317"/>
        <v/>
      </c>
      <c r="AA772" s="70" t="str">
        <f t="shared" si="318"/>
        <v/>
      </c>
      <c r="AB772" s="2"/>
      <c r="AC772" s="94" t="str">
        <f t="shared" si="298"/>
        <v/>
      </c>
      <c r="AD772" s="95" t="str">
        <f t="shared" si="299"/>
        <v/>
      </c>
      <c r="AE772" s="96" t="str">
        <f t="shared" si="300"/>
        <v/>
      </c>
      <c r="AF772" s="124" t="str">
        <f t="shared" si="301"/>
        <v/>
      </c>
      <c r="AG772" s="2"/>
      <c r="AH772" s="2"/>
      <c r="AI772" s="2"/>
      <c r="AJ772" s="2"/>
      <c r="AK772" s="2"/>
      <c r="AL772" s="2"/>
    </row>
    <row r="773" spans="1:38" x14ac:dyDescent="0.2">
      <c r="A773" s="45"/>
      <c r="B773" s="43" t="str">
        <f t="shared" si="304"/>
        <v/>
      </c>
      <c r="C773" s="96" t="str">
        <f t="shared" si="303"/>
        <v/>
      </c>
      <c r="D773" s="44" t="str">
        <f t="shared" si="305"/>
        <v/>
      </c>
      <c r="E773" s="52"/>
      <c r="F773" s="63" t="str">
        <f t="shared" si="306"/>
        <v/>
      </c>
      <c r="G773" s="56" t="str">
        <f t="shared" si="307"/>
        <v/>
      </c>
      <c r="H773" s="42"/>
      <c r="I773" s="2" t="str">
        <f t="shared" si="308"/>
        <v/>
      </c>
      <c r="J773" s="54" t="str">
        <f t="shared" si="295"/>
        <v/>
      </c>
      <c r="K773" s="55" t="str">
        <f t="shared" si="309"/>
        <v/>
      </c>
      <c r="L773" s="63" t="str">
        <f t="shared" si="310"/>
        <v/>
      </c>
      <c r="M773" s="96" t="str">
        <f t="shared" si="296"/>
        <v/>
      </c>
      <c r="N773" s="96" t="str">
        <f>IF(A773="","",IF(A773=Expiry,0,EXP(-q*Q773)*_xlfn.NORM.S.DIST(Y773,0)/(sigma*SQRT(Q773))*I773*Mult/100))</f>
        <v/>
      </c>
      <c r="O773" s="96" t="str">
        <f>IF(A773="","",IF(A773=Expiry,0,D773*E773*E773*EXP(-q*Q773)*_xlfn.NORM.S.DIST(Y773,0)*SQRT(Q773)/100))</f>
        <v/>
      </c>
      <c r="P773" s="69" t="str">
        <f>IF(A773="","",IF(A773=Expiry,0,AK773*I773*Mult*((-EXP(-q*Q773)*E773*_xlfn.NORM.S.DIST(Y773,0)*sigma/(2*SQRT(Q773))-r_dom*K*EXP(-r_dom*Q773)*_xlfn.NORM.S.DIST(Z773,1)+q*E773*EXP(-q*Q773)*_xlfn.NORM.S.DIST(Y773,1))/365)))</f>
        <v/>
      </c>
      <c r="Q773" s="83" t="str">
        <f t="shared" si="311"/>
        <v/>
      </c>
      <c r="R773" s="38"/>
      <c r="S773" s="68" t="str">
        <f t="shared" si="312"/>
        <v/>
      </c>
      <c r="T773" s="69" t="str">
        <f t="shared" si="313"/>
        <v/>
      </c>
      <c r="U773" s="70" t="str">
        <f t="shared" si="314"/>
        <v/>
      </c>
      <c r="V773" s="72" t="str">
        <f t="shared" si="315"/>
        <v/>
      </c>
      <c r="W773" s="2" t="str">
        <f t="shared" si="302"/>
        <v/>
      </c>
      <c r="X773" s="2" t="str">
        <f t="shared" si="297"/>
        <v/>
      </c>
      <c r="Y773" s="35" t="str">
        <f t="shared" ca="1" si="316"/>
        <v/>
      </c>
      <c r="Z773" s="36" t="str">
        <f t="shared" ca="1" si="317"/>
        <v/>
      </c>
      <c r="AA773" s="70" t="str">
        <f t="shared" si="318"/>
        <v/>
      </c>
      <c r="AB773" s="2"/>
      <c r="AC773" s="94" t="str">
        <f t="shared" si="298"/>
        <v/>
      </c>
      <c r="AD773" s="95" t="str">
        <f t="shared" si="299"/>
        <v/>
      </c>
      <c r="AE773" s="96" t="str">
        <f t="shared" si="300"/>
        <v/>
      </c>
      <c r="AF773" s="124" t="str">
        <f t="shared" si="301"/>
        <v/>
      </c>
      <c r="AG773" s="2"/>
      <c r="AH773" s="2"/>
      <c r="AI773" s="2"/>
      <c r="AJ773" s="2"/>
      <c r="AK773" s="2"/>
      <c r="AL773" s="2"/>
    </row>
    <row r="774" spans="1:38" x14ac:dyDescent="0.2">
      <c r="A774" s="45"/>
      <c r="B774" s="43" t="str">
        <f t="shared" si="304"/>
        <v/>
      </c>
      <c r="C774" s="96" t="str">
        <f t="shared" si="303"/>
        <v/>
      </c>
      <c r="D774" s="44" t="str">
        <f t="shared" si="305"/>
        <v/>
      </c>
      <c r="E774" s="52"/>
      <c r="F774" s="63" t="str">
        <f t="shared" si="306"/>
        <v/>
      </c>
      <c r="G774" s="56" t="str">
        <f t="shared" si="307"/>
        <v/>
      </c>
      <c r="H774" s="42"/>
      <c r="I774" s="2" t="str">
        <f t="shared" si="308"/>
        <v/>
      </c>
      <c r="J774" s="54" t="str">
        <f t="shared" si="295"/>
        <v/>
      </c>
      <c r="K774" s="55" t="str">
        <f t="shared" si="309"/>
        <v/>
      </c>
      <c r="L774" s="63" t="str">
        <f t="shared" si="310"/>
        <v/>
      </c>
      <c r="M774" s="96" t="str">
        <f t="shared" si="296"/>
        <v/>
      </c>
      <c r="N774" s="96" t="str">
        <f>IF(A774="","",IF(A774=Expiry,0,EXP(-q*Q774)*_xlfn.NORM.S.DIST(Y774,0)/(sigma*SQRT(Q774))*I774*Mult/100))</f>
        <v/>
      </c>
      <c r="O774" s="96" t="str">
        <f>IF(A774="","",IF(A774=Expiry,0,D774*E774*E774*EXP(-q*Q774)*_xlfn.NORM.S.DIST(Y774,0)*SQRT(Q774)/100))</f>
        <v/>
      </c>
      <c r="P774" s="69" t="str">
        <f>IF(A774="","",IF(A774=Expiry,0,AK774*I774*Mult*((-EXP(-q*Q774)*E774*_xlfn.NORM.S.DIST(Y774,0)*sigma/(2*SQRT(Q774))-r_dom*K*EXP(-r_dom*Q774)*_xlfn.NORM.S.DIST(Z774,1)+q*E774*EXP(-q*Q774)*_xlfn.NORM.S.DIST(Y774,1))/365)))</f>
        <v/>
      </c>
      <c r="Q774" s="83" t="str">
        <f t="shared" si="311"/>
        <v/>
      </c>
      <c r="R774" s="38"/>
      <c r="S774" s="68" t="str">
        <f t="shared" si="312"/>
        <v/>
      </c>
      <c r="T774" s="69" t="str">
        <f t="shared" si="313"/>
        <v/>
      </c>
      <c r="U774" s="70" t="str">
        <f t="shared" si="314"/>
        <v/>
      </c>
      <c r="V774" s="72" t="str">
        <f t="shared" si="315"/>
        <v/>
      </c>
      <c r="W774" s="2" t="str">
        <f t="shared" si="302"/>
        <v/>
      </c>
      <c r="X774" s="2" t="str">
        <f t="shared" si="297"/>
        <v/>
      </c>
      <c r="Y774" s="35" t="str">
        <f t="shared" ca="1" si="316"/>
        <v/>
      </c>
      <c r="Z774" s="36" t="str">
        <f t="shared" ca="1" si="317"/>
        <v/>
      </c>
      <c r="AA774" s="70" t="str">
        <f t="shared" si="318"/>
        <v/>
      </c>
      <c r="AB774" s="2"/>
      <c r="AC774" s="94" t="str">
        <f t="shared" si="298"/>
        <v/>
      </c>
      <c r="AD774" s="95" t="str">
        <f t="shared" si="299"/>
        <v/>
      </c>
      <c r="AE774" s="96" t="str">
        <f t="shared" si="300"/>
        <v/>
      </c>
      <c r="AF774" s="124" t="str">
        <f t="shared" si="301"/>
        <v/>
      </c>
      <c r="AG774" s="2"/>
      <c r="AH774" s="2"/>
      <c r="AI774" s="2"/>
      <c r="AJ774" s="2"/>
      <c r="AK774" s="2"/>
      <c r="AL774" s="2"/>
    </row>
    <row r="775" spans="1:38" x14ac:dyDescent="0.2">
      <c r="A775" s="45"/>
      <c r="B775" s="43" t="str">
        <f t="shared" si="304"/>
        <v/>
      </c>
      <c r="C775" s="96" t="str">
        <f t="shared" si="303"/>
        <v/>
      </c>
      <c r="D775" s="44" t="str">
        <f t="shared" si="305"/>
        <v/>
      </c>
      <c r="E775" s="52"/>
      <c r="F775" s="63" t="str">
        <f t="shared" si="306"/>
        <v/>
      </c>
      <c r="G775" s="56" t="str">
        <f t="shared" si="307"/>
        <v/>
      </c>
      <c r="H775" s="42"/>
      <c r="I775" s="2" t="str">
        <f t="shared" si="308"/>
        <v/>
      </c>
      <c r="J775" s="54" t="str">
        <f t="shared" si="295"/>
        <v/>
      </c>
      <c r="K775" s="55" t="str">
        <f t="shared" si="309"/>
        <v/>
      </c>
      <c r="L775" s="63" t="str">
        <f t="shared" si="310"/>
        <v/>
      </c>
      <c r="M775" s="96" t="str">
        <f t="shared" si="296"/>
        <v/>
      </c>
      <c r="N775" s="96" t="str">
        <f>IF(A775="","",IF(A775=Expiry,0,EXP(-q*Q775)*_xlfn.NORM.S.DIST(Y775,0)/(sigma*SQRT(Q775))*I775*Mult/100))</f>
        <v/>
      </c>
      <c r="O775" s="96" t="str">
        <f>IF(A775="","",IF(A775=Expiry,0,D775*E775*E775*EXP(-q*Q775)*_xlfn.NORM.S.DIST(Y775,0)*SQRT(Q775)/100))</f>
        <v/>
      </c>
      <c r="P775" s="69" t="str">
        <f>IF(A775="","",IF(A775=Expiry,0,AK775*I775*Mult*((-EXP(-q*Q775)*E775*_xlfn.NORM.S.DIST(Y775,0)*sigma/(2*SQRT(Q775))-r_dom*K*EXP(-r_dom*Q775)*_xlfn.NORM.S.DIST(Z775,1)+q*E775*EXP(-q*Q775)*_xlfn.NORM.S.DIST(Y775,1))/365)))</f>
        <v/>
      </c>
      <c r="Q775" s="83" t="str">
        <f t="shared" si="311"/>
        <v/>
      </c>
      <c r="R775" s="38"/>
      <c r="S775" s="68" t="str">
        <f t="shared" si="312"/>
        <v/>
      </c>
      <c r="T775" s="69" t="str">
        <f t="shared" si="313"/>
        <v/>
      </c>
      <c r="U775" s="70" t="str">
        <f t="shared" si="314"/>
        <v/>
      </c>
      <c r="V775" s="72" t="str">
        <f t="shared" si="315"/>
        <v/>
      </c>
      <c r="W775" s="2" t="str">
        <f t="shared" si="302"/>
        <v/>
      </c>
      <c r="X775" s="2" t="str">
        <f t="shared" si="297"/>
        <v/>
      </c>
      <c r="Y775" s="35" t="str">
        <f t="shared" ca="1" si="316"/>
        <v/>
      </c>
      <c r="Z775" s="36" t="str">
        <f t="shared" ca="1" si="317"/>
        <v/>
      </c>
      <c r="AA775" s="70" t="str">
        <f t="shared" si="318"/>
        <v/>
      </c>
      <c r="AB775" s="2"/>
      <c r="AC775" s="94" t="str">
        <f t="shared" si="298"/>
        <v/>
      </c>
      <c r="AD775" s="95" t="str">
        <f t="shared" si="299"/>
        <v/>
      </c>
      <c r="AE775" s="96" t="str">
        <f t="shared" si="300"/>
        <v/>
      </c>
      <c r="AF775" s="124" t="str">
        <f t="shared" si="301"/>
        <v/>
      </c>
      <c r="AG775" s="2"/>
      <c r="AH775" s="2"/>
      <c r="AI775" s="2"/>
      <c r="AJ775" s="2"/>
      <c r="AK775" s="2"/>
      <c r="AL775" s="2"/>
    </row>
    <row r="776" spans="1:38" x14ac:dyDescent="0.2">
      <c r="A776" s="45"/>
      <c r="B776" s="43" t="str">
        <f t="shared" si="304"/>
        <v/>
      </c>
      <c r="C776" s="96" t="str">
        <f t="shared" si="303"/>
        <v/>
      </c>
      <c r="D776" s="44" t="str">
        <f t="shared" si="305"/>
        <v/>
      </c>
      <c r="E776" s="52"/>
      <c r="F776" s="63" t="str">
        <f t="shared" si="306"/>
        <v/>
      </c>
      <c r="G776" s="56" t="str">
        <f t="shared" si="307"/>
        <v/>
      </c>
      <c r="H776" s="42"/>
      <c r="I776" s="2" t="str">
        <f t="shared" si="308"/>
        <v/>
      </c>
      <c r="J776" s="54" t="str">
        <f t="shared" si="295"/>
        <v/>
      </c>
      <c r="K776" s="55" t="str">
        <f t="shared" si="309"/>
        <v/>
      </c>
      <c r="L776" s="63" t="str">
        <f t="shared" si="310"/>
        <v/>
      </c>
      <c r="M776" s="96" t="str">
        <f t="shared" si="296"/>
        <v/>
      </c>
      <c r="N776" s="96" t="str">
        <f>IF(A776="","",IF(A776=Expiry,0,EXP(-q*Q776)*_xlfn.NORM.S.DIST(Y776,0)/(sigma*SQRT(Q776))*I776*Mult/100))</f>
        <v/>
      </c>
      <c r="O776" s="96" t="str">
        <f>IF(A776="","",IF(A776=Expiry,0,D776*E776*E776*EXP(-q*Q776)*_xlfn.NORM.S.DIST(Y776,0)*SQRT(Q776)/100))</f>
        <v/>
      </c>
      <c r="P776" s="69" t="str">
        <f>IF(A776="","",IF(A776=Expiry,0,AK776*I776*Mult*((-EXP(-q*Q776)*E776*_xlfn.NORM.S.DIST(Y776,0)*sigma/(2*SQRT(Q776))-r_dom*K*EXP(-r_dom*Q776)*_xlfn.NORM.S.DIST(Z776,1)+q*E776*EXP(-q*Q776)*_xlfn.NORM.S.DIST(Y776,1))/365)))</f>
        <v/>
      </c>
      <c r="Q776" s="83" t="str">
        <f t="shared" si="311"/>
        <v/>
      </c>
      <c r="R776" s="38"/>
      <c r="S776" s="68" t="str">
        <f t="shared" si="312"/>
        <v/>
      </c>
      <c r="T776" s="69" t="str">
        <f t="shared" si="313"/>
        <v/>
      </c>
      <c r="U776" s="70" t="str">
        <f t="shared" si="314"/>
        <v/>
      </c>
      <c r="V776" s="72" t="str">
        <f t="shared" si="315"/>
        <v/>
      </c>
      <c r="W776" s="2" t="str">
        <f t="shared" si="302"/>
        <v/>
      </c>
      <c r="X776" s="2" t="str">
        <f t="shared" si="297"/>
        <v/>
      </c>
      <c r="Y776" s="35" t="str">
        <f t="shared" ca="1" si="316"/>
        <v/>
      </c>
      <c r="Z776" s="36" t="str">
        <f t="shared" ca="1" si="317"/>
        <v/>
      </c>
      <c r="AA776" s="70" t="str">
        <f t="shared" si="318"/>
        <v/>
      </c>
      <c r="AB776" s="2"/>
      <c r="AC776" s="94" t="str">
        <f t="shared" si="298"/>
        <v/>
      </c>
      <c r="AD776" s="95" t="str">
        <f t="shared" si="299"/>
        <v/>
      </c>
      <c r="AE776" s="96" t="str">
        <f t="shared" si="300"/>
        <v/>
      </c>
      <c r="AF776" s="124" t="str">
        <f t="shared" si="301"/>
        <v/>
      </c>
      <c r="AG776" s="2"/>
      <c r="AH776" s="2"/>
      <c r="AI776" s="2"/>
      <c r="AJ776" s="2"/>
      <c r="AK776" s="2"/>
      <c r="AL776" s="2"/>
    </row>
    <row r="777" spans="1:38" x14ac:dyDescent="0.2">
      <c r="A777" s="45"/>
      <c r="B777" s="43" t="str">
        <f t="shared" si="304"/>
        <v/>
      </c>
      <c r="C777" s="96" t="str">
        <f t="shared" si="303"/>
        <v/>
      </c>
      <c r="D777" s="44" t="str">
        <f t="shared" si="305"/>
        <v/>
      </c>
      <c r="E777" s="52"/>
      <c r="F777" s="63" t="str">
        <f t="shared" si="306"/>
        <v/>
      </c>
      <c r="G777" s="56" t="str">
        <f t="shared" si="307"/>
        <v/>
      </c>
      <c r="H777" s="42"/>
      <c r="I777" s="2" t="str">
        <f t="shared" si="308"/>
        <v/>
      </c>
      <c r="J777" s="54" t="str">
        <f t="shared" si="295"/>
        <v/>
      </c>
      <c r="K777" s="55" t="str">
        <f t="shared" si="309"/>
        <v/>
      </c>
      <c r="L777" s="63" t="str">
        <f t="shared" si="310"/>
        <v/>
      </c>
      <c r="M777" s="96" t="str">
        <f t="shared" si="296"/>
        <v/>
      </c>
      <c r="N777" s="96" t="str">
        <f>IF(A777="","",IF(A777=Expiry,0,EXP(-q*Q777)*_xlfn.NORM.S.DIST(Y777,0)/(sigma*SQRT(Q777))*I777*Mult/100))</f>
        <v/>
      </c>
      <c r="O777" s="96" t="str">
        <f>IF(A777="","",IF(A777=Expiry,0,D777*E777*E777*EXP(-q*Q777)*_xlfn.NORM.S.DIST(Y777,0)*SQRT(Q777)/100))</f>
        <v/>
      </c>
      <c r="P777" s="69" t="str">
        <f>IF(A777="","",IF(A777=Expiry,0,AK777*I777*Mult*((-EXP(-q*Q777)*E777*_xlfn.NORM.S.DIST(Y777,0)*sigma/(2*SQRT(Q777))-r_dom*K*EXP(-r_dom*Q777)*_xlfn.NORM.S.DIST(Z777,1)+q*E777*EXP(-q*Q777)*_xlfn.NORM.S.DIST(Y777,1))/365)))</f>
        <v/>
      </c>
      <c r="Q777" s="83" t="str">
        <f t="shared" si="311"/>
        <v/>
      </c>
      <c r="R777" s="38"/>
      <c r="S777" s="68" t="str">
        <f t="shared" si="312"/>
        <v/>
      </c>
      <c r="T777" s="69" t="str">
        <f t="shared" si="313"/>
        <v/>
      </c>
      <c r="U777" s="70" t="str">
        <f t="shared" si="314"/>
        <v/>
      </c>
      <c r="V777" s="72" t="str">
        <f t="shared" si="315"/>
        <v/>
      </c>
      <c r="W777" s="2" t="str">
        <f t="shared" si="302"/>
        <v/>
      </c>
      <c r="X777" s="2" t="str">
        <f t="shared" si="297"/>
        <v/>
      </c>
      <c r="Y777" s="35" t="str">
        <f t="shared" ca="1" si="316"/>
        <v/>
      </c>
      <c r="Z777" s="36" t="str">
        <f t="shared" ca="1" si="317"/>
        <v/>
      </c>
      <c r="AA777" s="70" t="str">
        <f t="shared" si="318"/>
        <v/>
      </c>
      <c r="AB777" s="2"/>
      <c r="AC777" s="94" t="str">
        <f t="shared" si="298"/>
        <v/>
      </c>
      <c r="AD777" s="95" t="str">
        <f t="shared" si="299"/>
        <v/>
      </c>
      <c r="AE777" s="96" t="str">
        <f t="shared" si="300"/>
        <v/>
      </c>
      <c r="AF777" s="124" t="str">
        <f t="shared" si="301"/>
        <v/>
      </c>
      <c r="AG777" s="2"/>
      <c r="AH777" s="2"/>
      <c r="AI777" s="2"/>
      <c r="AJ777" s="2"/>
      <c r="AK777" s="2"/>
      <c r="AL777" s="2"/>
    </row>
    <row r="778" spans="1:38" x14ac:dyDescent="0.2">
      <c r="A778" s="45"/>
      <c r="B778" s="43" t="str">
        <f t="shared" si="304"/>
        <v/>
      </c>
      <c r="C778" s="96" t="str">
        <f t="shared" si="303"/>
        <v/>
      </c>
      <c r="D778" s="44" t="str">
        <f t="shared" si="305"/>
        <v/>
      </c>
      <c r="E778" s="52"/>
      <c r="F778" s="63" t="str">
        <f t="shared" si="306"/>
        <v/>
      </c>
      <c r="G778" s="56" t="str">
        <f t="shared" si="307"/>
        <v/>
      </c>
      <c r="H778" s="42"/>
      <c r="I778" s="2" t="str">
        <f t="shared" si="308"/>
        <v/>
      </c>
      <c r="J778" s="54" t="str">
        <f t="shared" si="295"/>
        <v/>
      </c>
      <c r="K778" s="55" t="str">
        <f t="shared" si="309"/>
        <v/>
      </c>
      <c r="L778" s="63" t="str">
        <f t="shared" si="310"/>
        <v/>
      </c>
      <c r="M778" s="96" t="str">
        <f t="shared" si="296"/>
        <v/>
      </c>
      <c r="N778" s="96" t="str">
        <f>IF(A778="","",IF(A778=Expiry,0,EXP(-q*Q778)*_xlfn.NORM.S.DIST(Y778,0)/(sigma*SQRT(Q778))*I778*Mult/100))</f>
        <v/>
      </c>
      <c r="O778" s="96" t="str">
        <f>IF(A778="","",IF(A778=Expiry,0,D778*E778*E778*EXP(-q*Q778)*_xlfn.NORM.S.DIST(Y778,0)*SQRT(Q778)/100))</f>
        <v/>
      </c>
      <c r="P778" s="69" t="str">
        <f>IF(A778="","",IF(A778=Expiry,0,AK778*I778*Mult*((-EXP(-q*Q778)*E778*_xlfn.NORM.S.DIST(Y778,0)*sigma/(2*SQRT(Q778))-r_dom*K*EXP(-r_dom*Q778)*_xlfn.NORM.S.DIST(Z778,1)+q*E778*EXP(-q*Q778)*_xlfn.NORM.S.DIST(Y778,1))/365)))</f>
        <v/>
      </c>
      <c r="Q778" s="83" t="str">
        <f t="shared" si="311"/>
        <v/>
      </c>
      <c r="R778" s="38"/>
      <c r="S778" s="68" t="str">
        <f t="shared" si="312"/>
        <v/>
      </c>
      <c r="T778" s="69" t="str">
        <f t="shared" si="313"/>
        <v/>
      </c>
      <c r="U778" s="70" t="str">
        <f t="shared" si="314"/>
        <v/>
      </c>
      <c r="V778" s="72" t="str">
        <f t="shared" si="315"/>
        <v/>
      </c>
      <c r="W778" s="2" t="str">
        <f t="shared" si="302"/>
        <v/>
      </c>
      <c r="X778" s="2" t="str">
        <f t="shared" si="297"/>
        <v/>
      </c>
      <c r="Y778" s="35" t="str">
        <f t="shared" ca="1" si="316"/>
        <v/>
      </c>
      <c r="Z778" s="36" t="str">
        <f t="shared" ca="1" si="317"/>
        <v/>
      </c>
      <c r="AA778" s="70" t="str">
        <f t="shared" si="318"/>
        <v/>
      </c>
      <c r="AB778" s="2"/>
      <c r="AC778" s="94" t="str">
        <f t="shared" si="298"/>
        <v/>
      </c>
      <c r="AD778" s="95" t="str">
        <f t="shared" si="299"/>
        <v/>
      </c>
      <c r="AE778" s="96" t="str">
        <f t="shared" si="300"/>
        <v/>
      </c>
      <c r="AF778" s="124" t="str">
        <f t="shared" si="301"/>
        <v/>
      </c>
      <c r="AG778" s="2"/>
      <c r="AH778" s="2"/>
      <c r="AI778" s="2"/>
      <c r="AJ778" s="2"/>
      <c r="AK778" s="2"/>
      <c r="AL778" s="2"/>
    </row>
    <row r="779" spans="1:38" x14ac:dyDescent="0.2">
      <c r="A779" s="45"/>
      <c r="B779" s="43" t="str">
        <f t="shared" si="304"/>
        <v/>
      </c>
      <c r="C779" s="96" t="str">
        <f t="shared" si="303"/>
        <v/>
      </c>
      <c r="D779" s="44" t="str">
        <f t="shared" si="305"/>
        <v/>
      </c>
      <c r="E779" s="52"/>
      <c r="F779" s="63" t="str">
        <f t="shared" si="306"/>
        <v/>
      </c>
      <c r="G779" s="56" t="str">
        <f t="shared" si="307"/>
        <v/>
      </c>
      <c r="H779" s="42"/>
      <c r="I779" s="2" t="str">
        <f t="shared" si="308"/>
        <v/>
      </c>
      <c r="J779" s="54" t="str">
        <f t="shared" si="295"/>
        <v/>
      </c>
      <c r="K779" s="55" t="str">
        <f t="shared" si="309"/>
        <v/>
      </c>
      <c r="L779" s="63" t="str">
        <f t="shared" si="310"/>
        <v/>
      </c>
      <c r="M779" s="96" t="str">
        <f t="shared" si="296"/>
        <v/>
      </c>
      <c r="N779" s="96" t="str">
        <f>IF(A779="","",IF(A779=Expiry,0,EXP(-q*Q779)*_xlfn.NORM.S.DIST(Y779,0)/(sigma*SQRT(Q779))*I779*Mult/100))</f>
        <v/>
      </c>
      <c r="O779" s="96" t="str">
        <f>IF(A779="","",IF(A779=Expiry,0,D779*E779*E779*EXP(-q*Q779)*_xlfn.NORM.S.DIST(Y779,0)*SQRT(Q779)/100))</f>
        <v/>
      </c>
      <c r="P779" s="69" t="str">
        <f>IF(A779="","",IF(A779=Expiry,0,AK779*I779*Mult*((-EXP(-q*Q779)*E779*_xlfn.NORM.S.DIST(Y779,0)*sigma/(2*SQRT(Q779))-r_dom*K*EXP(-r_dom*Q779)*_xlfn.NORM.S.DIST(Z779,1)+q*E779*EXP(-q*Q779)*_xlfn.NORM.S.DIST(Y779,1))/365)))</f>
        <v/>
      </c>
      <c r="Q779" s="83" t="str">
        <f t="shared" si="311"/>
        <v/>
      </c>
      <c r="R779" s="38"/>
      <c r="S779" s="68" t="str">
        <f t="shared" si="312"/>
        <v/>
      </c>
      <c r="T779" s="69" t="str">
        <f t="shared" si="313"/>
        <v/>
      </c>
      <c r="U779" s="70" t="str">
        <f t="shared" si="314"/>
        <v/>
      </c>
      <c r="V779" s="72" t="str">
        <f t="shared" si="315"/>
        <v/>
      </c>
      <c r="W779" s="2" t="str">
        <f t="shared" si="302"/>
        <v/>
      </c>
      <c r="X779" s="2" t="str">
        <f t="shared" si="297"/>
        <v/>
      </c>
      <c r="Y779" s="35" t="str">
        <f t="shared" ca="1" si="316"/>
        <v/>
      </c>
      <c r="Z779" s="36" t="str">
        <f t="shared" ca="1" si="317"/>
        <v/>
      </c>
      <c r="AA779" s="70" t="str">
        <f t="shared" si="318"/>
        <v/>
      </c>
      <c r="AB779" s="2"/>
      <c r="AC779" s="94" t="str">
        <f t="shared" si="298"/>
        <v/>
      </c>
      <c r="AD779" s="95" t="str">
        <f t="shared" si="299"/>
        <v/>
      </c>
      <c r="AE779" s="96" t="str">
        <f t="shared" si="300"/>
        <v/>
      </c>
      <c r="AF779" s="124" t="str">
        <f t="shared" si="301"/>
        <v/>
      </c>
      <c r="AG779" s="2"/>
      <c r="AH779" s="2"/>
      <c r="AI779" s="2"/>
      <c r="AJ779" s="2"/>
      <c r="AK779" s="2"/>
      <c r="AL779" s="2"/>
    </row>
    <row r="780" spans="1:38" x14ac:dyDescent="0.2">
      <c r="A780" s="45"/>
      <c r="B780" s="43" t="str">
        <f t="shared" si="304"/>
        <v/>
      </c>
      <c r="C780" s="96" t="str">
        <f t="shared" si="303"/>
        <v/>
      </c>
      <c r="D780" s="44" t="str">
        <f t="shared" si="305"/>
        <v/>
      </c>
      <c r="E780" s="52"/>
      <c r="F780" s="63" t="str">
        <f t="shared" si="306"/>
        <v/>
      </c>
      <c r="G780" s="56" t="str">
        <f t="shared" si="307"/>
        <v/>
      </c>
      <c r="H780" s="42"/>
      <c r="I780" s="2" t="str">
        <f t="shared" si="308"/>
        <v/>
      </c>
      <c r="J780" s="54" t="str">
        <f t="shared" si="295"/>
        <v/>
      </c>
      <c r="K780" s="55" t="str">
        <f t="shared" si="309"/>
        <v/>
      </c>
      <c r="L780" s="63" t="str">
        <f t="shared" si="310"/>
        <v/>
      </c>
      <c r="M780" s="96" t="str">
        <f t="shared" si="296"/>
        <v/>
      </c>
      <c r="N780" s="96" t="str">
        <f>IF(A780="","",IF(A780=Expiry,0,EXP(-q*Q780)*_xlfn.NORM.S.DIST(Y780,0)/(sigma*SQRT(Q780))*I780*Mult/100))</f>
        <v/>
      </c>
      <c r="O780" s="96" t="str">
        <f>IF(A780="","",IF(A780=Expiry,0,D780*E780*E780*EXP(-q*Q780)*_xlfn.NORM.S.DIST(Y780,0)*SQRT(Q780)/100))</f>
        <v/>
      </c>
      <c r="P780" s="69" t="str">
        <f>IF(A780="","",IF(A780=Expiry,0,AK780*I780*Mult*((-EXP(-q*Q780)*E780*_xlfn.NORM.S.DIST(Y780,0)*sigma/(2*SQRT(Q780))-r_dom*K*EXP(-r_dom*Q780)*_xlfn.NORM.S.DIST(Z780,1)+q*E780*EXP(-q*Q780)*_xlfn.NORM.S.DIST(Y780,1))/365)))</f>
        <v/>
      </c>
      <c r="Q780" s="83" t="str">
        <f t="shared" si="311"/>
        <v/>
      </c>
      <c r="R780" s="38"/>
      <c r="S780" s="68" t="str">
        <f t="shared" si="312"/>
        <v/>
      </c>
      <c r="T780" s="69" t="str">
        <f t="shared" si="313"/>
        <v/>
      </c>
      <c r="U780" s="70" t="str">
        <f t="shared" si="314"/>
        <v/>
      </c>
      <c r="V780" s="72" t="str">
        <f t="shared" si="315"/>
        <v/>
      </c>
      <c r="W780" s="2" t="str">
        <f t="shared" si="302"/>
        <v/>
      </c>
      <c r="X780" s="2" t="str">
        <f t="shared" si="297"/>
        <v/>
      </c>
      <c r="Y780" s="35" t="str">
        <f t="shared" ca="1" si="316"/>
        <v/>
      </c>
      <c r="Z780" s="36" t="str">
        <f t="shared" ca="1" si="317"/>
        <v/>
      </c>
      <c r="AA780" s="70" t="str">
        <f t="shared" si="318"/>
        <v/>
      </c>
      <c r="AB780" s="2"/>
      <c r="AC780" s="94" t="str">
        <f t="shared" si="298"/>
        <v/>
      </c>
      <c r="AD780" s="95" t="str">
        <f t="shared" si="299"/>
        <v/>
      </c>
      <c r="AE780" s="96" t="str">
        <f t="shared" si="300"/>
        <v/>
      </c>
      <c r="AF780" s="124" t="str">
        <f t="shared" si="301"/>
        <v/>
      </c>
      <c r="AG780" s="2"/>
      <c r="AH780" s="2"/>
      <c r="AI780" s="2"/>
      <c r="AJ780" s="2"/>
      <c r="AK780" s="2"/>
      <c r="AL780" s="2"/>
    </row>
    <row r="781" spans="1:38" x14ac:dyDescent="0.2">
      <c r="A781" s="45"/>
      <c r="B781" s="43" t="str">
        <f t="shared" si="304"/>
        <v/>
      </c>
      <c r="C781" s="96" t="str">
        <f t="shared" si="303"/>
        <v/>
      </c>
      <c r="D781" s="44" t="str">
        <f t="shared" si="305"/>
        <v/>
      </c>
      <c r="E781" s="52"/>
      <c r="F781" s="63" t="str">
        <f t="shared" si="306"/>
        <v/>
      </c>
      <c r="G781" s="56" t="str">
        <f t="shared" si="307"/>
        <v/>
      </c>
      <c r="H781" s="42"/>
      <c r="I781" s="2" t="str">
        <f t="shared" si="308"/>
        <v/>
      </c>
      <c r="J781" s="54" t="str">
        <f t="shared" si="295"/>
        <v/>
      </c>
      <c r="K781" s="55" t="str">
        <f t="shared" si="309"/>
        <v/>
      </c>
      <c r="L781" s="63" t="str">
        <f t="shared" si="310"/>
        <v/>
      </c>
      <c r="M781" s="96" t="str">
        <f t="shared" si="296"/>
        <v/>
      </c>
      <c r="N781" s="96" t="str">
        <f>IF(A781="","",IF(A781=Expiry,0,EXP(-q*Q781)*_xlfn.NORM.S.DIST(Y781,0)/(sigma*SQRT(Q781))*I781*Mult/100))</f>
        <v/>
      </c>
      <c r="O781" s="96" t="str">
        <f>IF(A781="","",IF(A781=Expiry,0,D781*E781*E781*EXP(-q*Q781)*_xlfn.NORM.S.DIST(Y781,0)*SQRT(Q781)/100))</f>
        <v/>
      </c>
      <c r="P781" s="69" t="str">
        <f>IF(A781="","",IF(A781=Expiry,0,AK781*I781*Mult*((-EXP(-q*Q781)*E781*_xlfn.NORM.S.DIST(Y781,0)*sigma/(2*SQRT(Q781))-r_dom*K*EXP(-r_dom*Q781)*_xlfn.NORM.S.DIST(Z781,1)+q*E781*EXP(-q*Q781)*_xlfn.NORM.S.DIST(Y781,1))/365)))</f>
        <v/>
      </c>
      <c r="Q781" s="83" t="str">
        <f t="shared" si="311"/>
        <v/>
      </c>
      <c r="R781" s="38"/>
      <c r="S781" s="68" t="str">
        <f t="shared" si="312"/>
        <v/>
      </c>
      <c r="T781" s="69" t="str">
        <f t="shared" si="313"/>
        <v/>
      </c>
      <c r="U781" s="70" t="str">
        <f t="shared" si="314"/>
        <v/>
      </c>
      <c r="V781" s="72" t="str">
        <f t="shared" si="315"/>
        <v/>
      </c>
      <c r="W781" s="2" t="str">
        <f t="shared" si="302"/>
        <v/>
      </c>
      <c r="X781" s="2" t="str">
        <f t="shared" si="297"/>
        <v/>
      </c>
      <c r="Y781" s="35" t="str">
        <f t="shared" ca="1" si="316"/>
        <v/>
      </c>
      <c r="Z781" s="36" t="str">
        <f t="shared" ca="1" si="317"/>
        <v/>
      </c>
      <c r="AA781" s="70" t="str">
        <f t="shared" si="318"/>
        <v/>
      </c>
      <c r="AB781" s="2"/>
      <c r="AC781" s="94" t="str">
        <f t="shared" si="298"/>
        <v/>
      </c>
      <c r="AD781" s="95" t="str">
        <f t="shared" si="299"/>
        <v/>
      </c>
      <c r="AE781" s="96" t="str">
        <f t="shared" si="300"/>
        <v/>
      </c>
      <c r="AF781" s="124" t="str">
        <f t="shared" si="301"/>
        <v/>
      </c>
      <c r="AG781" s="2"/>
      <c r="AH781" s="2"/>
      <c r="AI781" s="2"/>
      <c r="AJ781" s="2"/>
      <c r="AK781" s="2"/>
      <c r="AL781" s="2"/>
    </row>
    <row r="782" spans="1:38" x14ac:dyDescent="0.2">
      <c r="A782" s="45"/>
      <c r="B782" s="43" t="str">
        <f t="shared" si="304"/>
        <v/>
      </c>
      <c r="C782" s="96" t="str">
        <f t="shared" si="303"/>
        <v/>
      </c>
      <c r="D782" s="44" t="str">
        <f t="shared" si="305"/>
        <v/>
      </c>
      <c r="E782" s="52"/>
      <c r="F782" s="63" t="str">
        <f t="shared" si="306"/>
        <v/>
      </c>
      <c r="G782" s="56" t="str">
        <f t="shared" si="307"/>
        <v/>
      </c>
      <c r="H782" s="42"/>
      <c r="I782" s="2" t="str">
        <f t="shared" si="308"/>
        <v/>
      </c>
      <c r="J782" s="54" t="str">
        <f t="shared" si="295"/>
        <v/>
      </c>
      <c r="K782" s="55" t="str">
        <f t="shared" si="309"/>
        <v/>
      </c>
      <c r="L782" s="63" t="str">
        <f t="shared" si="310"/>
        <v/>
      </c>
      <c r="M782" s="96" t="str">
        <f t="shared" si="296"/>
        <v/>
      </c>
      <c r="N782" s="96" t="str">
        <f>IF(A782="","",IF(A782=Expiry,0,EXP(-q*Q782)*_xlfn.NORM.S.DIST(Y782,0)/(sigma*SQRT(Q782))*I782*Mult/100))</f>
        <v/>
      </c>
      <c r="O782" s="96" t="str">
        <f>IF(A782="","",IF(A782=Expiry,0,D782*E782*E782*EXP(-q*Q782)*_xlfn.NORM.S.DIST(Y782,0)*SQRT(Q782)/100))</f>
        <v/>
      </c>
      <c r="P782" s="69" t="str">
        <f>IF(A782="","",IF(A782=Expiry,0,AK782*I782*Mult*((-EXP(-q*Q782)*E782*_xlfn.NORM.S.DIST(Y782,0)*sigma/(2*SQRT(Q782))-r_dom*K*EXP(-r_dom*Q782)*_xlfn.NORM.S.DIST(Z782,1)+q*E782*EXP(-q*Q782)*_xlfn.NORM.S.DIST(Y782,1))/365)))</f>
        <v/>
      </c>
      <c r="Q782" s="83" t="str">
        <f t="shared" si="311"/>
        <v/>
      </c>
      <c r="R782" s="38"/>
      <c r="S782" s="68" t="str">
        <f t="shared" si="312"/>
        <v/>
      </c>
      <c r="T782" s="69" t="str">
        <f t="shared" si="313"/>
        <v/>
      </c>
      <c r="U782" s="70" t="str">
        <f t="shared" si="314"/>
        <v/>
      </c>
      <c r="V782" s="72" t="str">
        <f t="shared" si="315"/>
        <v/>
      </c>
      <c r="W782" s="2" t="str">
        <f t="shared" si="302"/>
        <v/>
      </c>
      <c r="X782" s="2" t="str">
        <f t="shared" si="297"/>
        <v/>
      </c>
      <c r="Y782" s="35" t="str">
        <f t="shared" ca="1" si="316"/>
        <v/>
      </c>
      <c r="Z782" s="36" t="str">
        <f t="shared" ca="1" si="317"/>
        <v/>
      </c>
      <c r="AA782" s="70" t="str">
        <f t="shared" si="318"/>
        <v/>
      </c>
      <c r="AB782" s="2"/>
      <c r="AC782" s="94" t="str">
        <f t="shared" si="298"/>
        <v/>
      </c>
      <c r="AD782" s="95" t="str">
        <f t="shared" si="299"/>
        <v/>
      </c>
      <c r="AE782" s="96" t="str">
        <f t="shared" si="300"/>
        <v/>
      </c>
      <c r="AF782" s="124" t="str">
        <f t="shared" si="301"/>
        <v/>
      </c>
      <c r="AG782" s="2"/>
      <c r="AH782" s="2"/>
      <c r="AI782" s="2"/>
      <c r="AJ782" s="2"/>
      <c r="AK782" s="2"/>
      <c r="AL782" s="2"/>
    </row>
    <row r="783" spans="1:38" x14ac:dyDescent="0.2">
      <c r="A783" s="45"/>
      <c r="B783" s="43" t="str">
        <f t="shared" si="304"/>
        <v/>
      </c>
      <c r="C783" s="96" t="str">
        <f t="shared" si="303"/>
        <v/>
      </c>
      <c r="D783" s="44" t="str">
        <f t="shared" si="305"/>
        <v/>
      </c>
      <c r="E783" s="52"/>
      <c r="F783" s="63" t="str">
        <f t="shared" si="306"/>
        <v/>
      </c>
      <c r="G783" s="56" t="str">
        <f t="shared" si="307"/>
        <v/>
      </c>
      <c r="H783" s="42"/>
      <c r="I783" s="2" t="str">
        <f t="shared" si="308"/>
        <v/>
      </c>
      <c r="J783" s="54" t="str">
        <f t="shared" si="295"/>
        <v/>
      </c>
      <c r="K783" s="55" t="str">
        <f t="shared" si="309"/>
        <v/>
      </c>
      <c r="L783" s="63" t="str">
        <f t="shared" si="310"/>
        <v/>
      </c>
      <c r="M783" s="96" t="str">
        <f t="shared" si="296"/>
        <v/>
      </c>
      <c r="N783" s="96" t="str">
        <f>IF(A783="","",IF(A783=Expiry,0,EXP(-q*Q783)*_xlfn.NORM.S.DIST(Y783,0)/(sigma*SQRT(Q783))*I783*Mult/100))</f>
        <v/>
      </c>
      <c r="O783" s="96" t="str">
        <f>IF(A783="","",IF(A783=Expiry,0,D783*E783*E783*EXP(-q*Q783)*_xlfn.NORM.S.DIST(Y783,0)*SQRT(Q783)/100))</f>
        <v/>
      </c>
      <c r="P783" s="69" t="str">
        <f>IF(A783="","",IF(A783=Expiry,0,AK783*I783*Mult*((-EXP(-q*Q783)*E783*_xlfn.NORM.S.DIST(Y783,0)*sigma/(2*SQRT(Q783))-r_dom*K*EXP(-r_dom*Q783)*_xlfn.NORM.S.DIST(Z783,1)+q*E783*EXP(-q*Q783)*_xlfn.NORM.S.DIST(Y783,1))/365)))</f>
        <v/>
      </c>
      <c r="Q783" s="83" t="str">
        <f t="shared" si="311"/>
        <v/>
      </c>
      <c r="R783" s="38"/>
      <c r="S783" s="68" t="str">
        <f t="shared" si="312"/>
        <v/>
      </c>
      <c r="T783" s="69" t="str">
        <f t="shared" si="313"/>
        <v/>
      </c>
      <c r="U783" s="70" t="str">
        <f t="shared" si="314"/>
        <v/>
      </c>
      <c r="V783" s="72" t="str">
        <f t="shared" si="315"/>
        <v/>
      </c>
      <c r="W783" s="2" t="str">
        <f t="shared" si="302"/>
        <v/>
      </c>
      <c r="X783" s="2" t="str">
        <f t="shared" si="297"/>
        <v/>
      </c>
      <c r="Y783" s="35" t="str">
        <f t="shared" ca="1" si="316"/>
        <v/>
      </c>
      <c r="Z783" s="36" t="str">
        <f t="shared" ca="1" si="317"/>
        <v/>
      </c>
      <c r="AA783" s="70" t="str">
        <f t="shared" si="318"/>
        <v/>
      </c>
      <c r="AB783" s="2"/>
      <c r="AC783" s="94" t="str">
        <f t="shared" si="298"/>
        <v/>
      </c>
      <c r="AD783" s="95" t="str">
        <f t="shared" si="299"/>
        <v/>
      </c>
      <c r="AE783" s="96" t="str">
        <f t="shared" si="300"/>
        <v/>
      </c>
      <c r="AF783" s="124" t="str">
        <f t="shared" si="301"/>
        <v/>
      </c>
      <c r="AG783" s="2"/>
      <c r="AH783" s="2"/>
      <c r="AI783" s="2"/>
      <c r="AJ783" s="2"/>
      <c r="AK783" s="2"/>
      <c r="AL783" s="2"/>
    </row>
    <row r="784" spans="1:38" x14ac:dyDescent="0.2">
      <c r="A784" s="45"/>
      <c r="B784" s="43" t="str">
        <f t="shared" si="304"/>
        <v/>
      </c>
      <c r="C784" s="96" t="str">
        <f t="shared" si="303"/>
        <v/>
      </c>
      <c r="D784" s="44" t="str">
        <f t="shared" si="305"/>
        <v/>
      </c>
      <c r="E784" s="52"/>
      <c r="F784" s="63" t="str">
        <f t="shared" si="306"/>
        <v/>
      </c>
      <c r="G784" s="56" t="str">
        <f t="shared" si="307"/>
        <v/>
      </c>
      <c r="H784" s="42"/>
      <c r="I784" s="2" t="str">
        <f t="shared" si="308"/>
        <v/>
      </c>
      <c r="J784" s="54" t="str">
        <f t="shared" si="295"/>
        <v/>
      </c>
      <c r="K784" s="55" t="str">
        <f t="shared" si="309"/>
        <v/>
      </c>
      <c r="L784" s="63" t="str">
        <f t="shared" si="310"/>
        <v/>
      </c>
      <c r="M784" s="96" t="str">
        <f t="shared" si="296"/>
        <v/>
      </c>
      <c r="N784" s="96" t="str">
        <f>IF(A784="","",IF(A784=Expiry,0,EXP(-q*Q784)*_xlfn.NORM.S.DIST(Y784,0)/(sigma*SQRT(Q784))*I784*Mult/100))</f>
        <v/>
      </c>
      <c r="O784" s="96" t="str">
        <f>IF(A784="","",IF(A784=Expiry,0,D784*E784*E784*EXP(-q*Q784)*_xlfn.NORM.S.DIST(Y784,0)*SQRT(Q784)/100))</f>
        <v/>
      </c>
      <c r="P784" s="69" t="str">
        <f>IF(A784="","",IF(A784=Expiry,0,AK784*I784*Mult*((-EXP(-q*Q784)*E784*_xlfn.NORM.S.DIST(Y784,0)*sigma/(2*SQRT(Q784))-r_dom*K*EXP(-r_dom*Q784)*_xlfn.NORM.S.DIST(Z784,1)+q*E784*EXP(-q*Q784)*_xlfn.NORM.S.DIST(Y784,1))/365)))</f>
        <v/>
      </c>
      <c r="Q784" s="83" t="str">
        <f t="shared" si="311"/>
        <v/>
      </c>
      <c r="R784" s="38"/>
      <c r="S784" s="68" t="str">
        <f t="shared" si="312"/>
        <v/>
      </c>
      <c r="T784" s="69" t="str">
        <f t="shared" si="313"/>
        <v/>
      </c>
      <c r="U784" s="70" t="str">
        <f t="shared" si="314"/>
        <v/>
      </c>
      <c r="V784" s="72" t="str">
        <f t="shared" si="315"/>
        <v/>
      </c>
      <c r="W784" s="2" t="str">
        <f t="shared" si="302"/>
        <v/>
      </c>
      <c r="X784" s="2" t="str">
        <f t="shared" si="297"/>
        <v/>
      </c>
      <c r="Y784" s="35" t="str">
        <f t="shared" ca="1" si="316"/>
        <v/>
      </c>
      <c r="Z784" s="36" t="str">
        <f t="shared" ca="1" si="317"/>
        <v/>
      </c>
      <c r="AA784" s="70" t="str">
        <f t="shared" si="318"/>
        <v/>
      </c>
      <c r="AB784" s="2"/>
      <c r="AC784" s="94" t="str">
        <f t="shared" si="298"/>
        <v/>
      </c>
      <c r="AD784" s="95" t="str">
        <f t="shared" si="299"/>
        <v/>
      </c>
      <c r="AE784" s="96" t="str">
        <f t="shared" si="300"/>
        <v/>
      </c>
      <c r="AF784" s="124" t="str">
        <f t="shared" si="301"/>
        <v/>
      </c>
      <c r="AG784" s="2"/>
      <c r="AH784" s="2"/>
      <c r="AI784" s="2"/>
      <c r="AJ784" s="2"/>
      <c r="AK784" s="2"/>
      <c r="AL784" s="2"/>
    </row>
    <row r="785" spans="1:38" x14ac:dyDescent="0.2">
      <c r="A785" s="45"/>
      <c r="B785" s="43" t="str">
        <f t="shared" si="304"/>
        <v/>
      </c>
      <c r="C785" s="96" t="str">
        <f t="shared" si="303"/>
        <v/>
      </c>
      <c r="D785" s="44" t="str">
        <f t="shared" si="305"/>
        <v/>
      </c>
      <c r="E785" s="52"/>
      <c r="F785" s="63" t="str">
        <f t="shared" si="306"/>
        <v/>
      </c>
      <c r="G785" s="56" t="str">
        <f t="shared" si="307"/>
        <v/>
      </c>
      <c r="H785" s="42"/>
      <c r="I785" s="2" t="str">
        <f t="shared" si="308"/>
        <v/>
      </c>
      <c r="J785" s="54" t="str">
        <f t="shared" si="295"/>
        <v/>
      </c>
      <c r="K785" s="55" t="str">
        <f t="shared" si="309"/>
        <v/>
      </c>
      <c r="L785" s="63" t="str">
        <f t="shared" si="310"/>
        <v/>
      </c>
      <c r="M785" s="96" t="str">
        <f t="shared" si="296"/>
        <v/>
      </c>
      <c r="N785" s="96" t="str">
        <f>IF(A785="","",IF(A785=Expiry,0,EXP(-q*Q785)*_xlfn.NORM.S.DIST(Y785,0)/(sigma*SQRT(Q785))*I785*Mult/100))</f>
        <v/>
      </c>
      <c r="O785" s="96" t="str">
        <f>IF(A785="","",IF(A785=Expiry,0,D785*E785*E785*EXP(-q*Q785)*_xlfn.NORM.S.DIST(Y785,0)*SQRT(Q785)/100))</f>
        <v/>
      </c>
      <c r="P785" s="69" t="str">
        <f>IF(A785="","",IF(A785=Expiry,0,AK785*I785*Mult*((-EXP(-q*Q785)*E785*_xlfn.NORM.S.DIST(Y785,0)*sigma/(2*SQRT(Q785))-r_dom*K*EXP(-r_dom*Q785)*_xlfn.NORM.S.DIST(Z785,1)+q*E785*EXP(-q*Q785)*_xlfn.NORM.S.DIST(Y785,1))/365)))</f>
        <v/>
      </c>
      <c r="Q785" s="83" t="str">
        <f t="shared" si="311"/>
        <v/>
      </c>
      <c r="R785" s="38"/>
      <c r="S785" s="68" t="str">
        <f t="shared" si="312"/>
        <v/>
      </c>
      <c r="T785" s="69" t="str">
        <f t="shared" si="313"/>
        <v/>
      </c>
      <c r="U785" s="70" t="str">
        <f t="shared" si="314"/>
        <v/>
      </c>
      <c r="V785" s="72" t="str">
        <f t="shared" si="315"/>
        <v/>
      </c>
      <c r="W785" s="2" t="str">
        <f t="shared" si="302"/>
        <v/>
      </c>
      <c r="X785" s="2" t="str">
        <f t="shared" si="297"/>
        <v/>
      </c>
      <c r="Y785" s="35" t="str">
        <f t="shared" ca="1" si="316"/>
        <v/>
      </c>
      <c r="Z785" s="36" t="str">
        <f t="shared" ca="1" si="317"/>
        <v/>
      </c>
      <c r="AA785" s="70" t="str">
        <f t="shared" si="318"/>
        <v/>
      </c>
      <c r="AB785" s="2"/>
      <c r="AC785" s="94" t="str">
        <f t="shared" si="298"/>
        <v/>
      </c>
      <c r="AD785" s="95" t="str">
        <f t="shared" si="299"/>
        <v/>
      </c>
      <c r="AE785" s="96" t="str">
        <f t="shared" si="300"/>
        <v/>
      </c>
      <c r="AF785" s="124" t="str">
        <f t="shared" si="301"/>
        <v/>
      </c>
      <c r="AG785" s="2"/>
      <c r="AH785" s="2"/>
      <c r="AI785" s="2"/>
      <c r="AJ785" s="2"/>
      <c r="AK785" s="2"/>
      <c r="AL785" s="2"/>
    </row>
    <row r="786" spans="1:38" x14ac:dyDescent="0.2">
      <c r="A786" s="45"/>
      <c r="B786" s="43" t="str">
        <f t="shared" si="304"/>
        <v/>
      </c>
      <c r="C786" s="96" t="str">
        <f t="shared" si="303"/>
        <v/>
      </c>
      <c r="D786" s="44" t="str">
        <f t="shared" si="305"/>
        <v/>
      </c>
      <c r="E786" s="52"/>
      <c r="F786" s="63" t="str">
        <f t="shared" si="306"/>
        <v/>
      </c>
      <c r="G786" s="56" t="str">
        <f t="shared" si="307"/>
        <v/>
      </c>
      <c r="H786" s="42"/>
      <c r="I786" s="2" t="str">
        <f t="shared" si="308"/>
        <v/>
      </c>
      <c r="J786" s="54" t="str">
        <f t="shared" si="295"/>
        <v/>
      </c>
      <c r="K786" s="55" t="str">
        <f t="shared" si="309"/>
        <v/>
      </c>
      <c r="L786" s="63" t="str">
        <f t="shared" si="310"/>
        <v/>
      </c>
      <c r="M786" s="96" t="str">
        <f t="shared" si="296"/>
        <v/>
      </c>
      <c r="N786" s="96" t="str">
        <f>IF(A786="","",IF(A786=Expiry,0,EXP(-q*Q786)*_xlfn.NORM.S.DIST(Y786,0)/(sigma*SQRT(Q786))*I786*Mult/100))</f>
        <v/>
      </c>
      <c r="O786" s="96" t="str">
        <f>IF(A786="","",IF(A786=Expiry,0,D786*E786*E786*EXP(-q*Q786)*_xlfn.NORM.S.DIST(Y786,0)*SQRT(Q786)/100))</f>
        <v/>
      </c>
      <c r="P786" s="69" t="str">
        <f>IF(A786="","",IF(A786=Expiry,0,AK786*I786*Mult*((-EXP(-q*Q786)*E786*_xlfn.NORM.S.DIST(Y786,0)*sigma/(2*SQRT(Q786))-r_dom*K*EXP(-r_dom*Q786)*_xlfn.NORM.S.DIST(Z786,1)+q*E786*EXP(-q*Q786)*_xlfn.NORM.S.DIST(Y786,1))/365)))</f>
        <v/>
      </c>
      <c r="Q786" s="83" t="str">
        <f t="shared" si="311"/>
        <v/>
      </c>
      <c r="R786" s="38"/>
      <c r="S786" s="68" t="str">
        <f t="shared" si="312"/>
        <v/>
      </c>
      <c r="T786" s="69" t="str">
        <f t="shared" si="313"/>
        <v/>
      </c>
      <c r="U786" s="70" t="str">
        <f t="shared" si="314"/>
        <v/>
      </c>
      <c r="V786" s="72" t="str">
        <f t="shared" si="315"/>
        <v/>
      </c>
      <c r="W786" s="2" t="str">
        <f t="shared" si="302"/>
        <v/>
      </c>
      <c r="X786" s="2" t="str">
        <f t="shared" si="297"/>
        <v/>
      </c>
      <c r="Y786" s="35" t="str">
        <f t="shared" ca="1" si="316"/>
        <v/>
      </c>
      <c r="Z786" s="36" t="str">
        <f t="shared" ca="1" si="317"/>
        <v/>
      </c>
      <c r="AA786" s="70" t="str">
        <f t="shared" si="318"/>
        <v/>
      </c>
      <c r="AB786" s="2"/>
      <c r="AC786" s="94" t="str">
        <f t="shared" si="298"/>
        <v/>
      </c>
      <c r="AD786" s="95" t="str">
        <f t="shared" si="299"/>
        <v/>
      </c>
      <c r="AE786" s="96" t="str">
        <f t="shared" si="300"/>
        <v/>
      </c>
      <c r="AF786" s="124" t="str">
        <f t="shared" si="301"/>
        <v/>
      </c>
      <c r="AG786" s="2"/>
      <c r="AH786" s="2"/>
      <c r="AI786" s="2"/>
      <c r="AJ786" s="2"/>
      <c r="AK786" s="2"/>
      <c r="AL786" s="2"/>
    </row>
    <row r="787" spans="1:38" x14ac:dyDescent="0.2">
      <c r="A787" s="45"/>
      <c r="B787" s="43" t="str">
        <f t="shared" si="304"/>
        <v/>
      </c>
      <c r="C787" s="96" t="str">
        <f t="shared" si="303"/>
        <v/>
      </c>
      <c r="D787" s="44" t="str">
        <f t="shared" si="305"/>
        <v/>
      </c>
      <c r="E787" s="52"/>
      <c r="F787" s="63" t="str">
        <f t="shared" si="306"/>
        <v/>
      </c>
      <c r="G787" s="56" t="str">
        <f t="shared" si="307"/>
        <v/>
      </c>
      <c r="H787" s="42"/>
      <c r="I787" s="2" t="str">
        <f t="shared" si="308"/>
        <v/>
      </c>
      <c r="J787" s="54" t="str">
        <f t="shared" si="295"/>
        <v/>
      </c>
      <c r="K787" s="55" t="str">
        <f t="shared" si="309"/>
        <v/>
      </c>
      <c r="L787" s="63" t="str">
        <f t="shared" si="310"/>
        <v/>
      </c>
      <c r="M787" s="96" t="str">
        <f t="shared" si="296"/>
        <v/>
      </c>
      <c r="N787" s="96" t="str">
        <f>IF(A787="","",IF(A787=Expiry,0,EXP(-q*Q787)*_xlfn.NORM.S.DIST(Y787,0)/(sigma*SQRT(Q787))*I787*Mult/100))</f>
        <v/>
      </c>
      <c r="O787" s="96" t="str">
        <f>IF(A787="","",IF(A787=Expiry,0,D787*E787*E787*EXP(-q*Q787)*_xlfn.NORM.S.DIST(Y787,0)*SQRT(Q787)/100))</f>
        <v/>
      </c>
      <c r="P787" s="69" t="str">
        <f>IF(A787="","",IF(A787=Expiry,0,AK787*I787*Mult*((-EXP(-q*Q787)*E787*_xlfn.NORM.S.DIST(Y787,0)*sigma/(2*SQRT(Q787))-r_dom*K*EXP(-r_dom*Q787)*_xlfn.NORM.S.DIST(Z787,1)+q*E787*EXP(-q*Q787)*_xlfn.NORM.S.DIST(Y787,1))/365)))</f>
        <v/>
      </c>
      <c r="Q787" s="83" t="str">
        <f t="shared" si="311"/>
        <v/>
      </c>
      <c r="R787" s="38"/>
      <c r="S787" s="68" t="str">
        <f t="shared" si="312"/>
        <v/>
      </c>
      <c r="T787" s="69" t="str">
        <f t="shared" si="313"/>
        <v/>
      </c>
      <c r="U787" s="70" t="str">
        <f t="shared" si="314"/>
        <v/>
      </c>
      <c r="V787" s="72" t="str">
        <f t="shared" si="315"/>
        <v/>
      </c>
      <c r="W787" s="2" t="str">
        <f t="shared" si="302"/>
        <v/>
      </c>
      <c r="X787" s="2" t="str">
        <f t="shared" si="297"/>
        <v/>
      </c>
      <c r="Y787" s="35" t="str">
        <f t="shared" ca="1" si="316"/>
        <v/>
      </c>
      <c r="Z787" s="36" t="str">
        <f t="shared" ca="1" si="317"/>
        <v/>
      </c>
      <c r="AA787" s="70" t="str">
        <f t="shared" si="318"/>
        <v/>
      </c>
      <c r="AB787" s="2"/>
      <c r="AC787" s="94" t="str">
        <f t="shared" si="298"/>
        <v/>
      </c>
      <c r="AD787" s="95" t="str">
        <f t="shared" si="299"/>
        <v/>
      </c>
      <c r="AE787" s="96" t="str">
        <f t="shared" si="300"/>
        <v/>
      </c>
      <c r="AF787" s="124" t="str">
        <f t="shared" si="301"/>
        <v/>
      </c>
      <c r="AG787" s="2"/>
      <c r="AH787" s="2"/>
      <c r="AI787" s="2"/>
      <c r="AJ787" s="2"/>
      <c r="AK787" s="2"/>
      <c r="AL787" s="2"/>
    </row>
    <row r="788" spans="1:38" x14ac:dyDescent="0.2">
      <c r="A788" s="45"/>
      <c r="B788" s="43" t="str">
        <f t="shared" si="304"/>
        <v/>
      </c>
      <c r="C788" s="96" t="str">
        <f t="shared" si="303"/>
        <v/>
      </c>
      <c r="D788" s="44" t="str">
        <f t="shared" si="305"/>
        <v/>
      </c>
      <c r="E788" s="52"/>
      <c r="F788" s="63" t="str">
        <f t="shared" si="306"/>
        <v/>
      </c>
      <c r="G788" s="56" t="str">
        <f t="shared" si="307"/>
        <v/>
      </c>
      <c r="H788" s="42"/>
      <c r="I788" s="2" t="str">
        <f t="shared" si="308"/>
        <v/>
      </c>
      <c r="J788" s="54" t="str">
        <f t="shared" si="295"/>
        <v/>
      </c>
      <c r="K788" s="55" t="str">
        <f t="shared" si="309"/>
        <v/>
      </c>
      <c r="L788" s="63" t="str">
        <f t="shared" si="310"/>
        <v/>
      </c>
      <c r="M788" s="96" t="str">
        <f t="shared" si="296"/>
        <v/>
      </c>
      <c r="N788" s="96" t="str">
        <f>IF(A788="","",IF(A788=Expiry,0,EXP(-q*Q788)*_xlfn.NORM.S.DIST(Y788,0)/(sigma*SQRT(Q788))*I788*Mult/100))</f>
        <v/>
      </c>
      <c r="O788" s="96" t="str">
        <f>IF(A788="","",IF(A788=Expiry,0,D788*E788*E788*EXP(-q*Q788)*_xlfn.NORM.S.DIST(Y788,0)*SQRT(Q788)/100))</f>
        <v/>
      </c>
      <c r="P788" s="69" t="str">
        <f>IF(A788="","",IF(A788=Expiry,0,AK788*I788*Mult*((-EXP(-q*Q788)*E788*_xlfn.NORM.S.DIST(Y788,0)*sigma/(2*SQRT(Q788))-r_dom*K*EXP(-r_dom*Q788)*_xlfn.NORM.S.DIST(Z788,1)+q*E788*EXP(-q*Q788)*_xlfn.NORM.S.DIST(Y788,1))/365)))</f>
        <v/>
      </c>
      <c r="Q788" s="83" t="str">
        <f t="shared" si="311"/>
        <v/>
      </c>
      <c r="R788" s="38"/>
      <c r="S788" s="68" t="str">
        <f t="shared" si="312"/>
        <v/>
      </c>
      <c r="T788" s="69" t="str">
        <f t="shared" si="313"/>
        <v/>
      </c>
      <c r="U788" s="70" t="str">
        <f t="shared" si="314"/>
        <v/>
      </c>
      <c r="V788" s="72" t="str">
        <f t="shared" si="315"/>
        <v/>
      </c>
      <c r="W788" s="2" t="str">
        <f t="shared" si="302"/>
        <v/>
      </c>
      <c r="X788" s="2" t="str">
        <f t="shared" si="297"/>
        <v/>
      </c>
      <c r="Y788" s="35" t="str">
        <f t="shared" ca="1" si="316"/>
        <v/>
      </c>
      <c r="Z788" s="36" t="str">
        <f t="shared" ca="1" si="317"/>
        <v/>
      </c>
      <c r="AA788" s="70" t="str">
        <f t="shared" si="318"/>
        <v/>
      </c>
      <c r="AB788" s="2"/>
      <c r="AC788" s="94" t="str">
        <f t="shared" si="298"/>
        <v/>
      </c>
      <c r="AD788" s="95" t="str">
        <f t="shared" si="299"/>
        <v/>
      </c>
      <c r="AE788" s="96" t="str">
        <f t="shared" si="300"/>
        <v/>
      </c>
      <c r="AF788" s="124" t="str">
        <f t="shared" si="301"/>
        <v/>
      </c>
      <c r="AG788" s="2"/>
      <c r="AH788" s="2"/>
      <c r="AI788" s="2"/>
      <c r="AJ788" s="2"/>
      <c r="AK788" s="2"/>
      <c r="AL788" s="2"/>
    </row>
    <row r="789" spans="1:38" x14ac:dyDescent="0.2">
      <c r="A789" s="45"/>
      <c r="B789" s="43" t="str">
        <f t="shared" si="304"/>
        <v/>
      </c>
      <c r="C789" s="96" t="str">
        <f t="shared" si="303"/>
        <v/>
      </c>
      <c r="D789" s="44" t="str">
        <f t="shared" si="305"/>
        <v/>
      </c>
      <c r="E789" s="52"/>
      <c r="F789" s="63" t="str">
        <f t="shared" si="306"/>
        <v/>
      </c>
      <c r="G789" s="56" t="str">
        <f t="shared" si="307"/>
        <v/>
      </c>
      <c r="H789" s="42"/>
      <c r="I789" s="2" t="str">
        <f t="shared" si="308"/>
        <v/>
      </c>
      <c r="J789" s="54" t="str">
        <f t="shared" si="295"/>
        <v/>
      </c>
      <c r="K789" s="55" t="str">
        <f t="shared" si="309"/>
        <v/>
      </c>
      <c r="L789" s="63" t="str">
        <f t="shared" si="310"/>
        <v/>
      </c>
      <c r="M789" s="96" t="str">
        <f t="shared" si="296"/>
        <v/>
      </c>
      <c r="N789" s="96" t="str">
        <f>IF(A789="","",IF(A789=Expiry,0,EXP(-q*Q789)*_xlfn.NORM.S.DIST(Y789,0)/(sigma*SQRT(Q789))*I789*Mult/100))</f>
        <v/>
      </c>
      <c r="O789" s="96" t="str">
        <f>IF(A789="","",IF(A789=Expiry,0,D789*E789*E789*EXP(-q*Q789)*_xlfn.NORM.S.DIST(Y789,0)*SQRT(Q789)/100))</f>
        <v/>
      </c>
      <c r="P789" s="69" t="str">
        <f>IF(A789="","",IF(A789=Expiry,0,AK789*I789*Mult*((-EXP(-q*Q789)*E789*_xlfn.NORM.S.DIST(Y789,0)*sigma/(2*SQRT(Q789))-r_dom*K*EXP(-r_dom*Q789)*_xlfn.NORM.S.DIST(Z789,1)+q*E789*EXP(-q*Q789)*_xlfn.NORM.S.DIST(Y789,1))/365)))</f>
        <v/>
      </c>
      <c r="Q789" s="83" t="str">
        <f t="shared" si="311"/>
        <v/>
      </c>
      <c r="R789" s="38"/>
      <c r="S789" s="68" t="str">
        <f t="shared" si="312"/>
        <v/>
      </c>
      <c r="T789" s="69" t="str">
        <f t="shared" si="313"/>
        <v/>
      </c>
      <c r="U789" s="70" t="str">
        <f t="shared" si="314"/>
        <v/>
      </c>
      <c r="V789" s="72" t="str">
        <f t="shared" si="315"/>
        <v/>
      </c>
      <c r="W789" s="2" t="str">
        <f t="shared" si="302"/>
        <v/>
      </c>
      <c r="X789" s="2" t="str">
        <f t="shared" si="297"/>
        <v/>
      </c>
      <c r="Y789" s="35" t="str">
        <f t="shared" ca="1" si="316"/>
        <v/>
      </c>
      <c r="Z789" s="36" t="str">
        <f t="shared" ca="1" si="317"/>
        <v/>
      </c>
      <c r="AA789" s="70" t="str">
        <f t="shared" si="318"/>
        <v/>
      </c>
      <c r="AB789" s="2"/>
      <c r="AC789" s="94" t="str">
        <f t="shared" si="298"/>
        <v/>
      </c>
      <c r="AD789" s="95" t="str">
        <f t="shared" si="299"/>
        <v/>
      </c>
      <c r="AE789" s="96" t="str">
        <f t="shared" si="300"/>
        <v/>
      </c>
      <c r="AF789" s="124" t="str">
        <f t="shared" si="301"/>
        <v/>
      </c>
      <c r="AG789" s="2"/>
      <c r="AH789" s="2"/>
      <c r="AI789" s="2"/>
      <c r="AJ789" s="2"/>
      <c r="AK789" s="2"/>
      <c r="AL789" s="2"/>
    </row>
    <row r="790" spans="1:38" x14ac:dyDescent="0.2">
      <c r="A790" s="45"/>
      <c r="B790" s="43" t="str">
        <f t="shared" si="304"/>
        <v/>
      </c>
      <c r="C790" s="96" t="str">
        <f t="shared" si="303"/>
        <v/>
      </c>
      <c r="D790" s="44" t="str">
        <f t="shared" si="305"/>
        <v/>
      </c>
      <c r="E790" s="52"/>
      <c r="F790" s="63" t="str">
        <f t="shared" si="306"/>
        <v/>
      </c>
      <c r="G790" s="56" t="str">
        <f t="shared" si="307"/>
        <v/>
      </c>
      <c r="H790" s="42"/>
      <c r="I790" s="2" t="str">
        <f t="shared" si="308"/>
        <v/>
      </c>
      <c r="J790" s="54" t="str">
        <f t="shared" si="295"/>
        <v/>
      </c>
      <c r="K790" s="55" t="str">
        <f t="shared" si="309"/>
        <v/>
      </c>
      <c r="L790" s="63" t="str">
        <f t="shared" si="310"/>
        <v/>
      </c>
      <c r="M790" s="96" t="str">
        <f t="shared" si="296"/>
        <v/>
      </c>
      <c r="N790" s="96" t="str">
        <f>IF(A790="","",IF(A790=Expiry,0,EXP(-q*Q790)*_xlfn.NORM.S.DIST(Y790,0)/(sigma*SQRT(Q790))*I790*Mult/100))</f>
        <v/>
      </c>
      <c r="O790" s="96" t="str">
        <f>IF(A790="","",IF(A790=Expiry,0,D790*E790*E790*EXP(-q*Q790)*_xlfn.NORM.S.DIST(Y790,0)*SQRT(Q790)/100))</f>
        <v/>
      </c>
      <c r="P790" s="69" t="str">
        <f>IF(A790="","",IF(A790=Expiry,0,AK790*I790*Mult*((-EXP(-q*Q790)*E790*_xlfn.NORM.S.DIST(Y790,0)*sigma/(2*SQRT(Q790))-r_dom*K*EXP(-r_dom*Q790)*_xlfn.NORM.S.DIST(Z790,1)+q*E790*EXP(-q*Q790)*_xlfn.NORM.S.DIST(Y790,1))/365)))</f>
        <v/>
      </c>
      <c r="Q790" s="83" t="str">
        <f t="shared" si="311"/>
        <v/>
      </c>
      <c r="R790" s="38"/>
      <c r="S790" s="68" t="str">
        <f t="shared" si="312"/>
        <v/>
      </c>
      <c r="T790" s="69" t="str">
        <f t="shared" si="313"/>
        <v/>
      </c>
      <c r="U790" s="70" t="str">
        <f t="shared" si="314"/>
        <v/>
      </c>
      <c r="V790" s="72" t="str">
        <f t="shared" si="315"/>
        <v/>
      </c>
      <c r="W790" s="2" t="str">
        <f t="shared" si="302"/>
        <v/>
      </c>
      <c r="X790" s="2" t="str">
        <f t="shared" si="297"/>
        <v/>
      </c>
      <c r="Y790" s="35" t="str">
        <f t="shared" ca="1" si="316"/>
        <v/>
      </c>
      <c r="Z790" s="36" t="str">
        <f t="shared" ca="1" si="317"/>
        <v/>
      </c>
      <c r="AA790" s="70" t="str">
        <f t="shared" si="318"/>
        <v/>
      </c>
      <c r="AB790" s="2"/>
      <c r="AC790" s="94" t="str">
        <f t="shared" si="298"/>
        <v/>
      </c>
      <c r="AD790" s="95" t="str">
        <f t="shared" si="299"/>
        <v/>
      </c>
      <c r="AE790" s="96" t="str">
        <f t="shared" si="300"/>
        <v/>
      </c>
      <c r="AF790" s="124" t="str">
        <f t="shared" si="301"/>
        <v/>
      </c>
      <c r="AG790" s="2"/>
      <c r="AH790" s="2"/>
      <c r="AI790" s="2"/>
      <c r="AJ790" s="2"/>
      <c r="AK790" s="2"/>
      <c r="AL790" s="2"/>
    </row>
    <row r="791" spans="1:38" x14ac:dyDescent="0.2">
      <c r="A791" s="45"/>
      <c r="B791" s="43" t="str">
        <f t="shared" si="304"/>
        <v/>
      </c>
      <c r="C791" s="96" t="str">
        <f t="shared" si="303"/>
        <v/>
      </c>
      <c r="D791" s="44" t="str">
        <f t="shared" si="305"/>
        <v/>
      </c>
      <c r="E791" s="52"/>
      <c r="F791" s="63" t="str">
        <f t="shared" si="306"/>
        <v/>
      </c>
      <c r="G791" s="56" t="str">
        <f t="shared" si="307"/>
        <v/>
      </c>
      <c r="H791" s="42"/>
      <c r="I791" s="2" t="str">
        <f t="shared" si="308"/>
        <v/>
      </c>
      <c r="J791" s="54" t="str">
        <f t="shared" si="295"/>
        <v/>
      </c>
      <c r="K791" s="55" t="str">
        <f t="shared" si="309"/>
        <v/>
      </c>
      <c r="L791" s="63" t="str">
        <f t="shared" si="310"/>
        <v/>
      </c>
      <c r="M791" s="96" t="str">
        <f t="shared" si="296"/>
        <v/>
      </c>
      <c r="N791" s="96" t="str">
        <f>IF(A791="","",IF(A791=Expiry,0,EXP(-q*Q791)*_xlfn.NORM.S.DIST(Y791,0)/(sigma*SQRT(Q791))*I791*Mult/100))</f>
        <v/>
      </c>
      <c r="O791" s="96" t="str">
        <f>IF(A791="","",IF(A791=Expiry,0,D791*E791*E791*EXP(-q*Q791)*_xlfn.NORM.S.DIST(Y791,0)*SQRT(Q791)/100))</f>
        <v/>
      </c>
      <c r="P791" s="69" t="str">
        <f>IF(A791="","",IF(A791=Expiry,0,AK791*I791*Mult*((-EXP(-q*Q791)*E791*_xlfn.NORM.S.DIST(Y791,0)*sigma/(2*SQRT(Q791))-r_dom*K*EXP(-r_dom*Q791)*_xlfn.NORM.S.DIST(Z791,1)+q*E791*EXP(-q*Q791)*_xlfn.NORM.S.DIST(Y791,1))/365)))</f>
        <v/>
      </c>
      <c r="Q791" s="83" t="str">
        <f t="shared" si="311"/>
        <v/>
      </c>
      <c r="R791" s="38"/>
      <c r="S791" s="68" t="str">
        <f t="shared" si="312"/>
        <v/>
      </c>
      <c r="T791" s="69" t="str">
        <f t="shared" si="313"/>
        <v/>
      </c>
      <c r="U791" s="70" t="str">
        <f t="shared" si="314"/>
        <v/>
      </c>
      <c r="V791" s="72" t="str">
        <f t="shared" si="315"/>
        <v/>
      </c>
      <c r="W791" s="2" t="str">
        <f t="shared" si="302"/>
        <v/>
      </c>
      <c r="X791" s="2" t="str">
        <f t="shared" si="297"/>
        <v/>
      </c>
      <c r="Y791" s="35" t="str">
        <f t="shared" ca="1" si="316"/>
        <v/>
      </c>
      <c r="Z791" s="36" t="str">
        <f t="shared" ca="1" si="317"/>
        <v/>
      </c>
      <c r="AA791" s="70" t="str">
        <f t="shared" si="318"/>
        <v/>
      </c>
      <c r="AB791" s="2"/>
      <c r="AC791" s="94" t="str">
        <f t="shared" si="298"/>
        <v/>
      </c>
      <c r="AD791" s="95" t="str">
        <f t="shared" si="299"/>
        <v/>
      </c>
      <c r="AE791" s="96" t="str">
        <f t="shared" si="300"/>
        <v/>
      </c>
      <c r="AF791" s="124" t="str">
        <f t="shared" si="301"/>
        <v/>
      </c>
      <c r="AG791" s="2"/>
      <c r="AH791" s="2"/>
      <c r="AI791" s="2"/>
      <c r="AJ791" s="2"/>
      <c r="AK791" s="2"/>
      <c r="AL791" s="2"/>
    </row>
    <row r="792" spans="1:38" x14ac:dyDescent="0.2">
      <c r="A792" s="45"/>
      <c r="B792" s="43" t="str">
        <f t="shared" si="304"/>
        <v/>
      </c>
      <c r="C792" s="96" t="str">
        <f t="shared" si="303"/>
        <v/>
      </c>
      <c r="D792" s="44" t="str">
        <f t="shared" si="305"/>
        <v/>
      </c>
      <c r="E792" s="52"/>
      <c r="F792" s="63" t="str">
        <f t="shared" si="306"/>
        <v/>
      </c>
      <c r="G792" s="56" t="str">
        <f t="shared" si="307"/>
        <v/>
      </c>
      <c r="H792" s="42"/>
      <c r="I792" s="2" t="str">
        <f t="shared" si="308"/>
        <v/>
      </c>
      <c r="J792" s="54" t="str">
        <f t="shared" si="295"/>
        <v/>
      </c>
      <c r="K792" s="55" t="str">
        <f t="shared" si="309"/>
        <v/>
      </c>
      <c r="L792" s="63" t="str">
        <f t="shared" si="310"/>
        <v/>
      </c>
      <c r="M792" s="96" t="str">
        <f t="shared" si="296"/>
        <v/>
      </c>
      <c r="N792" s="96" t="str">
        <f>IF(A792="","",IF(A792=Expiry,0,EXP(-q*Q792)*_xlfn.NORM.S.DIST(Y792,0)/(sigma*SQRT(Q792))*I792*Mult/100))</f>
        <v/>
      </c>
      <c r="O792" s="96" t="str">
        <f>IF(A792="","",IF(A792=Expiry,0,D792*E792*E792*EXP(-q*Q792)*_xlfn.NORM.S.DIST(Y792,0)*SQRT(Q792)/100))</f>
        <v/>
      </c>
      <c r="P792" s="69" t="str">
        <f>IF(A792="","",IF(A792=Expiry,0,AK792*I792*Mult*((-EXP(-q*Q792)*E792*_xlfn.NORM.S.DIST(Y792,0)*sigma/(2*SQRT(Q792))-r_dom*K*EXP(-r_dom*Q792)*_xlfn.NORM.S.DIST(Z792,1)+q*E792*EXP(-q*Q792)*_xlfn.NORM.S.DIST(Y792,1))/365)))</f>
        <v/>
      </c>
      <c r="Q792" s="83" t="str">
        <f t="shared" si="311"/>
        <v/>
      </c>
      <c r="R792" s="38"/>
      <c r="S792" s="68" t="str">
        <f t="shared" si="312"/>
        <v/>
      </c>
      <c r="T792" s="69" t="str">
        <f t="shared" si="313"/>
        <v/>
      </c>
      <c r="U792" s="70" t="str">
        <f t="shared" si="314"/>
        <v/>
      </c>
      <c r="V792" s="72" t="str">
        <f t="shared" si="315"/>
        <v/>
      </c>
      <c r="W792" s="2" t="str">
        <f t="shared" si="302"/>
        <v/>
      </c>
      <c r="X792" s="2" t="str">
        <f t="shared" si="297"/>
        <v/>
      </c>
      <c r="Y792" s="35" t="str">
        <f t="shared" ca="1" si="316"/>
        <v/>
      </c>
      <c r="Z792" s="36" t="str">
        <f t="shared" ca="1" si="317"/>
        <v/>
      </c>
      <c r="AA792" s="70" t="str">
        <f t="shared" si="318"/>
        <v/>
      </c>
      <c r="AB792" s="2"/>
      <c r="AC792" s="94" t="str">
        <f t="shared" si="298"/>
        <v/>
      </c>
      <c r="AD792" s="95" t="str">
        <f t="shared" si="299"/>
        <v/>
      </c>
      <c r="AE792" s="96" t="str">
        <f t="shared" si="300"/>
        <v/>
      </c>
      <c r="AF792" s="124" t="str">
        <f t="shared" si="301"/>
        <v/>
      </c>
      <c r="AG792" s="2"/>
      <c r="AH792" s="2"/>
      <c r="AI792" s="2"/>
      <c r="AJ792" s="2"/>
      <c r="AK792" s="2"/>
      <c r="AL792" s="2"/>
    </row>
    <row r="793" spans="1:38" x14ac:dyDescent="0.2">
      <c r="A793" s="45"/>
      <c r="B793" s="43" t="str">
        <f t="shared" si="304"/>
        <v/>
      </c>
      <c r="C793" s="96" t="str">
        <f t="shared" si="303"/>
        <v/>
      </c>
      <c r="D793" s="44" t="str">
        <f t="shared" si="305"/>
        <v/>
      </c>
      <c r="E793" s="52"/>
      <c r="F793" s="63" t="str">
        <f t="shared" si="306"/>
        <v/>
      </c>
      <c r="G793" s="56" t="str">
        <f t="shared" si="307"/>
        <v/>
      </c>
      <c r="H793" s="42"/>
      <c r="I793" s="2" t="str">
        <f t="shared" si="308"/>
        <v/>
      </c>
      <c r="J793" s="54" t="str">
        <f t="shared" si="295"/>
        <v/>
      </c>
      <c r="K793" s="55" t="str">
        <f t="shared" si="309"/>
        <v/>
      </c>
      <c r="L793" s="63" t="str">
        <f t="shared" si="310"/>
        <v/>
      </c>
      <c r="M793" s="96" t="str">
        <f t="shared" si="296"/>
        <v/>
      </c>
      <c r="N793" s="96" t="str">
        <f>IF(A793="","",IF(A793=Expiry,0,EXP(-q*Q793)*_xlfn.NORM.S.DIST(Y793,0)/(sigma*SQRT(Q793))*I793*Mult/100))</f>
        <v/>
      </c>
      <c r="O793" s="96" t="str">
        <f>IF(A793="","",IF(A793=Expiry,0,D793*E793*E793*EXP(-q*Q793)*_xlfn.NORM.S.DIST(Y793,0)*SQRT(Q793)/100))</f>
        <v/>
      </c>
      <c r="P793" s="69" t="str">
        <f>IF(A793="","",IF(A793=Expiry,0,AK793*I793*Mult*((-EXP(-q*Q793)*E793*_xlfn.NORM.S.DIST(Y793,0)*sigma/(2*SQRT(Q793))-r_dom*K*EXP(-r_dom*Q793)*_xlfn.NORM.S.DIST(Z793,1)+q*E793*EXP(-q*Q793)*_xlfn.NORM.S.DIST(Y793,1))/365)))</f>
        <v/>
      </c>
      <c r="Q793" s="83" t="str">
        <f t="shared" si="311"/>
        <v/>
      </c>
      <c r="R793" s="38"/>
      <c r="S793" s="68" t="str">
        <f t="shared" si="312"/>
        <v/>
      </c>
      <c r="T793" s="69" t="str">
        <f t="shared" si="313"/>
        <v/>
      </c>
      <c r="U793" s="70" t="str">
        <f t="shared" si="314"/>
        <v/>
      </c>
      <c r="V793" s="72" t="str">
        <f t="shared" si="315"/>
        <v/>
      </c>
      <c r="W793" s="2" t="str">
        <f t="shared" si="302"/>
        <v/>
      </c>
      <c r="X793" s="2" t="str">
        <f t="shared" si="297"/>
        <v/>
      </c>
      <c r="Y793" s="35" t="str">
        <f t="shared" ca="1" si="316"/>
        <v/>
      </c>
      <c r="Z793" s="36" t="str">
        <f t="shared" ca="1" si="317"/>
        <v/>
      </c>
      <c r="AA793" s="70" t="str">
        <f t="shared" si="318"/>
        <v/>
      </c>
      <c r="AB793" s="2"/>
      <c r="AC793" s="94" t="str">
        <f t="shared" si="298"/>
        <v/>
      </c>
      <c r="AD793" s="95" t="str">
        <f t="shared" si="299"/>
        <v/>
      </c>
      <c r="AE793" s="96" t="str">
        <f t="shared" si="300"/>
        <v/>
      </c>
      <c r="AF793" s="124" t="str">
        <f t="shared" si="301"/>
        <v/>
      </c>
      <c r="AG793" s="2"/>
      <c r="AH793" s="2"/>
      <c r="AI793" s="2"/>
      <c r="AJ793" s="2"/>
      <c r="AK793" s="2"/>
      <c r="AL793" s="2"/>
    </row>
    <row r="794" spans="1:38" x14ac:dyDescent="0.2">
      <c r="A794" s="45"/>
      <c r="B794" s="43" t="str">
        <f t="shared" si="304"/>
        <v/>
      </c>
      <c r="C794" s="96" t="str">
        <f t="shared" si="303"/>
        <v/>
      </c>
      <c r="D794" s="44" t="str">
        <f t="shared" si="305"/>
        <v/>
      </c>
      <c r="E794" s="52"/>
      <c r="F794" s="63" t="str">
        <f t="shared" si="306"/>
        <v/>
      </c>
      <c r="G794" s="56" t="str">
        <f t="shared" si="307"/>
        <v/>
      </c>
      <c r="H794" s="42"/>
      <c r="I794" s="2" t="str">
        <f t="shared" si="308"/>
        <v/>
      </c>
      <c r="J794" s="54" t="str">
        <f t="shared" si="295"/>
        <v/>
      </c>
      <c r="K794" s="55" t="str">
        <f t="shared" si="309"/>
        <v/>
      </c>
      <c r="L794" s="63" t="str">
        <f t="shared" si="310"/>
        <v/>
      </c>
      <c r="M794" s="96" t="str">
        <f t="shared" si="296"/>
        <v/>
      </c>
      <c r="N794" s="96" t="str">
        <f>IF(A794="","",IF(A794=Expiry,0,EXP(-q*Q794)*_xlfn.NORM.S.DIST(Y794,0)/(sigma*SQRT(Q794))*I794*Mult/100))</f>
        <v/>
      </c>
      <c r="O794" s="96" t="str">
        <f>IF(A794="","",IF(A794=Expiry,0,D794*E794*E794*EXP(-q*Q794)*_xlfn.NORM.S.DIST(Y794,0)*SQRT(Q794)/100))</f>
        <v/>
      </c>
      <c r="P794" s="69" t="str">
        <f>IF(A794="","",IF(A794=Expiry,0,AK794*I794*Mult*((-EXP(-q*Q794)*E794*_xlfn.NORM.S.DIST(Y794,0)*sigma/(2*SQRT(Q794))-r_dom*K*EXP(-r_dom*Q794)*_xlfn.NORM.S.DIST(Z794,1)+q*E794*EXP(-q*Q794)*_xlfn.NORM.S.DIST(Y794,1))/365)))</f>
        <v/>
      </c>
      <c r="Q794" s="83" t="str">
        <f t="shared" si="311"/>
        <v/>
      </c>
      <c r="R794" s="38"/>
      <c r="S794" s="68" t="str">
        <f t="shared" si="312"/>
        <v/>
      </c>
      <c r="T794" s="69" t="str">
        <f t="shared" si="313"/>
        <v/>
      </c>
      <c r="U794" s="70" t="str">
        <f t="shared" si="314"/>
        <v/>
      </c>
      <c r="V794" s="72" t="str">
        <f t="shared" si="315"/>
        <v/>
      </c>
      <c r="W794" s="2" t="str">
        <f t="shared" si="302"/>
        <v/>
      </c>
      <c r="X794" s="2" t="str">
        <f t="shared" si="297"/>
        <v/>
      </c>
      <c r="Y794" s="35" t="str">
        <f t="shared" ca="1" si="316"/>
        <v/>
      </c>
      <c r="Z794" s="36" t="str">
        <f t="shared" ca="1" si="317"/>
        <v/>
      </c>
      <c r="AA794" s="70" t="str">
        <f t="shared" si="318"/>
        <v/>
      </c>
      <c r="AB794" s="2"/>
      <c r="AC794" s="94" t="str">
        <f t="shared" si="298"/>
        <v/>
      </c>
      <c r="AD794" s="95" t="str">
        <f t="shared" si="299"/>
        <v/>
      </c>
      <c r="AE794" s="96" t="str">
        <f t="shared" si="300"/>
        <v/>
      </c>
      <c r="AF794" s="124" t="str">
        <f t="shared" si="301"/>
        <v/>
      </c>
      <c r="AG794" s="2"/>
      <c r="AH794" s="2"/>
      <c r="AI794" s="2"/>
      <c r="AJ794" s="2"/>
      <c r="AK794" s="2"/>
      <c r="AL794" s="2"/>
    </row>
    <row r="795" spans="1:38" x14ac:dyDescent="0.2">
      <c r="A795" s="45"/>
      <c r="B795" s="43" t="str">
        <f t="shared" si="304"/>
        <v/>
      </c>
      <c r="C795" s="96" t="str">
        <f t="shared" si="303"/>
        <v/>
      </c>
      <c r="D795" s="44" t="str">
        <f t="shared" si="305"/>
        <v/>
      </c>
      <c r="E795" s="52"/>
      <c r="F795" s="63" t="str">
        <f t="shared" si="306"/>
        <v/>
      </c>
      <c r="G795" s="56" t="str">
        <f t="shared" si="307"/>
        <v/>
      </c>
      <c r="H795" s="42"/>
      <c r="I795" s="2" t="str">
        <f t="shared" si="308"/>
        <v/>
      </c>
      <c r="J795" s="54" t="str">
        <f t="shared" si="295"/>
        <v/>
      </c>
      <c r="K795" s="55" t="str">
        <f t="shared" si="309"/>
        <v/>
      </c>
      <c r="L795" s="63" t="str">
        <f t="shared" si="310"/>
        <v/>
      </c>
      <c r="M795" s="96" t="str">
        <f t="shared" si="296"/>
        <v/>
      </c>
      <c r="N795" s="96" t="str">
        <f>IF(A795="","",IF(A795=Expiry,0,EXP(-q*Q795)*_xlfn.NORM.S.DIST(Y795,0)/(sigma*SQRT(Q795))*I795*Mult/100))</f>
        <v/>
      </c>
      <c r="O795" s="96" t="str">
        <f>IF(A795="","",IF(A795=Expiry,0,D795*E795*E795*EXP(-q*Q795)*_xlfn.NORM.S.DIST(Y795,0)*SQRT(Q795)/100))</f>
        <v/>
      </c>
      <c r="P795" s="69" t="str">
        <f>IF(A795="","",IF(A795=Expiry,0,AK795*I795*Mult*((-EXP(-q*Q795)*E795*_xlfn.NORM.S.DIST(Y795,0)*sigma/(2*SQRT(Q795))-r_dom*K*EXP(-r_dom*Q795)*_xlfn.NORM.S.DIST(Z795,1)+q*E795*EXP(-q*Q795)*_xlfn.NORM.S.DIST(Y795,1))/365)))</f>
        <v/>
      </c>
      <c r="Q795" s="83" t="str">
        <f t="shared" si="311"/>
        <v/>
      </c>
      <c r="R795" s="38"/>
      <c r="S795" s="68" t="str">
        <f t="shared" si="312"/>
        <v/>
      </c>
      <c r="T795" s="69" t="str">
        <f t="shared" si="313"/>
        <v/>
      </c>
      <c r="U795" s="70" t="str">
        <f t="shared" si="314"/>
        <v/>
      </c>
      <c r="V795" s="72" t="str">
        <f t="shared" si="315"/>
        <v/>
      </c>
      <c r="W795" s="2" t="str">
        <f t="shared" si="302"/>
        <v/>
      </c>
      <c r="X795" s="2" t="str">
        <f t="shared" si="297"/>
        <v/>
      </c>
      <c r="Y795" s="35" t="str">
        <f t="shared" ca="1" si="316"/>
        <v/>
      </c>
      <c r="Z795" s="36" t="str">
        <f t="shared" ca="1" si="317"/>
        <v/>
      </c>
      <c r="AA795" s="70" t="str">
        <f t="shared" si="318"/>
        <v/>
      </c>
      <c r="AB795" s="2"/>
      <c r="AC795" s="94" t="str">
        <f t="shared" si="298"/>
        <v/>
      </c>
      <c r="AD795" s="95" t="str">
        <f t="shared" si="299"/>
        <v/>
      </c>
      <c r="AE795" s="96" t="str">
        <f t="shared" si="300"/>
        <v/>
      </c>
      <c r="AF795" s="124" t="str">
        <f t="shared" si="301"/>
        <v/>
      </c>
      <c r="AG795" s="2"/>
      <c r="AH795" s="2"/>
      <c r="AI795" s="2"/>
      <c r="AJ795" s="2"/>
      <c r="AK795" s="2"/>
      <c r="AL795" s="2"/>
    </row>
    <row r="796" spans="1:38" x14ac:dyDescent="0.2">
      <c r="A796" s="45"/>
      <c r="B796" s="43" t="str">
        <f t="shared" si="304"/>
        <v/>
      </c>
      <c r="C796" s="96" t="str">
        <f t="shared" si="303"/>
        <v/>
      </c>
      <c r="D796" s="44" t="str">
        <f t="shared" si="305"/>
        <v/>
      </c>
      <c r="E796" s="52"/>
      <c r="F796" s="63" t="str">
        <f t="shared" si="306"/>
        <v/>
      </c>
      <c r="G796" s="56" t="str">
        <f t="shared" si="307"/>
        <v/>
      </c>
      <c r="H796" s="42"/>
      <c r="I796" s="2" t="str">
        <f t="shared" si="308"/>
        <v/>
      </c>
      <c r="J796" s="54" t="str">
        <f t="shared" si="295"/>
        <v/>
      </c>
      <c r="K796" s="55" t="str">
        <f t="shared" si="309"/>
        <v/>
      </c>
      <c r="L796" s="63" t="str">
        <f t="shared" si="310"/>
        <v/>
      </c>
      <c r="M796" s="96" t="str">
        <f t="shared" si="296"/>
        <v/>
      </c>
      <c r="N796" s="96" t="str">
        <f>IF(A796="","",IF(A796=Expiry,0,EXP(-q*Q796)*_xlfn.NORM.S.DIST(Y796,0)/(sigma*SQRT(Q796))*I796*Mult/100))</f>
        <v/>
      </c>
      <c r="O796" s="96" t="str">
        <f>IF(A796="","",IF(A796=Expiry,0,D796*E796*E796*EXP(-q*Q796)*_xlfn.NORM.S.DIST(Y796,0)*SQRT(Q796)/100))</f>
        <v/>
      </c>
      <c r="P796" s="69" t="str">
        <f>IF(A796="","",IF(A796=Expiry,0,AK796*I796*Mult*((-EXP(-q*Q796)*E796*_xlfn.NORM.S.DIST(Y796,0)*sigma/(2*SQRT(Q796))-r_dom*K*EXP(-r_dom*Q796)*_xlfn.NORM.S.DIST(Z796,1)+q*E796*EXP(-q*Q796)*_xlfn.NORM.S.DIST(Y796,1))/365)))</f>
        <v/>
      </c>
      <c r="Q796" s="83" t="str">
        <f t="shared" si="311"/>
        <v/>
      </c>
      <c r="R796" s="38"/>
      <c r="S796" s="68" t="str">
        <f t="shared" si="312"/>
        <v/>
      </c>
      <c r="T796" s="69" t="str">
        <f t="shared" si="313"/>
        <v/>
      </c>
      <c r="U796" s="70" t="str">
        <f t="shared" si="314"/>
        <v/>
      </c>
      <c r="V796" s="72" t="str">
        <f t="shared" si="315"/>
        <v/>
      </c>
      <c r="W796" s="2" t="str">
        <f t="shared" si="302"/>
        <v/>
      </c>
      <c r="X796" s="2" t="str">
        <f t="shared" si="297"/>
        <v/>
      </c>
      <c r="Y796" s="35" t="str">
        <f t="shared" ca="1" si="316"/>
        <v/>
      </c>
      <c r="Z796" s="36" t="str">
        <f t="shared" ca="1" si="317"/>
        <v/>
      </c>
      <c r="AA796" s="70" t="str">
        <f t="shared" si="318"/>
        <v/>
      </c>
      <c r="AB796" s="2"/>
      <c r="AC796" s="94" t="str">
        <f t="shared" si="298"/>
        <v/>
      </c>
      <c r="AD796" s="95" t="str">
        <f t="shared" si="299"/>
        <v/>
      </c>
      <c r="AE796" s="96" t="str">
        <f t="shared" si="300"/>
        <v/>
      </c>
      <c r="AF796" s="124" t="str">
        <f t="shared" si="301"/>
        <v/>
      </c>
      <c r="AG796" s="2"/>
      <c r="AH796" s="2"/>
      <c r="AI796" s="2"/>
      <c r="AJ796" s="2"/>
      <c r="AK796" s="2"/>
      <c r="AL796" s="2"/>
    </row>
    <row r="797" spans="1:38" x14ac:dyDescent="0.2">
      <c r="A797" s="45"/>
      <c r="B797" s="43" t="str">
        <f t="shared" si="304"/>
        <v/>
      </c>
      <c r="C797" s="96" t="str">
        <f t="shared" si="303"/>
        <v/>
      </c>
      <c r="D797" s="44" t="str">
        <f t="shared" si="305"/>
        <v/>
      </c>
      <c r="E797" s="52"/>
      <c r="F797" s="63" t="str">
        <f t="shared" si="306"/>
        <v/>
      </c>
      <c r="G797" s="56" t="str">
        <f t="shared" si="307"/>
        <v/>
      </c>
      <c r="H797" s="42"/>
      <c r="I797" s="2" t="str">
        <f t="shared" si="308"/>
        <v/>
      </c>
      <c r="J797" s="54" t="str">
        <f t="shared" si="295"/>
        <v/>
      </c>
      <c r="K797" s="55" t="str">
        <f t="shared" si="309"/>
        <v/>
      </c>
      <c r="L797" s="63" t="str">
        <f t="shared" si="310"/>
        <v/>
      </c>
      <c r="M797" s="96" t="str">
        <f t="shared" si="296"/>
        <v/>
      </c>
      <c r="N797" s="96" t="str">
        <f>IF(A797="","",IF(A797=Expiry,0,EXP(-q*Q797)*_xlfn.NORM.S.DIST(Y797,0)/(sigma*SQRT(Q797))*I797*Mult/100))</f>
        <v/>
      </c>
      <c r="O797" s="96" t="str">
        <f>IF(A797="","",IF(A797=Expiry,0,D797*E797*E797*EXP(-q*Q797)*_xlfn.NORM.S.DIST(Y797,0)*SQRT(Q797)/100))</f>
        <v/>
      </c>
      <c r="P797" s="69" t="str">
        <f>IF(A797="","",IF(A797=Expiry,0,AK797*I797*Mult*((-EXP(-q*Q797)*E797*_xlfn.NORM.S.DIST(Y797,0)*sigma/(2*SQRT(Q797))-r_dom*K*EXP(-r_dom*Q797)*_xlfn.NORM.S.DIST(Z797,1)+q*E797*EXP(-q*Q797)*_xlfn.NORM.S.DIST(Y797,1))/365)))</f>
        <v/>
      </c>
      <c r="Q797" s="83" t="str">
        <f t="shared" si="311"/>
        <v/>
      </c>
      <c r="R797" s="38"/>
      <c r="S797" s="68" t="str">
        <f t="shared" si="312"/>
        <v/>
      </c>
      <c r="T797" s="69" t="str">
        <f t="shared" si="313"/>
        <v/>
      </c>
      <c r="U797" s="70" t="str">
        <f t="shared" si="314"/>
        <v/>
      </c>
      <c r="V797" s="72" t="str">
        <f t="shared" si="315"/>
        <v/>
      </c>
      <c r="W797" s="2" t="str">
        <f t="shared" si="302"/>
        <v/>
      </c>
      <c r="X797" s="2" t="str">
        <f t="shared" si="297"/>
        <v/>
      </c>
      <c r="Y797" s="35" t="str">
        <f t="shared" ca="1" si="316"/>
        <v/>
      </c>
      <c r="Z797" s="36" t="str">
        <f t="shared" ca="1" si="317"/>
        <v/>
      </c>
      <c r="AA797" s="70" t="str">
        <f t="shared" si="318"/>
        <v/>
      </c>
      <c r="AB797" s="2"/>
      <c r="AC797" s="94" t="str">
        <f t="shared" si="298"/>
        <v/>
      </c>
      <c r="AD797" s="95" t="str">
        <f t="shared" si="299"/>
        <v/>
      </c>
      <c r="AE797" s="96" t="str">
        <f t="shared" si="300"/>
        <v/>
      </c>
      <c r="AF797" s="124" t="str">
        <f t="shared" si="301"/>
        <v/>
      </c>
      <c r="AG797" s="2"/>
      <c r="AH797" s="2"/>
      <c r="AI797" s="2"/>
      <c r="AJ797" s="2"/>
      <c r="AK797" s="2"/>
      <c r="AL797" s="2"/>
    </row>
    <row r="798" spans="1:38" x14ac:dyDescent="0.2">
      <c r="A798" s="45"/>
      <c r="B798" s="43" t="str">
        <f t="shared" si="304"/>
        <v/>
      </c>
      <c r="C798" s="96" t="str">
        <f t="shared" si="303"/>
        <v/>
      </c>
      <c r="D798" s="44" t="str">
        <f t="shared" si="305"/>
        <v/>
      </c>
      <c r="E798" s="52"/>
      <c r="F798" s="63" t="str">
        <f t="shared" si="306"/>
        <v/>
      </c>
      <c r="G798" s="56" t="str">
        <f t="shared" si="307"/>
        <v/>
      </c>
      <c r="H798" s="42"/>
      <c r="I798" s="2" t="str">
        <f t="shared" si="308"/>
        <v/>
      </c>
      <c r="J798" s="54" t="str">
        <f t="shared" si="295"/>
        <v/>
      </c>
      <c r="K798" s="55" t="str">
        <f t="shared" si="309"/>
        <v/>
      </c>
      <c r="L798" s="63" t="str">
        <f t="shared" si="310"/>
        <v/>
      </c>
      <c r="M798" s="96" t="str">
        <f t="shared" si="296"/>
        <v/>
      </c>
      <c r="N798" s="96" t="str">
        <f>IF(A798="","",IF(A798=Expiry,0,EXP(-q*Q798)*_xlfn.NORM.S.DIST(Y798,0)/(sigma*SQRT(Q798))*I798*Mult/100))</f>
        <v/>
      </c>
      <c r="O798" s="96" t="str">
        <f>IF(A798="","",IF(A798=Expiry,0,D798*E798*E798*EXP(-q*Q798)*_xlfn.NORM.S.DIST(Y798,0)*SQRT(Q798)/100))</f>
        <v/>
      </c>
      <c r="P798" s="69" t="str">
        <f>IF(A798="","",IF(A798=Expiry,0,AK798*I798*Mult*((-EXP(-q*Q798)*E798*_xlfn.NORM.S.DIST(Y798,0)*sigma/(2*SQRT(Q798))-r_dom*K*EXP(-r_dom*Q798)*_xlfn.NORM.S.DIST(Z798,1)+q*E798*EXP(-q*Q798)*_xlfn.NORM.S.DIST(Y798,1))/365)))</f>
        <v/>
      </c>
      <c r="Q798" s="83" t="str">
        <f t="shared" si="311"/>
        <v/>
      </c>
      <c r="R798" s="38"/>
      <c r="S798" s="68" t="str">
        <f t="shared" si="312"/>
        <v/>
      </c>
      <c r="T798" s="69" t="str">
        <f t="shared" si="313"/>
        <v/>
      </c>
      <c r="U798" s="70" t="str">
        <f t="shared" si="314"/>
        <v/>
      </c>
      <c r="V798" s="72" t="str">
        <f t="shared" si="315"/>
        <v/>
      </c>
      <c r="W798" s="2" t="str">
        <f t="shared" si="302"/>
        <v/>
      </c>
      <c r="X798" s="2" t="str">
        <f t="shared" si="297"/>
        <v/>
      </c>
      <c r="Y798" s="35" t="str">
        <f t="shared" ca="1" si="316"/>
        <v/>
      </c>
      <c r="Z798" s="36" t="str">
        <f t="shared" ca="1" si="317"/>
        <v/>
      </c>
      <c r="AA798" s="70" t="str">
        <f t="shared" si="318"/>
        <v/>
      </c>
      <c r="AB798" s="2"/>
      <c r="AC798" s="94" t="str">
        <f t="shared" si="298"/>
        <v/>
      </c>
      <c r="AD798" s="95" t="str">
        <f t="shared" si="299"/>
        <v/>
      </c>
      <c r="AE798" s="96" t="str">
        <f t="shared" si="300"/>
        <v/>
      </c>
      <c r="AF798" s="124" t="str">
        <f t="shared" si="301"/>
        <v/>
      </c>
      <c r="AG798" s="2"/>
      <c r="AH798" s="2"/>
      <c r="AI798" s="2"/>
      <c r="AJ798" s="2"/>
      <c r="AK798" s="2"/>
      <c r="AL798" s="2"/>
    </row>
    <row r="799" spans="1:38" x14ac:dyDescent="0.2">
      <c r="A799" s="45"/>
      <c r="B799" s="43" t="str">
        <f t="shared" si="304"/>
        <v/>
      </c>
      <c r="C799" s="96" t="str">
        <f t="shared" si="303"/>
        <v/>
      </c>
      <c r="D799" s="44" t="str">
        <f t="shared" si="305"/>
        <v/>
      </c>
      <c r="E799" s="52"/>
      <c r="F799" s="63" t="str">
        <f t="shared" si="306"/>
        <v/>
      </c>
      <c r="G799" s="56" t="str">
        <f t="shared" si="307"/>
        <v/>
      </c>
      <c r="H799" s="42"/>
      <c r="I799" s="2" t="str">
        <f t="shared" si="308"/>
        <v/>
      </c>
      <c r="J799" s="54" t="str">
        <f t="shared" si="295"/>
        <v/>
      </c>
      <c r="K799" s="55" t="str">
        <f t="shared" si="309"/>
        <v/>
      </c>
      <c r="L799" s="63" t="str">
        <f t="shared" si="310"/>
        <v/>
      </c>
      <c r="M799" s="96" t="str">
        <f t="shared" si="296"/>
        <v/>
      </c>
      <c r="N799" s="96" t="str">
        <f>IF(A799="","",IF(A799=Expiry,0,EXP(-q*Q799)*_xlfn.NORM.S.DIST(Y799,0)/(sigma*SQRT(Q799))*I799*Mult/100))</f>
        <v/>
      </c>
      <c r="O799" s="96" t="str">
        <f>IF(A799="","",IF(A799=Expiry,0,D799*E799*E799*EXP(-q*Q799)*_xlfn.NORM.S.DIST(Y799,0)*SQRT(Q799)/100))</f>
        <v/>
      </c>
      <c r="P799" s="69" t="str">
        <f>IF(A799="","",IF(A799=Expiry,0,AK799*I799*Mult*((-EXP(-q*Q799)*E799*_xlfn.NORM.S.DIST(Y799,0)*sigma/(2*SQRT(Q799))-r_dom*K*EXP(-r_dom*Q799)*_xlfn.NORM.S.DIST(Z799,1)+q*E799*EXP(-q*Q799)*_xlfn.NORM.S.DIST(Y799,1))/365)))</f>
        <v/>
      </c>
      <c r="Q799" s="83" t="str">
        <f t="shared" si="311"/>
        <v/>
      </c>
      <c r="R799" s="38"/>
      <c r="S799" s="68" t="str">
        <f t="shared" si="312"/>
        <v/>
      </c>
      <c r="T799" s="69" t="str">
        <f t="shared" si="313"/>
        <v/>
      </c>
      <c r="U799" s="70" t="str">
        <f t="shared" si="314"/>
        <v/>
      </c>
      <c r="V799" s="72" t="str">
        <f t="shared" si="315"/>
        <v/>
      </c>
      <c r="W799" s="2" t="str">
        <f t="shared" si="302"/>
        <v/>
      </c>
      <c r="X799" s="2" t="str">
        <f t="shared" si="297"/>
        <v/>
      </c>
      <c r="Y799" s="35" t="str">
        <f t="shared" ca="1" si="316"/>
        <v/>
      </c>
      <c r="Z799" s="36" t="str">
        <f t="shared" ca="1" si="317"/>
        <v/>
      </c>
      <c r="AA799" s="70" t="str">
        <f t="shared" si="318"/>
        <v/>
      </c>
      <c r="AB799" s="2"/>
      <c r="AC799" s="94" t="str">
        <f t="shared" si="298"/>
        <v/>
      </c>
      <c r="AD799" s="95" t="str">
        <f t="shared" si="299"/>
        <v/>
      </c>
      <c r="AE799" s="96" t="str">
        <f t="shared" si="300"/>
        <v/>
      </c>
      <c r="AF799" s="124" t="str">
        <f t="shared" si="301"/>
        <v/>
      </c>
      <c r="AG799" s="2"/>
      <c r="AH799" s="2"/>
      <c r="AI799" s="2"/>
      <c r="AJ799" s="2"/>
      <c r="AK799" s="2"/>
      <c r="AL799" s="2"/>
    </row>
    <row r="800" spans="1:38" x14ac:dyDescent="0.2">
      <c r="A800" s="45"/>
      <c r="B800" s="43" t="str">
        <f t="shared" si="304"/>
        <v/>
      </c>
      <c r="C800" s="96" t="str">
        <f t="shared" si="303"/>
        <v/>
      </c>
      <c r="D800" s="44" t="str">
        <f t="shared" si="305"/>
        <v/>
      </c>
      <c r="E800" s="52"/>
      <c r="F800" s="63" t="str">
        <f t="shared" si="306"/>
        <v/>
      </c>
      <c r="G800" s="56" t="str">
        <f t="shared" si="307"/>
        <v/>
      </c>
      <c r="H800" s="42"/>
      <c r="I800" s="2" t="str">
        <f t="shared" si="308"/>
        <v/>
      </c>
      <c r="J800" s="54" t="str">
        <f t="shared" si="295"/>
        <v/>
      </c>
      <c r="K800" s="55" t="str">
        <f t="shared" si="309"/>
        <v/>
      </c>
      <c r="L800" s="63" t="str">
        <f t="shared" si="310"/>
        <v/>
      </c>
      <c r="M800" s="96" t="str">
        <f t="shared" si="296"/>
        <v/>
      </c>
      <c r="N800" s="96" t="str">
        <f>IF(A800="","",IF(A800=Expiry,0,EXP(-q*Q800)*_xlfn.NORM.S.DIST(Y800,0)/(sigma*SQRT(Q800))*I800*Mult/100))</f>
        <v/>
      </c>
      <c r="O800" s="96" t="str">
        <f>IF(A800="","",IF(A800=Expiry,0,D800*E800*E800*EXP(-q*Q800)*_xlfn.NORM.S.DIST(Y800,0)*SQRT(Q800)/100))</f>
        <v/>
      </c>
      <c r="P800" s="69" t="str">
        <f>IF(A800="","",IF(A800=Expiry,0,AK800*I800*Mult*((-EXP(-q*Q800)*E800*_xlfn.NORM.S.DIST(Y800,0)*sigma/(2*SQRT(Q800))-r_dom*K*EXP(-r_dom*Q800)*_xlfn.NORM.S.DIST(Z800,1)+q*E800*EXP(-q*Q800)*_xlfn.NORM.S.DIST(Y800,1))/365)))</f>
        <v/>
      </c>
      <c r="Q800" s="83" t="str">
        <f t="shared" si="311"/>
        <v/>
      </c>
      <c r="R800" s="38"/>
      <c r="S800" s="68" t="str">
        <f t="shared" si="312"/>
        <v/>
      </c>
      <c r="T800" s="69" t="str">
        <f t="shared" si="313"/>
        <v/>
      </c>
      <c r="U800" s="70" t="str">
        <f t="shared" si="314"/>
        <v/>
      </c>
      <c r="V800" s="72" t="str">
        <f t="shared" si="315"/>
        <v/>
      </c>
      <c r="W800" s="2" t="str">
        <f t="shared" si="302"/>
        <v/>
      </c>
      <c r="X800" s="2" t="str">
        <f t="shared" si="297"/>
        <v/>
      </c>
      <c r="Y800" s="35" t="str">
        <f t="shared" ca="1" si="316"/>
        <v/>
      </c>
      <c r="Z800" s="36" t="str">
        <f t="shared" ca="1" si="317"/>
        <v/>
      </c>
      <c r="AA800" s="70" t="str">
        <f t="shared" si="318"/>
        <v/>
      </c>
      <c r="AB800" s="2"/>
      <c r="AC800" s="94" t="str">
        <f t="shared" si="298"/>
        <v/>
      </c>
      <c r="AD800" s="95" t="str">
        <f t="shared" si="299"/>
        <v/>
      </c>
      <c r="AE800" s="96" t="str">
        <f t="shared" si="300"/>
        <v/>
      </c>
      <c r="AF800" s="124" t="str">
        <f t="shared" si="301"/>
        <v/>
      </c>
      <c r="AG800" s="2"/>
      <c r="AH800" s="2"/>
      <c r="AI800" s="2"/>
      <c r="AJ800" s="2"/>
      <c r="AK800" s="2"/>
      <c r="AL800" s="2"/>
    </row>
    <row r="801" spans="1:38" x14ac:dyDescent="0.2">
      <c r="A801" s="45"/>
      <c r="B801" s="43" t="str">
        <f t="shared" si="304"/>
        <v/>
      </c>
      <c r="C801" s="96" t="str">
        <f t="shared" si="303"/>
        <v/>
      </c>
      <c r="D801" s="44" t="str">
        <f t="shared" si="305"/>
        <v/>
      </c>
      <c r="E801" s="52"/>
      <c r="F801" s="63" t="str">
        <f t="shared" si="306"/>
        <v/>
      </c>
      <c r="G801" s="56" t="str">
        <f t="shared" si="307"/>
        <v/>
      </c>
      <c r="H801" s="42"/>
      <c r="I801" s="2" t="str">
        <f t="shared" si="308"/>
        <v/>
      </c>
      <c r="J801" s="54" t="str">
        <f t="shared" si="295"/>
        <v/>
      </c>
      <c r="K801" s="55" t="str">
        <f t="shared" si="309"/>
        <v/>
      </c>
      <c r="L801" s="63" t="str">
        <f t="shared" si="310"/>
        <v/>
      </c>
      <c r="M801" s="96" t="str">
        <f t="shared" si="296"/>
        <v/>
      </c>
      <c r="N801" s="96" t="str">
        <f>IF(A801="","",IF(A801=Expiry,0,EXP(-q*Q801)*_xlfn.NORM.S.DIST(Y801,0)/(sigma*SQRT(Q801))*I801*Mult/100))</f>
        <v/>
      </c>
      <c r="O801" s="96" t="str">
        <f>IF(A801="","",IF(A801=Expiry,0,D801*E801*E801*EXP(-q*Q801)*_xlfn.NORM.S.DIST(Y801,0)*SQRT(Q801)/100))</f>
        <v/>
      </c>
      <c r="P801" s="69" t="str">
        <f>IF(A801="","",IF(A801=Expiry,0,AK801*I801*Mult*((-EXP(-q*Q801)*E801*_xlfn.NORM.S.DIST(Y801,0)*sigma/(2*SQRT(Q801))-r_dom*K*EXP(-r_dom*Q801)*_xlfn.NORM.S.DIST(Z801,1)+q*E801*EXP(-q*Q801)*_xlfn.NORM.S.DIST(Y801,1))/365)))</f>
        <v/>
      </c>
      <c r="Q801" s="83" t="str">
        <f t="shared" si="311"/>
        <v/>
      </c>
      <c r="R801" s="38"/>
      <c r="S801" s="68" t="str">
        <f t="shared" si="312"/>
        <v/>
      </c>
      <c r="T801" s="69" t="str">
        <f t="shared" si="313"/>
        <v/>
      </c>
      <c r="U801" s="70" t="str">
        <f t="shared" si="314"/>
        <v/>
      </c>
      <c r="V801" s="72" t="str">
        <f t="shared" si="315"/>
        <v/>
      </c>
      <c r="W801" s="2" t="str">
        <f t="shared" si="302"/>
        <v/>
      </c>
      <c r="X801" s="2" t="str">
        <f t="shared" si="297"/>
        <v/>
      </c>
      <c r="Y801" s="35" t="str">
        <f t="shared" ca="1" si="316"/>
        <v/>
      </c>
      <c r="Z801" s="36" t="str">
        <f t="shared" ca="1" si="317"/>
        <v/>
      </c>
      <c r="AA801" s="70" t="str">
        <f t="shared" si="318"/>
        <v/>
      </c>
      <c r="AB801" s="2"/>
      <c r="AC801" s="94" t="str">
        <f t="shared" si="298"/>
        <v/>
      </c>
      <c r="AD801" s="95" t="str">
        <f t="shared" si="299"/>
        <v/>
      </c>
      <c r="AE801" s="96" t="str">
        <f t="shared" si="300"/>
        <v/>
      </c>
      <c r="AF801" s="124" t="str">
        <f t="shared" si="301"/>
        <v/>
      </c>
      <c r="AG801" s="2"/>
      <c r="AH801" s="2"/>
      <c r="AI801" s="2"/>
      <c r="AJ801" s="2"/>
      <c r="AK801" s="2"/>
      <c r="AL801" s="2"/>
    </row>
    <row r="802" spans="1:38" x14ac:dyDescent="0.2">
      <c r="A802" s="45"/>
      <c r="B802" s="43" t="str">
        <f t="shared" si="304"/>
        <v/>
      </c>
      <c r="C802" s="96" t="str">
        <f t="shared" si="303"/>
        <v/>
      </c>
      <c r="D802" s="44" t="str">
        <f t="shared" si="305"/>
        <v/>
      </c>
      <c r="E802" s="52"/>
      <c r="F802" s="63" t="str">
        <f t="shared" si="306"/>
        <v/>
      </c>
      <c r="G802" s="56" t="str">
        <f t="shared" si="307"/>
        <v/>
      </c>
      <c r="H802" s="42"/>
      <c r="I802" s="2" t="str">
        <f t="shared" si="308"/>
        <v/>
      </c>
      <c r="J802" s="54" t="str">
        <f t="shared" si="295"/>
        <v/>
      </c>
      <c r="K802" s="55" t="str">
        <f t="shared" si="309"/>
        <v/>
      </c>
      <c r="L802" s="63" t="str">
        <f t="shared" si="310"/>
        <v/>
      </c>
      <c r="M802" s="96" t="str">
        <f t="shared" si="296"/>
        <v/>
      </c>
      <c r="N802" s="96" t="str">
        <f>IF(A802="","",IF(A802=Expiry,0,EXP(-q*Q802)*_xlfn.NORM.S.DIST(Y802,0)/(sigma*SQRT(Q802))*I802*Mult/100))</f>
        <v/>
      </c>
      <c r="O802" s="96" t="str">
        <f>IF(A802="","",IF(A802=Expiry,0,D802*E802*E802*EXP(-q*Q802)*_xlfn.NORM.S.DIST(Y802,0)*SQRT(Q802)/100))</f>
        <v/>
      </c>
      <c r="P802" s="69" t="str">
        <f>IF(A802="","",IF(A802=Expiry,0,AK802*I802*Mult*((-EXP(-q*Q802)*E802*_xlfn.NORM.S.DIST(Y802,0)*sigma/(2*SQRT(Q802))-r_dom*K*EXP(-r_dom*Q802)*_xlfn.NORM.S.DIST(Z802,1)+q*E802*EXP(-q*Q802)*_xlfn.NORM.S.DIST(Y802,1))/365)))</f>
        <v/>
      </c>
      <c r="Q802" s="83" t="str">
        <f t="shared" si="311"/>
        <v/>
      </c>
      <c r="R802" s="38"/>
      <c r="S802" s="68" t="str">
        <f t="shared" si="312"/>
        <v/>
      </c>
      <c r="T802" s="69" t="str">
        <f t="shared" si="313"/>
        <v/>
      </c>
      <c r="U802" s="70" t="str">
        <f t="shared" si="314"/>
        <v/>
      </c>
      <c r="V802" s="72" t="str">
        <f t="shared" si="315"/>
        <v/>
      </c>
      <c r="W802" s="2" t="str">
        <f t="shared" si="302"/>
        <v/>
      </c>
      <c r="X802" s="2" t="str">
        <f t="shared" si="297"/>
        <v/>
      </c>
      <c r="Y802" s="35" t="str">
        <f t="shared" ca="1" si="316"/>
        <v/>
      </c>
      <c r="Z802" s="36" t="str">
        <f t="shared" ca="1" si="317"/>
        <v/>
      </c>
      <c r="AA802" s="70" t="str">
        <f t="shared" si="318"/>
        <v/>
      </c>
      <c r="AB802" s="2"/>
      <c r="AC802" s="94" t="str">
        <f t="shared" si="298"/>
        <v/>
      </c>
      <c r="AD802" s="95" t="str">
        <f t="shared" si="299"/>
        <v/>
      </c>
      <c r="AE802" s="96" t="str">
        <f t="shared" si="300"/>
        <v/>
      </c>
      <c r="AF802" s="124" t="str">
        <f t="shared" si="301"/>
        <v/>
      </c>
      <c r="AG802" s="2"/>
      <c r="AH802" s="2"/>
      <c r="AI802" s="2"/>
      <c r="AJ802" s="2"/>
      <c r="AK802" s="2"/>
      <c r="AL802" s="2"/>
    </row>
    <row r="803" spans="1:38" x14ac:dyDescent="0.2">
      <c r="A803" s="45"/>
      <c r="B803" s="43" t="str">
        <f t="shared" si="304"/>
        <v/>
      </c>
      <c r="C803" s="96" t="str">
        <f t="shared" si="303"/>
        <v/>
      </c>
      <c r="D803" s="44" t="str">
        <f t="shared" si="305"/>
        <v/>
      </c>
      <c r="E803" s="52"/>
      <c r="F803" s="63" t="str">
        <f t="shared" si="306"/>
        <v/>
      </c>
      <c r="G803" s="56" t="str">
        <f t="shared" si="307"/>
        <v/>
      </c>
      <c r="H803" s="42"/>
      <c r="I803" s="2" t="str">
        <f t="shared" si="308"/>
        <v/>
      </c>
      <c r="J803" s="54" t="str">
        <f t="shared" si="295"/>
        <v/>
      </c>
      <c r="K803" s="55" t="str">
        <f t="shared" si="309"/>
        <v/>
      </c>
      <c r="L803" s="63" t="str">
        <f t="shared" si="310"/>
        <v/>
      </c>
      <c r="M803" s="96" t="str">
        <f t="shared" si="296"/>
        <v/>
      </c>
      <c r="N803" s="96" t="str">
        <f>IF(A803="","",IF(A803=Expiry,0,EXP(-q*Q803)*_xlfn.NORM.S.DIST(Y803,0)/(sigma*SQRT(Q803))*I803*Mult/100))</f>
        <v/>
      </c>
      <c r="O803" s="96" t="str">
        <f>IF(A803="","",IF(A803=Expiry,0,D803*E803*E803*EXP(-q*Q803)*_xlfn.NORM.S.DIST(Y803,0)*SQRT(Q803)/100))</f>
        <v/>
      </c>
      <c r="P803" s="69" t="str">
        <f>IF(A803="","",IF(A803=Expiry,0,AK803*I803*Mult*((-EXP(-q*Q803)*E803*_xlfn.NORM.S.DIST(Y803,0)*sigma/(2*SQRT(Q803))-r_dom*K*EXP(-r_dom*Q803)*_xlfn.NORM.S.DIST(Z803,1)+q*E803*EXP(-q*Q803)*_xlfn.NORM.S.DIST(Y803,1))/365)))</f>
        <v/>
      </c>
      <c r="Q803" s="83" t="str">
        <f t="shared" si="311"/>
        <v/>
      </c>
      <c r="R803" s="38"/>
      <c r="S803" s="68" t="str">
        <f t="shared" si="312"/>
        <v/>
      </c>
      <c r="T803" s="69" t="str">
        <f t="shared" si="313"/>
        <v/>
      </c>
      <c r="U803" s="70" t="str">
        <f t="shared" si="314"/>
        <v/>
      </c>
      <c r="V803" s="72" t="str">
        <f t="shared" si="315"/>
        <v/>
      </c>
      <c r="W803" s="2" t="str">
        <f t="shared" si="302"/>
        <v/>
      </c>
      <c r="X803" s="2" t="str">
        <f t="shared" si="297"/>
        <v/>
      </c>
      <c r="Y803" s="35" t="str">
        <f t="shared" ca="1" si="316"/>
        <v/>
      </c>
      <c r="Z803" s="36" t="str">
        <f t="shared" ca="1" si="317"/>
        <v/>
      </c>
      <c r="AA803" s="70" t="str">
        <f t="shared" si="318"/>
        <v/>
      </c>
      <c r="AB803" s="2"/>
      <c r="AC803" s="94" t="str">
        <f t="shared" si="298"/>
        <v/>
      </c>
      <c r="AD803" s="95" t="str">
        <f t="shared" si="299"/>
        <v/>
      </c>
      <c r="AE803" s="96" t="str">
        <f t="shared" si="300"/>
        <v/>
      </c>
      <c r="AF803" s="124" t="str">
        <f t="shared" si="301"/>
        <v/>
      </c>
      <c r="AG803" s="2"/>
      <c r="AH803" s="2"/>
      <c r="AI803" s="2"/>
      <c r="AJ803" s="2"/>
      <c r="AK803" s="2"/>
      <c r="AL803" s="2"/>
    </row>
    <row r="804" spans="1:38" x14ac:dyDescent="0.2">
      <c r="A804" s="45"/>
      <c r="B804" s="43" t="str">
        <f t="shared" si="304"/>
        <v/>
      </c>
      <c r="C804" s="96" t="str">
        <f t="shared" si="303"/>
        <v/>
      </c>
      <c r="D804" s="44" t="str">
        <f t="shared" si="305"/>
        <v/>
      </c>
      <c r="E804" s="52"/>
      <c r="F804" s="63" t="str">
        <f t="shared" si="306"/>
        <v/>
      </c>
      <c r="G804" s="56" t="str">
        <f t="shared" si="307"/>
        <v/>
      </c>
      <c r="H804" s="42"/>
      <c r="I804" s="2" t="str">
        <f t="shared" si="308"/>
        <v/>
      </c>
      <c r="J804" s="54" t="str">
        <f t="shared" ref="J804:J867" si="319">IF(CorP="C",AC804,AD804)</f>
        <v/>
      </c>
      <c r="K804" s="55" t="str">
        <f t="shared" si="309"/>
        <v/>
      </c>
      <c r="L804" s="63" t="str">
        <f t="shared" si="310"/>
        <v/>
      </c>
      <c r="M804" s="96" t="str">
        <f t="shared" ref="M804:M867" si="320">IF(CorP="C",AE804,AF804)</f>
        <v/>
      </c>
      <c r="N804" s="96" t="str">
        <f>IF(A804="","",IF(A804=Expiry,0,EXP(-q*Q804)*_xlfn.NORM.S.DIST(Y804,0)/(sigma*SQRT(Q804))*I804*Mult/100))</f>
        <v/>
      </c>
      <c r="O804" s="96" t="str">
        <f>IF(A804="","",IF(A804=Expiry,0,D804*E804*E804*EXP(-q*Q804)*_xlfn.NORM.S.DIST(Y804,0)*SQRT(Q804)/100))</f>
        <v/>
      </c>
      <c r="P804" s="69" t="str">
        <f>IF(A804="","",IF(A804=Expiry,0,AK804*I804*Mult*((-EXP(-q*Q804)*E804*_xlfn.NORM.S.DIST(Y804,0)*sigma/(2*SQRT(Q804))-r_dom*K*EXP(-r_dom*Q804)*_xlfn.NORM.S.DIST(Z804,1)+q*E804*EXP(-q*Q804)*_xlfn.NORM.S.DIST(Y804,1))/365)))</f>
        <v/>
      </c>
      <c r="Q804" s="83" t="str">
        <f t="shared" si="311"/>
        <v/>
      </c>
      <c r="R804" s="38"/>
      <c r="S804" s="68" t="str">
        <f t="shared" si="312"/>
        <v/>
      </c>
      <c r="T804" s="69" t="str">
        <f t="shared" si="313"/>
        <v/>
      </c>
      <c r="U804" s="70" t="str">
        <f t="shared" si="314"/>
        <v/>
      </c>
      <c r="V804" s="72" t="str">
        <f t="shared" si="315"/>
        <v/>
      </c>
      <c r="W804" s="2" t="str">
        <f t="shared" si="302"/>
        <v/>
      </c>
      <c r="X804" s="2" t="str">
        <f t="shared" ref="X804:X867" si="321">IF(A804="","",K)</f>
        <v/>
      </c>
      <c r="Y804" s="35" t="str">
        <f t="shared" ca="1" si="316"/>
        <v/>
      </c>
      <c r="Z804" s="36" t="str">
        <f t="shared" ca="1" si="317"/>
        <v/>
      </c>
      <c r="AA804" s="70" t="str">
        <f t="shared" si="318"/>
        <v/>
      </c>
      <c r="AB804" s="2"/>
      <c r="AC804" s="94" t="str">
        <f t="shared" ref="AC804:AC867" si="322">IF(A804="","",IF(A804=Expiry,MAX(E804-K,0),E804*EXP(-q*Q804)*_xlfn.NORM.S.DIST(Y804,1)-K*EXP(-r_dom*Q804)*_xlfn.NORM.S.DIST(Z804,1)))</f>
        <v/>
      </c>
      <c r="AD804" s="95" t="str">
        <f t="shared" ref="AD804:AD867" si="323">IF(A804="","",IF(A804=Expiry,MAX(K-E804,0),K*EXP(-r_dom*Q804)*_xlfn.NORM.S.DIST(-Z804,1)-E804*EXP(-q*Q804)*_xlfn.NORM.S.DIST(-Y804,1)))</f>
        <v/>
      </c>
      <c r="AE804" s="96" t="str">
        <f t="shared" ref="AE804:AE867" si="324">IF(A804="","",I804*Mult*IF(A804=Expiry,IF(E804&gt;K,1,0),EXP(-q*Q804)*_xlfn.NORM.S.DIST(Y804,1)))</f>
        <v/>
      </c>
      <c r="AF804" s="124" t="str">
        <f t="shared" ref="AF804:AF867" si="325">IF(A804="","",I804*Mult*IF(A804=Expiry,IF(E804&lt;K,-1,0),-EXP(-q*Q804)*_xlfn.NORM.S.DIST(-Y804,1)))</f>
        <v/>
      </c>
      <c r="AG804" s="2"/>
      <c r="AH804" s="2"/>
      <c r="AI804" s="2"/>
      <c r="AJ804" s="2"/>
      <c r="AK804" s="2"/>
      <c r="AL804" s="2"/>
    </row>
    <row r="805" spans="1:38" x14ac:dyDescent="0.2">
      <c r="A805" s="45"/>
      <c r="B805" s="43" t="str">
        <f t="shared" si="304"/>
        <v/>
      </c>
      <c r="C805" s="96" t="str">
        <f t="shared" si="303"/>
        <v/>
      </c>
      <c r="D805" s="44" t="str">
        <f t="shared" si="305"/>
        <v/>
      </c>
      <c r="E805" s="52"/>
      <c r="F805" s="63" t="str">
        <f t="shared" si="306"/>
        <v/>
      </c>
      <c r="G805" s="56" t="str">
        <f t="shared" si="307"/>
        <v/>
      </c>
      <c r="H805" s="42"/>
      <c r="I805" s="2" t="str">
        <f t="shared" si="308"/>
        <v/>
      </c>
      <c r="J805" s="54" t="str">
        <f t="shared" si="319"/>
        <v/>
      </c>
      <c r="K805" s="55" t="str">
        <f t="shared" si="309"/>
        <v/>
      </c>
      <c r="L805" s="63" t="str">
        <f t="shared" si="310"/>
        <v/>
      </c>
      <c r="M805" s="96" t="str">
        <f t="shared" si="320"/>
        <v/>
      </c>
      <c r="N805" s="96" t="str">
        <f>IF(A805="","",IF(A805=Expiry,0,EXP(-q*Q805)*_xlfn.NORM.S.DIST(Y805,0)/(sigma*SQRT(Q805))*I805*Mult/100))</f>
        <v/>
      </c>
      <c r="O805" s="96" t="str">
        <f>IF(A805="","",IF(A805=Expiry,0,D805*E805*E805*EXP(-q*Q805)*_xlfn.NORM.S.DIST(Y805,0)*SQRT(Q805)/100))</f>
        <v/>
      </c>
      <c r="P805" s="69" t="str">
        <f>IF(A805="","",IF(A805=Expiry,0,AK805*I805*Mult*((-EXP(-q*Q805)*E805*_xlfn.NORM.S.DIST(Y805,0)*sigma/(2*SQRT(Q805))-r_dom*K*EXP(-r_dom*Q805)*_xlfn.NORM.S.DIST(Z805,1)+q*E805*EXP(-q*Q805)*_xlfn.NORM.S.DIST(Y805,1))/365)))</f>
        <v/>
      </c>
      <c r="Q805" s="83" t="str">
        <f t="shared" si="311"/>
        <v/>
      </c>
      <c r="R805" s="38"/>
      <c r="S805" s="68" t="str">
        <f t="shared" si="312"/>
        <v/>
      </c>
      <c r="T805" s="69" t="str">
        <f t="shared" si="313"/>
        <v/>
      </c>
      <c r="U805" s="70" t="str">
        <f t="shared" si="314"/>
        <v/>
      </c>
      <c r="V805" s="72" t="str">
        <f t="shared" si="315"/>
        <v/>
      </c>
      <c r="W805" s="2" t="str">
        <f t="shared" ref="W805:W868" si="326">IF(A805="","",100)</f>
        <v/>
      </c>
      <c r="X805" s="2" t="str">
        <f t="shared" si="321"/>
        <v/>
      </c>
      <c r="Y805" s="35" t="str">
        <f t="shared" ca="1" si="316"/>
        <v/>
      </c>
      <c r="Z805" s="36" t="str">
        <f t="shared" ca="1" si="317"/>
        <v/>
      </c>
      <c r="AA805" s="70" t="str">
        <f t="shared" si="318"/>
        <v/>
      </c>
      <c r="AB805" s="2"/>
      <c r="AC805" s="94" t="str">
        <f t="shared" si="322"/>
        <v/>
      </c>
      <c r="AD805" s="95" t="str">
        <f t="shared" si="323"/>
        <v/>
      </c>
      <c r="AE805" s="96" t="str">
        <f t="shared" si="324"/>
        <v/>
      </c>
      <c r="AF805" s="124" t="str">
        <f t="shared" si="325"/>
        <v/>
      </c>
      <c r="AG805" s="2"/>
      <c r="AH805" s="2"/>
      <c r="AI805" s="2"/>
      <c r="AJ805" s="2"/>
      <c r="AK805" s="2"/>
      <c r="AL805" s="2"/>
    </row>
    <row r="806" spans="1:38" x14ac:dyDescent="0.2">
      <c r="A806" s="45"/>
      <c r="B806" s="43" t="str">
        <f t="shared" si="304"/>
        <v/>
      </c>
      <c r="C806" s="96" t="str">
        <f t="shared" ref="C806:C869" si="327">IF(A806="","",C805+B806)</f>
        <v/>
      </c>
      <c r="D806" s="44" t="str">
        <f t="shared" si="305"/>
        <v/>
      </c>
      <c r="E806" s="52"/>
      <c r="F806" s="63" t="str">
        <f t="shared" si="306"/>
        <v/>
      </c>
      <c r="G806" s="56" t="str">
        <f t="shared" si="307"/>
        <v/>
      </c>
      <c r="H806" s="42"/>
      <c r="I806" s="2" t="str">
        <f t="shared" si="308"/>
        <v/>
      </c>
      <c r="J806" s="54" t="str">
        <f t="shared" si="319"/>
        <v/>
      </c>
      <c r="K806" s="55" t="str">
        <f t="shared" si="309"/>
        <v/>
      </c>
      <c r="L806" s="63" t="str">
        <f t="shared" si="310"/>
        <v/>
      </c>
      <c r="M806" s="96" t="str">
        <f t="shared" si="320"/>
        <v/>
      </c>
      <c r="N806" s="96" t="str">
        <f>IF(A806="","",IF(A806=Expiry,0,EXP(-q*Q806)*_xlfn.NORM.S.DIST(Y806,0)/(sigma*SQRT(Q806))*I806*Mult/100))</f>
        <v/>
      </c>
      <c r="O806" s="96" t="str">
        <f>IF(A806="","",IF(A806=Expiry,0,D806*E806*E806*EXP(-q*Q806)*_xlfn.NORM.S.DIST(Y806,0)*SQRT(Q806)/100))</f>
        <v/>
      </c>
      <c r="P806" s="69" t="str">
        <f>IF(A806="","",IF(A806=Expiry,0,AK806*I806*Mult*((-EXP(-q*Q806)*E806*_xlfn.NORM.S.DIST(Y806,0)*sigma/(2*SQRT(Q806))-r_dom*K*EXP(-r_dom*Q806)*_xlfn.NORM.S.DIST(Z806,1)+q*E806*EXP(-q*Q806)*_xlfn.NORM.S.DIST(Y806,1))/365)))</f>
        <v/>
      </c>
      <c r="Q806" s="83" t="str">
        <f t="shared" si="311"/>
        <v/>
      </c>
      <c r="R806" s="38"/>
      <c r="S806" s="68" t="str">
        <f t="shared" si="312"/>
        <v/>
      </c>
      <c r="T806" s="69" t="str">
        <f t="shared" si="313"/>
        <v/>
      </c>
      <c r="U806" s="70" t="str">
        <f t="shared" si="314"/>
        <v/>
      </c>
      <c r="V806" s="72" t="str">
        <f t="shared" si="315"/>
        <v/>
      </c>
      <c r="W806" s="2" t="str">
        <f t="shared" si="326"/>
        <v/>
      </c>
      <c r="X806" s="2" t="str">
        <f t="shared" si="321"/>
        <v/>
      </c>
      <c r="Y806" s="35" t="str">
        <f t="shared" ca="1" si="316"/>
        <v/>
      </c>
      <c r="Z806" s="36" t="str">
        <f t="shared" ca="1" si="317"/>
        <v/>
      </c>
      <c r="AA806" s="70" t="str">
        <f t="shared" si="318"/>
        <v/>
      </c>
      <c r="AB806" s="2"/>
      <c r="AC806" s="94" t="str">
        <f t="shared" si="322"/>
        <v/>
      </c>
      <c r="AD806" s="95" t="str">
        <f t="shared" si="323"/>
        <v/>
      </c>
      <c r="AE806" s="96" t="str">
        <f t="shared" si="324"/>
        <v/>
      </c>
      <c r="AF806" s="124" t="str">
        <f t="shared" si="325"/>
        <v/>
      </c>
      <c r="AG806" s="2"/>
      <c r="AH806" s="2"/>
      <c r="AI806" s="2"/>
      <c r="AJ806" s="2"/>
      <c r="AK806" s="2"/>
      <c r="AL806" s="2"/>
    </row>
    <row r="807" spans="1:38" x14ac:dyDescent="0.2">
      <c r="A807" s="45"/>
      <c r="B807" s="43" t="str">
        <f t="shared" si="304"/>
        <v/>
      </c>
      <c r="C807" s="96" t="str">
        <f t="shared" si="327"/>
        <v/>
      </c>
      <c r="D807" s="44" t="str">
        <f t="shared" si="305"/>
        <v/>
      </c>
      <c r="E807" s="52"/>
      <c r="F807" s="63" t="str">
        <f t="shared" si="306"/>
        <v/>
      </c>
      <c r="G807" s="56" t="str">
        <f t="shared" si="307"/>
        <v/>
      </c>
      <c r="H807" s="42"/>
      <c r="I807" s="2" t="str">
        <f t="shared" si="308"/>
        <v/>
      </c>
      <c r="J807" s="54" t="str">
        <f t="shared" si="319"/>
        <v/>
      </c>
      <c r="K807" s="55" t="str">
        <f t="shared" si="309"/>
        <v/>
      </c>
      <c r="L807" s="63" t="str">
        <f t="shared" si="310"/>
        <v/>
      </c>
      <c r="M807" s="96" t="str">
        <f t="shared" si="320"/>
        <v/>
      </c>
      <c r="N807" s="96" t="str">
        <f>IF(A807="","",IF(A807=Expiry,0,EXP(-q*Q807)*_xlfn.NORM.S.DIST(Y807,0)/(sigma*SQRT(Q807))*I807*Mult/100))</f>
        <v/>
      </c>
      <c r="O807" s="96" t="str">
        <f>IF(A807="","",IF(A807=Expiry,0,D807*E807*E807*EXP(-q*Q807)*_xlfn.NORM.S.DIST(Y807,0)*SQRT(Q807)/100))</f>
        <v/>
      </c>
      <c r="P807" s="69" t="str">
        <f>IF(A807="","",IF(A807=Expiry,0,AK807*I807*Mult*((-EXP(-q*Q807)*E807*_xlfn.NORM.S.DIST(Y807,0)*sigma/(2*SQRT(Q807))-r_dom*K*EXP(-r_dom*Q807)*_xlfn.NORM.S.DIST(Z807,1)+q*E807*EXP(-q*Q807)*_xlfn.NORM.S.DIST(Y807,1))/365)))</f>
        <v/>
      </c>
      <c r="Q807" s="83" t="str">
        <f t="shared" si="311"/>
        <v/>
      </c>
      <c r="R807" s="38"/>
      <c r="S807" s="68" t="str">
        <f t="shared" si="312"/>
        <v/>
      </c>
      <c r="T807" s="69" t="str">
        <f t="shared" si="313"/>
        <v/>
      </c>
      <c r="U807" s="70" t="str">
        <f t="shared" si="314"/>
        <v/>
      </c>
      <c r="V807" s="72" t="str">
        <f t="shared" si="315"/>
        <v/>
      </c>
      <c r="W807" s="2" t="str">
        <f t="shared" si="326"/>
        <v/>
      </c>
      <c r="X807" s="2" t="str">
        <f t="shared" si="321"/>
        <v/>
      </c>
      <c r="Y807" s="35" t="str">
        <f t="shared" ca="1" si="316"/>
        <v/>
      </c>
      <c r="Z807" s="36" t="str">
        <f t="shared" ca="1" si="317"/>
        <v/>
      </c>
      <c r="AA807" s="70" t="str">
        <f t="shared" si="318"/>
        <v/>
      </c>
      <c r="AB807" s="2"/>
      <c r="AC807" s="94" t="str">
        <f t="shared" si="322"/>
        <v/>
      </c>
      <c r="AD807" s="95" t="str">
        <f t="shared" si="323"/>
        <v/>
      </c>
      <c r="AE807" s="96" t="str">
        <f t="shared" si="324"/>
        <v/>
      </c>
      <c r="AF807" s="124" t="str">
        <f t="shared" si="325"/>
        <v/>
      </c>
      <c r="AG807" s="2"/>
      <c r="AH807" s="2"/>
      <c r="AI807" s="2"/>
      <c r="AJ807" s="2"/>
      <c r="AK807" s="2"/>
      <c r="AL807" s="2"/>
    </row>
    <row r="808" spans="1:38" x14ac:dyDescent="0.2">
      <c r="A808" s="45"/>
      <c r="B808" s="43" t="str">
        <f t="shared" si="304"/>
        <v/>
      </c>
      <c r="C808" s="96" t="str">
        <f t="shared" si="327"/>
        <v/>
      </c>
      <c r="D808" s="44" t="str">
        <f t="shared" si="305"/>
        <v/>
      </c>
      <c r="E808" s="52"/>
      <c r="F808" s="63" t="str">
        <f t="shared" si="306"/>
        <v/>
      </c>
      <c r="G808" s="56" t="str">
        <f t="shared" si="307"/>
        <v/>
      </c>
      <c r="H808" s="42"/>
      <c r="I808" s="2" t="str">
        <f t="shared" si="308"/>
        <v/>
      </c>
      <c r="J808" s="54" t="str">
        <f t="shared" si="319"/>
        <v/>
      </c>
      <c r="K808" s="55" t="str">
        <f t="shared" si="309"/>
        <v/>
      </c>
      <c r="L808" s="63" t="str">
        <f t="shared" si="310"/>
        <v/>
      </c>
      <c r="M808" s="96" t="str">
        <f t="shared" si="320"/>
        <v/>
      </c>
      <c r="N808" s="96" t="str">
        <f>IF(A808="","",IF(A808=Expiry,0,EXP(-q*Q808)*_xlfn.NORM.S.DIST(Y808,0)/(sigma*SQRT(Q808))*I808*Mult/100))</f>
        <v/>
      </c>
      <c r="O808" s="96" t="str">
        <f>IF(A808="","",IF(A808=Expiry,0,D808*E808*E808*EXP(-q*Q808)*_xlfn.NORM.S.DIST(Y808,0)*SQRT(Q808)/100))</f>
        <v/>
      </c>
      <c r="P808" s="69" t="str">
        <f>IF(A808="","",IF(A808=Expiry,0,AK808*I808*Mult*((-EXP(-q*Q808)*E808*_xlfn.NORM.S.DIST(Y808,0)*sigma/(2*SQRT(Q808))-r_dom*K*EXP(-r_dom*Q808)*_xlfn.NORM.S.DIST(Z808,1)+q*E808*EXP(-q*Q808)*_xlfn.NORM.S.DIST(Y808,1))/365)))</f>
        <v/>
      </c>
      <c r="Q808" s="83" t="str">
        <f t="shared" si="311"/>
        <v/>
      </c>
      <c r="R808" s="38"/>
      <c r="S808" s="68" t="str">
        <f t="shared" si="312"/>
        <v/>
      </c>
      <c r="T808" s="69" t="str">
        <f t="shared" si="313"/>
        <v/>
      </c>
      <c r="U808" s="70" t="str">
        <f t="shared" si="314"/>
        <v/>
      </c>
      <c r="V808" s="72" t="str">
        <f t="shared" si="315"/>
        <v/>
      </c>
      <c r="W808" s="2" t="str">
        <f t="shared" si="326"/>
        <v/>
      </c>
      <c r="X808" s="2" t="str">
        <f t="shared" si="321"/>
        <v/>
      </c>
      <c r="Y808" s="35" t="str">
        <f t="shared" ca="1" si="316"/>
        <v/>
      </c>
      <c r="Z808" s="36" t="str">
        <f t="shared" ca="1" si="317"/>
        <v/>
      </c>
      <c r="AA808" s="70" t="str">
        <f t="shared" si="318"/>
        <v/>
      </c>
      <c r="AB808" s="2"/>
      <c r="AC808" s="94" t="str">
        <f t="shared" si="322"/>
        <v/>
      </c>
      <c r="AD808" s="95" t="str">
        <f t="shared" si="323"/>
        <v/>
      </c>
      <c r="AE808" s="96" t="str">
        <f t="shared" si="324"/>
        <v/>
      </c>
      <c r="AF808" s="124" t="str">
        <f t="shared" si="325"/>
        <v/>
      </c>
      <c r="AG808" s="2"/>
      <c r="AH808" s="2"/>
      <c r="AI808" s="2"/>
      <c r="AJ808" s="2"/>
      <c r="AK808" s="2"/>
      <c r="AL808" s="2"/>
    </row>
    <row r="809" spans="1:38" x14ac:dyDescent="0.2">
      <c r="A809" s="45"/>
      <c r="B809" s="43" t="str">
        <f t="shared" si="304"/>
        <v/>
      </c>
      <c r="C809" s="96" t="str">
        <f t="shared" si="327"/>
        <v/>
      </c>
      <c r="D809" s="44" t="str">
        <f t="shared" si="305"/>
        <v/>
      </c>
      <c r="E809" s="52"/>
      <c r="F809" s="63" t="str">
        <f t="shared" si="306"/>
        <v/>
      </c>
      <c r="G809" s="56" t="str">
        <f t="shared" si="307"/>
        <v/>
      </c>
      <c r="H809" s="42"/>
      <c r="I809" s="2" t="str">
        <f t="shared" si="308"/>
        <v/>
      </c>
      <c r="J809" s="54" t="str">
        <f t="shared" si="319"/>
        <v/>
      </c>
      <c r="K809" s="55" t="str">
        <f t="shared" si="309"/>
        <v/>
      </c>
      <c r="L809" s="63" t="str">
        <f t="shared" si="310"/>
        <v/>
      </c>
      <c r="M809" s="96" t="str">
        <f t="shared" si="320"/>
        <v/>
      </c>
      <c r="N809" s="96" t="str">
        <f>IF(A809="","",IF(A809=Expiry,0,EXP(-q*Q809)*_xlfn.NORM.S.DIST(Y809,0)/(sigma*SQRT(Q809))*I809*Mult/100))</f>
        <v/>
      </c>
      <c r="O809" s="96" t="str">
        <f>IF(A809="","",IF(A809=Expiry,0,D809*E809*E809*EXP(-q*Q809)*_xlfn.NORM.S.DIST(Y809,0)*SQRT(Q809)/100))</f>
        <v/>
      </c>
      <c r="P809" s="69" t="str">
        <f>IF(A809="","",IF(A809=Expiry,0,AK809*I809*Mult*((-EXP(-q*Q809)*E809*_xlfn.NORM.S.DIST(Y809,0)*sigma/(2*SQRT(Q809))-r_dom*K*EXP(-r_dom*Q809)*_xlfn.NORM.S.DIST(Z809,1)+q*E809*EXP(-q*Q809)*_xlfn.NORM.S.DIST(Y809,1))/365)))</f>
        <v/>
      </c>
      <c r="Q809" s="83" t="str">
        <f t="shared" si="311"/>
        <v/>
      </c>
      <c r="R809" s="38"/>
      <c r="S809" s="68" t="str">
        <f t="shared" si="312"/>
        <v/>
      </c>
      <c r="T809" s="69" t="str">
        <f t="shared" si="313"/>
        <v/>
      </c>
      <c r="U809" s="70" t="str">
        <f t="shared" si="314"/>
        <v/>
      </c>
      <c r="V809" s="72" t="str">
        <f t="shared" si="315"/>
        <v/>
      </c>
      <c r="W809" s="2" t="str">
        <f t="shared" si="326"/>
        <v/>
      </c>
      <c r="X809" s="2" t="str">
        <f t="shared" si="321"/>
        <v/>
      </c>
      <c r="Y809" s="35" t="str">
        <f t="shared" ca="1" si="316"/>
        <v/>
      </c>
      <c r="Z809" s="36" t="str">
        <f t="shared" ca="1" si="317"/>
        <v/>
      </c>
      <c r="AA809" s="70" t="str">
        <f t="shared" si="318"/>
        <v/>
      </c>
      <c r="AB809" s="2"/>
      <c r="AC809" s="94" t="str">
        <f t="shared" si="322"/>
        <v/>
      </c>
      <c r="AD809" s="95" t="str">
        <f t="shared" si="323"/>
        <v/>
      </c>
      <c r="AE809" s="96" t="str">
        <f t="shared" si="324"/>
        <v/>
      </c>
      <c r="AF809" s="124" t="str">
        <f t="shared" si="325"/>
        <v/>
      </c>
      <c r="AG809" s="2"/>
      <c r="AH809" s="2"/>
      <c r="AI809" s="2"/>
      <c r="AJ809" s="2"/>
      <c r="AK809" s="2"/>
      <c r="AL809" s="2"/>
    </row>
    <row r="810" spans="1:38" x14ac:dyDescent="0.2">
      <c r="A810" s="45"/>
      <c r="B810" s="43" t="str">
        <f t="shared" si="304"/>
        <v/>
      </c>
      <c r="C810" s="96" t="str">
        <f t="shared" si="327"/>
        <v/>
      </c>
      <c r="D810" s="44" t="str">
        <f t="shared" si="305"/>
        <v/>
      </c>
      <c r="E810" s="52"/>
      <c r="F810" s="63" t="str">
        <f t="shared" si="306"/>
        <v/>
      </c>
      <c r="G810" s="56" t="str">
        <f t="shared" si="307"/>
        <v/>
      </c>
      <c r="H810" s="42"/>
      <c r="I810" s="2" t="str">
        <f t="shared" si="308"/>
        <v/>
      </c>
      <c r="J810" s="54" t="str">
        <f t="shared" si="319"/>
        <v/>
      </c>
      <c r="K810" s="55" t="str">
        <f t="shared" si="309"/>
        <v/>
      </c>
      <c r="L810" s="63" t="str">
        <f t="shared" si="310"/>
        <v/>
      </c>
      <c r="M810" s="96" t="str">
        <f t="shared" si="320"/>
        <v/>
      </c>
      <c r="N810" s="96" t="str">
        <f>IF(A810="","",IF(A810=Expiry,0,EXP(-q*Q810)*_xlfn.NORM.S.DIST(Y810,0)/(sigma*SQRT(Q810))*I810*Mult/100))</f>
        <v/>
      </c>
      <c r="O810" s="96" t="str">
        <f>IF(A810="","",IF(A810=Expiry,0,D810*E810*E810*EXP(-q*Q810)*_xlfn.NORM.S.DIST(Y810,0)*SQRT(Q810)/100))</f>
        <v/>
      </c>
      <c r="P810" s="69" t="str">
        <f>IF(A810="","",IF(A810=Expiry,0,AK810*I810*Mult*((-EXP(-q*Q810)*E810*_xlfn.NORM.S.DIST(Y810,0)*sigma/(2*SQRT(Q810))-r_dom*K*EXP(-r_dom*Q810)*_xlfn.NORM.S.DIST(Z810,1)+q*E810*EXP(-q*Q810)*_xlfn.NORM.S.DIST(Y810,1))/365)))</f>
        <v/>
      </c>
      <c r="Q810" s="83" t="str">
        <f t="shared" si="311"/>
        <v/>
      </c>
      <c r="R810" s="38"/>
      <c r="S810" s="68" t="str">
        <f t="shared" si="312"/>
        <v/>
      </c>
      <c r="T810" s="69" t="str">
        <f t="shared" si="313"/>
        <v/>
      </c>
      <c r="U810" s="70" t="str">
        <f t="shared" si="314"/>
        <v/>
      </c>
      <c r="V810" s="72" t="str">
        <f t="shared" si="315"/>
        <v/>
      </c>
      <c r="W810" s="2" t="str">
        <f t="shared" si="326"/>
        <v/>
      </c>
      <c r="X810" s="2" t="str">
        <f t="shared" si="321"/>
        <v/>
      </c>
      <c r="Y810" s="35" t="str">
        <f t="shared" ca="1" si="316"/>
        <v/>
      </c>
      <c r="Z810" s="36" t="str">
        <f t="shared" ca="1" si="317"/>
        <v/>
      </c>
      <c r="AA810" s="70" t="str">
        <f t="shared" si="318"/>
        <v/>
      </c>
      <c r="AB810" s="2"/>
      <c r="AC810" s="94" t="str">
        <f t="shared" si="322"/>
        <v/>
      </c>
      <c r="AD810" s="95" t="str">
        <f t="shared" si="323"/>
        <v/>
      </c>
      <c r="AE810" s="96" t="str">
        <f t="shared" si="324"/>
        <v/>
      </c>
      <c r="AF810" s="124" t="str">
        <f t="shared" si="325"/>
        <v/>
      </c>
      <c r="AG810" s="2"/>
      <c r="AH810" s="2"/>
      <c r="AI810" s="2"/>
      <c r="AJ810" s="2"/>
      <c r="AK810" s="2"/>
      <c r="AL810" s="2"/>
    </row>
    <row r="811" spans="1:38" x14ac:dyDescent="0.2">
      <c r="A811" s="45"/>
      <c r="B811" s="43" t="str">
        <f t="shared" si="304"/>
        <v/>
      </c>
      <c r="C811" s="96" t="str">
        <f t="shared" si="327"/>
        <v/>
      </c>
      <c r="D811" s="44" t="str">
        <f t="shared" si="305"/>
        <v/>
      </c>
      <c r="E811" s="52"/>
      <c r="F811" s="63" t="str">
        <f t="shared" si="306"/>
        <v/>
      </c>
      <c r="G811" s="56" t="str">
        <f t="shared" si="307"/>
        <v/>
      </c>
      <c r="H811" s="42"/>
      <c r="I811" s="2" t="str">
        <f t="shared" si="308"/>
        <v/>
      </c>
      <c r="J811" s="54" t="str">
        <f t="shared" si="319"/>
        <v/>
      </c>
      <c r="K811" s="55" t="str">
        <f t="shared" si="309"/>
        <v/>
      </c>
      <c r="L811" s="63" t="str">
        <f t="shared" si="310"/>
        <v/>
      </c>
      <c r="M811" s="96" t="str">
        <f t="shared" si="320"/>
        <v/>
      </c>
      <c r="N811" s="96" t="str">
        <f>IF(A811="","",IF(A811=Expiry,0,EXP(-q*Q811)*_xlfn.NORM.S.DIST(Y811,0)/(sigma*SQRT(Q811))*I811*Mult/100))</f>
        <v/>
      </c>
      <c r="O811" s="96" t="str">
        <f>IF(A811="","",IF(A811=Expiry,0,D811*E811*E811*EXP(-q*Q811)*_xlfn.NORM.S.DIST(Y811,0)*SQRT(Q811)/100))</f>
        <v/>
      </c>
      <c r="P811" s="69" t="str">
        <f>IF(A811="","",IF(A811=Expiry,0,AK811*I811*Mult*((-EXP(-q*Q811)*E811*_xlfn.NORM.S.DIST(Y811,0)*sigma/(2*SQRT(Q811))-r_dom*K*EXP(-r_dom*Q811)*_xlfn.NORM.S.DIST(Z811,1)+q*E811*EXP(-q*Q811)*_xlfn.NORM.S.DIST(Y811,1))/365)))</f>
        <v/>
      </c>
      <c r="Q811" s="83" t="str">
        <f t="shared" si="311"/>
        <v/>
      </c>
      <c r="R811" s="38"/>
      <c r="S811" s="68" t="str">
        <f t="shared" si="312"/>
        <v/>
      </c>
      <c r="T811" s="69" t="str">
        <f t="shared" si="313"/>
        <v/>
      </c>
      <c r="U811" s="70" t="str">
        <f t="shared" si="314"/>
        <v/>
      </c>
      <c r="V811" s="72" t="str">
        <f t="shared" si="315"/>
        <v/>
      </c>
      <c r="W811" s="2" t="str">
        <f t="shared" si="326"/>
        <v/>
      </c>
      <c r="X811" s="2" t="str">
        <f t="shared" si="321"/>
        <v/>
      </c>
      <c r="Y811" s="35" t="str">
        <f t="shared" ca="1" si="316"/>
        <v/>
      </c>
      <c r="Z811" s="36" t="str">
        <f t="shared" ca="1" si="317"/>
        <v/>
      </c>
      <c r="AA811" s="70" t="str">
        <f t="shared" si="318"/>
        <v/>
      </c>
      <c r="AB811" s="2"/>
      <c r="AC811" s="94" t="str">
        <f t="shared" si="322"/>
        <v/>
      </c>
      <c r="AD811" s="95" t="str">
        <f t="shared" si="323"/>
        <v/>
      </c>
      <c r="AE811" s="96" t="str">
        <f t="shared" si="324"/>
        <v/>
      </c>
      <c r="AF811" s="124" t="str">
        <f t="shared" si="325"/>
        <v/>
      </c>
      <c r="AG811" s="2"/>
      <c r="AH811" s="2"/>
      <c r="AI811" s="2"/>
      <c r="AJ811" s="2"/>
      <c r="AK811" s="2"/>
      <c r="AL811" s="2"/>
    </row>
    <row r="812" spans="1:38" x14ac:dyDescent="0.2">
      <c r="A812" s="45"/>
      <c r="B812" s="43" t="str">
        <f t="shared" si="304"/>
        <v/>
      </c>
      <c r="C812" s="96" t="str">
        <f t="shared" si="327"/>
        <v/>
      </c>
      <c r="D812" s="44" t="str">
        <f t="shared" si="305"/>
        <v/>
      </c>
      <c r="E812" s="52"/>
      <c r="F812" s="63" t="str">
        <f t="shared" si="306"/>
        <v/>
      </c>
      <c r="G812" s="56" t="str">
        <f t="shared" si="307"/>
        <v/>
      </c>
      <c r="H812" s="42"/>
      <c r="I812" s="2" t="str">
        <f t="shared" si="308"/>
        <v/>
      </c>
      <c r="J812" s="54" t="str">
        <f t="shared" si="319"/>
        <v/>
      </c>
      <c r="K812" s="55" t="str">
        <f t="shared" si="309"/>
        <v/>
      </c>
      <c r="L812" s="63" t="str">
        <f t="shared" si="310"/>
        <v/>
      </c>
      <c r="M812" s="96" t="str">
        <f t="shared" si="320"/>
        <v/>
      </c>
      <c r="N812" s="96" t="str">
        <f>IF(A812="","",IF(A812=Expiry,0,EXP(-q*Q812)*_xlfn.NORM.S.DIST(Y812,0)/(sigma*SQRT(Q812))*I812*Mult/100))</f>
        <v/>
      </c>
      <c r="O812" s="96" t="str">
        <f>IF(A812="","",IF(A812=Expiry,0,D812*E812*E812*EXP(-q*Q812)*_xlfn.NORM.S.DIST(Y812,0)*SQRT(Q812)/100))</f>
        <v/>
      </c>
      <c r="P812" s="69" t="str">
        <f>IF(A812="","",IF(A812=Expiry,0,AK812*I812*Mult*((-EXP(-q*Q812)*E812*_xlfn.NORM.S.DIST(Y812,0)*sigma/(2*SQRT(Q812))-r_dom*K*EXP(-r_dom*Q812)*_xlfn.NORM.S.DIST(Z812,1)+q*E812*EXP(-q*Q812)*_xlfn.NORM.S.DIST(Y812,1))/365)))</f>
        <v/>
      </c>
      <c r="Q812" s="83" t="str">
        <f t="shared" si="311"/>
        <v/>
      </c>
      <c r="R812" s="38"/>
      <c r="S812" s="68" t="str">
        <f t="shared" si="312"/>
        <v/>
      </c>
      <c r="T812" s="69" t="str">
        <f t="shared" si="313"/>
        <v/>
      </c>
      <c r="U812" s="70" t="str">
        <f t="shared" si="314"/>
        <v/>
      </c>
      <c r="V812" s="72" t="str">
        <f t="shared" si="315"/>
        <v/>
      </c>
      <c r="W812" s="2" t="str">
        <f t="shared" si="326"/>
        <v/>
      </c>
      <c r="X812" s="2" t="str">
        <f t="shared" si="321"/>
        <v/>
      </c>
      <c r="Y812" s="35" t="str">
        <f t="shared" ca="1" si="316"/>
        <v/>
      </c>
      <c r="Z812" s="36" t="str">
        <f t="shared" ca="1" si="317"/>
        <v/>
      </c>
      <c r="AA812" s="70" t="str">
        <f t="shared" si="318"/>
        <v/>
      </c>
      <c r="AB812" s="2"/>
      <c r="AC812" s="94" t="str">
        <f t="shared" si="322"/>
        <v/>
      </c>
      <c r="AD812" s="95" t="str">
        <f t="shared" si="323"/>
        <v/>
      </c>
      <c r="AE812" s="96" t="str">
        <f t="shared" si="324"/>
        <v/>
      </c>
      <c r="AF812" s="124" t="str">
        <f t="shared" si="325"/>
        <v/>
      </c>
      <c r="AG812" s="2"/>
      <c r="AH812" s="2"/>
      <c r="AI812" s="2"/>
      <c r="AJ812" s="2"/>
      <c r="AK812" s="2"/>
      <c r="AL812" s="2"/>
    </row>
    <row r="813" spans="1:38" x14ac:dyDescent="0.2">
      <c r="A813" s="45"/>
      <c r="B813" s="43" t="str">
        <f t="shared" si="304"/>
        <v/>
      </c>
      <c r="C813" s="96" t="str">
        <f t="shared" si="327"/>
        <v/>
      </c>
      <c r="D813" s="44" t="str">
        <f t="shared" si="305"/>
        <v/>
      </c>
      <c r="E813" s="52"/>
      <c r="F813" s="63" t="str">
        <f t="shared" si="306"/>
        <v/>
      </c>
      <c r="G813" s="56" t="str">
        <f t="shared" si="307"/>
        <v/>
      </c>
      <c r="H813" s="42"/>
      <c r="I813" s="2" t="str">
        <f t="shared" si="308"/>
        <v/>
      </c>
      <c r="J813" s="54" t="str">
        <f t="shared" si="319"/>
        <v/>
      </c>
      <c r="K813" s="55" t="str">
        <f t="shared" si="309"/>
        <v/>
      </c>
      <c r="L813" s="63" t="str">
        <f t="shared" si="310"/>
        <v/>
      </c>
      <c r="M813" s="96" t="str">
        <f t="shared" si="320"/>
        <v/>
      </c>
      <c r="N813" s="96" t="str">
        <f>IF(A813="","",IF(A813=Expiry,0,EXP(-q*Q813)*_xlfn.NORM.S.DIST(Y813,0)/(sigma*SQRT(Q813))*I813*Mult/100))</f>
        <v/>
      </c>
      <c r="O813" s="96" t="str">
        <f>IF(A813="","",IF(A813=Expiry,0,D813*E813*E813*EXP(-q*Q813)*_xlfn.NORM.S.DIST(Y813,0)*SQRT(Q813)/100))</f>
        <v/>
      </c>
      <c r="P813" s="69" t="str">
        <f>IF(A813="","",IF(A813=Expiry,0,AK813*I813*Mult*((-EXP(-q*Q813)*E813*_xlfn.NORM.S.DIST(Y813,0)*sigma/(2*SQRT(Q813))-r_dom*K*EXP(-r_dom*Q813)*_xlfn.NORM.S.DIST(Z813,1)+q*E813*EXP(-q*Q813)*_xlfn.NORM.S.DIST(Y813,1))/365)))</f>
        <v/>
      </c>
      <c r="Q813" s="83" t="str">
        <f t="shared" si="311"/>
        <v/>
      </c>
      <c r="R813" s="38"/>
      <c r="S813" s="68" t="str">
        <f t="shared" si="312"/>
        <v/>
      </c>
      <c r="T813" s="69" t="str">
        <f t="shared" si="313"/>
        <v/>
      </c>
      <c r="U813" s="70" t="str">
        <f t="shared" si="314"/>
        <v/>
      </c>
      <c r="V813" s="72" t="str">
        <f t="shared" si="315"/>
        <v/>
      </c>
      <c r="W813" s="2" t="str">
        <f t="shared" si="326"/>
        <v/>
      </c>
      <c r="X813" s="2" t="str">
        <f t="shared" si="321"/>
        <v/>
      </c>
      <c r="Y813" s="35" t="str">
        <f t="shared" ca="1" si="316"/>
        <v/>
      </c>
      <c r="Z813" s="36" t="str">
        <f t="shared" ca="1" si="317"/>
        <v/>
      </c>
      <c r="AA813" s="70" t="str">
        <f t="shared" si="318"/>
        <v/>
      </c>
      <c r="AB813" s="2"/>
      <c r="AC813" s="94" t="str">
        <f t="shared" si="322"/>
        <v/>
      </c>
      <c r="AD813" s="95" t="str">
        <f t="shared" si="323"/>
        <v/>
      </c>
      <c r="AE813" s="96" t="str">
        <f t="shared" si="324"/>
        <v/>
      </c>
      <c r="AF813" s="124" t="str">
        <f t="shared" si="325"/>
        <v/>
      </c>
      <c r="AG813" s="2"/>
      <c r="AH813" s="2"/>
      <c r="AI813" s="2"/>
      <c r="AJ813" s="2"/>
      <c r="AK813" s="2"/>
      <c r="AL813" s="2"/>
    </row>
    <row r="814" spans="1:38" x14ac:dyDescent="0.2">
      <c r="A814" s="45"/>
      <c r="B814" s="43" t="str">
        <f t="shared" si="304"/>
        <v/>
      </c>
      <c r="C814" s="96" t="str">
        <f t="shared" si="327"/>
        <v/>
      </c>
      <c r="D814" s="44" t="str">
        <f t="shared" si="305"/>
        <v/>
      </c>
      <c r="E814" s="52"/>
      <c r="F814" s="63" t="str">
        <f t="shared" si="306"/>
        <v/>
      </c>
      <c r="G814" s="56" t="str">
        <f t="shared" si="307"/>
        <v/>
      </c>
      <c r="H814" s="42"/>
      <c r="I814" s="2" t="str">
        <f t="shared" si="308"/>
        <v/>
      </c>
      <c r="J814" s="54" t="str">
        <f t="shared" si="319"/>
        <v/>
      </c>
      <c r="K814" s="55" t="str">
        <f t="shared" si="309"/>
        <v/>
      </c>
      <c r="L814" s="63" t="str">
        <f t="shared" si="310"/>
        <v/>
      </c>
      <c r="M814" s="96" t="str">
        <f t="shared" si="320"/>
        <v/>
      </c>
      <c r="N814" s="96" t="str">
        <f>IF(A814="","",IF(A814=Expiry,0,EXP(-q*Q814)*_xlfn.NORM.S.DIST(Y814,0)/(sigma*SQRT(Q814))*I814*Mult/100))</f>
        <v/>
      </c>
      <c r="O814" s="96" t="str">
        <f>IF(A814="","",IF(A814=Expiry,0,D814*E814*E814*EXP(-q*Q814)*_xlfn.NORM.S.DIST(Y814,0)*SQRT(Q814)/100))</f>
        <v/>
      </c>
      <c r="P814" s="69" t="str">
        <f>IF(A814="","",IF(A814=Expiry,0,AK814*I814*Mult*((-EXP(-q*Q814)*E814*_xlfn.NORM.S.DIST(Y814,0)*sigma/(2*SQRT(Q814))-r_dom*K*EXP(-r_dom*Q814)*_xlfn.NORM.S.DIST(Z814,1)+q*E814*EXP(-q*Q814)*_xlfn.NORM.S.DIST(Y814,1))/365)))</f>
        <v/>
      </c>
      <c r="Q814" s="83" t="str">
        <f t="shared" si="311"/>
        <v/>
      </c>
      <c r="R814" s="38"/>
      <c r="S814" s="68" t="str">
        <f t="shared" si="312"/>
        <v/>
      </c>
      <c r="T814" s="69" t="str">
        <f t="shared" si="313"/>
        <v/>
      </c>
      <c r="U814" s="70" t="str">
        <f t="shared" si="314"/>
        <v/>
      </c>
      <c r="V814" s="72" t="str">
        <f t="shared" si="315"/>
        <v/>
      </c>
      <c r="W814" s="2" t="str">
        <f t="shared" si="326"/>
        <v/>
      </c>
      <c r="X814" s="2" t="str">
        <f t="shared" si="321"/>
        <v/>
      </c>
      <c r="Y814" s="35" t="str">
        <f t="shared" ca="1" si="316"/>
        <v/>
      </c>
      <c r="Z814" s="36" t="str">
        <f t="shared" ca="1" si="317"/>
        <v/>
      </c>
      <c r="AA814" s="70" t="str">
        <f t="shared" si="318"/>
        <v/>
      </c>
      <c r="AB814" s="2"/>
      <c r="AC814" s="94" t="str">
        <f t="shared" si="322"/>
        <v/>
      </c>
      <c r="AD814" s="95" t="str">
        <f t="shared" si="323"/>
        <v/>
      </c>
      <c r="AE814" s="96" t="str">
        <f t="shared" si="324"/>
        <v/>
      </c>
      <c r="AF814" s="124" t="str">
        <f t="shared" si="325"/>
        <v/>
      </c>
      <c r="AG814" s="2"/>
      <c r="AH814" s="2"/>
      <c r="AI814" s="2"/>
      <c r="AJ814" s="2"/>
      <c r="AK814" s="2"/>
      <c r="AL814" s="2"/>
    </row>
    <row r="815" spans="1:38" x14ac:dyDescent="0.2">
      <c r="A815" s="45"/>
      <c r="B815" s="43" t="str">
        <f t="shared" si="304"/>
        <v/>
      </c>
      <c r="C815" s="96" t="str">
        <f t="shared" si="327"/>
        <v/>
      </c>
      <c r="D815" s="44" t="str">
        <f t="shared" si="305"/>
        <v/>
      </c>
      <c r="E815" s="52"/>
      <c r="F815" s="63" t="str">
        <f t="shared" si="306"/>
        <v/>
      </c>
      <c r="G815" s="56" t="str">
        <f t="shared" si="307"/>
        <v/>
      </c>
      <c r="H815" s="42"/>
      <c r="I815" s="2" t="str">
        <f t="shared" si="308"/>
        <v/>
      </c>
      <c r="J815" s="54" t="str">
        <f t="shared" si="319"/>
        <v/>
      </c>
      <c r="K815" s="55" t="str">
        <f t="shared" si="309"/>
        <v/>
      </c>
      <c r="L815" s="63" t="str">
        <f t="shared" si="310"/>
        <v/>
      </c>
      <c r="M815" s="96" t="str">
        <f t="shared" si="320"/>
        <v/>
      </c>
      <c r="N815" s="96" t="str">
        <f>IF(A815="","",IF(A815=Expiry,0,EXP(-q*Q815)*_xlfn.NORM.S.DIST(Y815,0)/(sigma*SQRT(Q815))*I815*Mult/100))</f>
        <v/>
      </c>
      <c r="O815" s="96" t="str">
        <f>IF(A815="","",IF(A815=Expiry,0,D815*E815*E815*EXP(-q*Q815)*_xlfn.NORM.S.DIST(Y815,0)*SQRT(Q815)/100))</f>
        <v/>
      </c>
      <c r="P815" s="69" t="str">
        <f>IF(A815="","",IF(A815=Expiry,0,AK815*I815*Mult*((-EXP(-q*Q815)*E815*_xlfn.NORM.S.DIST(Y815,0)*sigma/(2*SQRT(Q815))-r_dom*K*EXP(-r_dom*Q815)*_xlfn.NORM.S.DIST(Z815,1)+q*E815*EXP(-q*Q815)*_xlfn.NORM.S.DIST(Y815,1))/365)))</f>
        <v/>
      </c>
      <c r="Q815" s="83" t="str">
        <f t="shared" si="311"/>
        <v/>
      </c>
      <c r="R815" s="38"/>
      <c r="S815" s="68" t="str">
        <f t="shared" si="312"/>
        <v/>
      </c>
      <c r="T815" s="69" t="str">
        <f t="shared" si="313"/>
        <v/>
      </c>
      <c r="U815" s="70" t="str">
        <f t="shared" si="314"/>
        <v/>
      </c>
      <c r="V815" s="72" t="str">
        <f t="shared" si="315"/>
        <v/>
      </c>
      <c r="W815" s="2" t="str">
        <f t="shared" si="326"/>
        <v/>
      </c>
      <c r="X815" s="2" t="str">
        <f t="shared" si="321"/>
        <v/>
      </c>
      <c r="Y815" s="35" t="str">
        <f t="shared" ca="1" si="316"/>
        <v/>
      </c>
      <c r="Z815" s="36" t="str">
        <f t="shared" ca="1" si="317"/>
        <v/>
      </c>
      <c r="AA815" s="70" t="str">
        <f t="shared" si="318"/>
        <v/>
      </c>
      <c r="AB815" s="2"/>
      <c r="AC815" s="94" t="str">
        <f t="shared" si="322"/>
        <v/>
      </c>
      <c r="AD815" s="95" t="str">
        <f t="shared" si="323"/>
        <v/>
      </c>
      <c r="AE815" s="96" t="str">
        <f t="shared" si="324"/>
        <v/>
      </c>
      <c r="AF815" s="124" t="str">
        <f t="shared" si="325"/>
        <v/>
      </c>
      <c r="AG815" s="2"/>
      <c r="AH815" s="2"/>
      <c r="AI815" s="2"/>
      <c r="AJ815" s="2"/>
      <c r="AK815" s="2"/>
      <c r="AL815" s="2"/>
    </row>
    <row r="816" spans="1:38" x14ac:dyDescent="0.2">
      <c r="A816" s="45"/>
      <c r="B816" s="43" t="str">
        <f t="shared" si="304"/>
        <v/>
      </c>
      <c r="C816" s="96" t="str">
        <f t="shared" si="327"/>
        <v/>
      </c>
      <c r="D816" s="44" t="str">
        <f t="shared" si="305"/>
        <v/>
      </c>
      <c r="E816" s="52"/>
      <c r="F816" s="63" t="str">
        <f t="shared" si="306"/>
        <v/>
      </c>
      <c r="G816" s="56" t="str">
        <f t="shared" si="307"/>
        <v/>
      </c>
      <c r="H816" s="42"/>
      <c r="I816" s="2" t="str">
        <f t="shared" si="308"/>
        <v/>
      </c>
      <c r="J816" s="54" t="str">
        <f t="shared" si="319"/>
        <v/>
      </c>
      <c r="K816" s="55" t="str">
        <f t="shared" si="309"/>
        <v/>
      </c>
      <c r="L816" s="63" t="str">
        <f t="shared" si="310"/>
        <v/>
      </c>
      <c r="M816" s="96" t="str">
        <f t="shared" si="320"/>
        <v/>
      </c>
      <c r="N816" s="96" t="str">
        <f>IF(A816="","",IF(A816=Expiry,0,EXP(-q*Q816)*_xlfn.NORM.S.DIST(Y816,0)/(sigma*SQRT(Q816))*I816*Mult/100))</f>
        <v/>
      </c>
      <c r="O816" s="96" t="str">
        <f>IF(A816="","",IF(A816=Expiry,0,D816*E816*E816*EXP(-q*Q816)*_xlfn.NORM.S.DIST(Y816,0)*SQRT(Q816)/100))</f>
        <v/>
      </c>
      <c r="P816" s="69" t="str">
        <f>IF(A816="","",IF(A816=Expiry,0,AK816*I816*Mult*((-EXP(-q*Q816)*E816*_xlfn.NORM.S.DIST(Y816,0)*sigma/(2*SQRT(Q816))-r_dom*K*EXP(-r_dom*Q816)*_xlfn.NORM.S.DIST(Z816,1)+q*E816*EXP(-q*Q816)*_xlfn.NORM.S.DIST(Y816,1))/365)))</f>
        <v/>
      </c>
      <c r="Q816" s="83" t="str">
        <f t="shared" si="311"/>
        <v/>
      </c>
      <c r="R816" s="38"/>
      <c r="S816" s="68" t="str">
        <f t="shared" si="312"/>
        <v/>
      </c>
      <c r="T816" s="69" t="str">
        <f t="shared" si="313"/>
        <v/>
      </c>
      <c r="U816" s="70" t="str">
        <f t="shared" si="314"/>
        <v/>
      </c>
      <c r="V816" s="72" t="str">
        <f t="shared" si="315"/>
        <v/>
      </c>
      <c r="W816" s="2" t="str">
        <f t="shared" si="326"/>
        <v/>
      </c>
      <c r="X816" s="2" t="str">
        <f t="shared" si="321"/>
        <v/>
      </c>
      <c r="Y816" s="35" t="str">
        <f t="shared" ca="1" si="316"/>
        <v/>
      </c>
      <c r="Z816" s="36" t="str">
        <f t="shared" ca="1" si="317"/>
        <v/>
      </c>
      <c r="AA816" s="70" t="str">
        <f t="shared" si="318"/>
        <v/>
      </c>
      <c r="AB816" s="2"/>
      <c r="AC816" s="94" t="str">
        <f t="shared" si="322"/>
        <v/>
      </c>
      <c r="AD816" s="95" t="str">
        <f t="shared" si="323"/>
        <v/>
      </c>
      <c r="AE816" s="96" t="str">
        <f t="shared" si="324"/>
        <v/>
      </c>
      <c r="AF816" s="124" t="str">
        <f t="shared" si="325"/>
        <v/>
      </c>
      <c r="AG816" s="2"/>
      <c r="AH816" s="2"/>
      <c r="AI816" s="2"/>
      <c r="AJ816" s="2"/>
      <c r="AK816" s="2"/>
      <c r="AL816" s="2"/>
    </row>
    <row r="817" spans="1:38" x14ac:dyDescent="0.2">
      <c r="A817" s="45"/>
      <c r="B817" s="43" t="str">
        <f t="shared" si="304"/>
        <v/>
      </c>
      <c r="C817" s="96" t="str">
        <f t="shared" si="327"/>
        <v/>
      </c>
      <c r="D817" s="44" t="str">
        <f t="shared" si="305"/>
        <v/>
      </c>
      <c r="E817" s="52"/>
      <c r="F817" s="63" t="str">
        <f t="shared" si="306"/>
        <v/>
      </c>
      <c r="G817" s="56" t="str">
        <f t="shared" si="307"/>
        <v/>
      </c>
      <c r="H817" s="42"/>
      <c r="I817" s="2" t="str">
        <f t="shared" si="308"/>
        <v/>
      </c>
      <c r="J817" s="54" t="str">
        <f t="shared" si="319"/>
        <v/>
      </c>
      <c r="K817" s="55" t="str">
        <f t="shared" si="309"/>
        <v/>
      </c>
      <c r="L817" s="63" t="str">
        <f t="shared" si="310"/>
        <v/>
      </c>
      <c r="M817" s="96" t="str">
        <f t="shared" si="320"/>
        <v/>
      </c>
      <c r="N817" s="96" t="str">
        <f>IF(A817="","",IF(A817=Expiry,0,EXP(-q*Q817)*_xlfn.NORM.S.DIST(Y817,0)/(sigma*SQRT(Q817))*I817*Mult/100))</f>
        <v/>
      </c>
      <c r="O817" s="96" t="str">
        <f>IF(A817="","",IF(A817=Expiry,0,D817*E817*E817*EXP(-q*Q817)*_xlfn.NORM.S.DIST(Y817,0)*SQRT(Q817)/100))</f>
        <v/>
      </c>
      <c r="P817" s="69" t="str">
        <f>IF(A817="","",IF(A817=Expiry,0,AK817*I817*Mult*((-EXP(-q*Q817)*E817*_xlfn.NORM.S.DIST(Y817,0)*sigma/(2*SQRT(Q817))-r_dom*K*EXP(-r_dom*Q817)*_xlfn.NORM.S.DIST(Z817,1)+q*E817*EXP(-q*Q817)*_xlfn.NORM.S.DIST(Y817,1))/365)))</f>
        <v/>
      </c>
      <c r="Q817" s="83" t="str">
        <f t="shared" si="311"/>
        <v/>
      </c>
      <c r="R817" s="38"/>
      <c r="S817" s="68" t="str">
        <f t="shared" si="312"/>
        <v/>
      </c>
      <c r="T817" s="69" t="str">
        <f t="shared" si="313"/>
        <v/>
      </c>
      <c r="U817" s="70" t="str">
        <f t="shared" si="314"/>
        <v/>
      </c>
      <c r="V817" s="72" t="str">
        <f t="shared" si="315"/>
        <v/>
      </c>
      <c r="W817" s="2" t="str">
        <f t="shared" si="326"/>
        <v/>
      </c>
      <c r="X817" s="2" t="str">
        <f t="shared" si="321"/>
        <v/>
      </c>
      <c r="Y817" s="35" t="str">
        <f t="shared" ca="1" si="316"/>
        <v/>
      </c>
      <c r="Z817" s="36" t="str">
        <f t="shared" ca="1" si="317"/>
        <v/>
      </c>
      <c r="AA817" s="70" t="str">
        <f t="shared" si="318"/>
        <v/>
      </c>
      <c r="AB817" s="2"/>
      <c r="AC817" s="94" t="str">
        <f t="shared" si="322"/>
        <v/>
      </c>
      <c r="AD817" s="95" t="str">
        <f t="shared" si="323"/>
        <v/>
      </c>
      <c r="AE817" s="96" t="str">
        <f t="shared" si="324"/>
        <v/>
      </c>
      <c r="AF817" s="124" t="str">
        <f t="shared" si="325"/>
        <v/>
      </c>
      <c r="AG817" s="2"/>
      <c r="AH817" s="2"/>
      <c r="AI817" s="2"/>
      <c r="AJ817" s="2"/>
      <c r="AK817" s="2"/>
      <c r="AL817" s="2"/>
    </row>
    <row r="818" spans="1:38" x14ac:dyDescent="0.2">
      <c r="A818" s="45"/>
      <c r="B818" s="43" t="str">
        <f t="shared" ref="B818:B881" si="328">IF(A818="","",-(M818+C817))</f>
        <v/>
      </c>
      <c r="C818" s="96" t="str">
        <f t="shared" si="327"/>
        <v/>
      </c>
      <c r="D818" s="44" t="str">
        <f t="shared" ref="D818:D881" si="329">IF(A818="","",C818*E818)</f>
        <v/>
      </c>
      <c r="E818" s="52"/>
      <c r="F818" s="63" t="str">
        <f t="shared" ref="F818:F881" si="330">IF(A818="","",C817*(E818-E817))</f>
        <v/>
      </c>
      <c r="G818" s="56" t="str">
        <f t="shared" ref="G818:G881" si="331">IF(H818="","",J818)</f>
        <v/>
      </c>
      <c r="H818" s="42"/>
      <c r="I818" s="2" t="str">
        <f t="shared" ref="I818:I881" si="332">IF(A818="","",I817+H818)</f>
        <v/>
      </c>
      <c r="J818" s="54" t="str">
        <f t="shared" si="319"/>
        <v/>
      </c>
      <c r="K818" s="55" t="str">
        <f t="shared" ref="K818:K881" si="333">IF(I818="","",I818*Mult*J818)</f>
        <v/>
      </c>
      <c r="L818" s="63" t="str">
        <f t="shared" ref="L818:L881" si="334">IF(A818="","",Mult*(IFERROR(0,H818*(G818-J818))+(I818-H818)*(J818-J817)))</f>
        <v/>
      </c>
      <c r="M818" s="96" t="str">
        <f t="shared" si="320"/>
        <v/>
      </c>
      <c r="N818" s="96" t="str">
        <f>IF(A818="","",IF(A818=Expiry,0,EXP(-q*Q818)*_xlfn.NORM.S.DIST(Y818,0)/(sigma*SQRT(Q818))*I818*Mult/100))</f>
        <v/>
      </c>
      <c r="O818" s="96" t="str">
        <f>IF(A818="","",IF(A818=Expiry,0,D818*E818*E818*EXP(-q*Q818)*_xlfn.NORM.S.DIST(Y818,0)*SQRT(Q818)/100))</f>
        <v/>
      </c>
      <c r="P818" s="69" t="str">
        <f>IF(A818="","",IF(A818=Expiry,0,AK818*I818*Mult*((-EXP(-q*Q818)*E818*_xlfn.NORM.S.DIST(Y818,0)*sigma/(2*SQRT(Q818))-r_dom*K*EXP(-r_dom*Q818)*_xlfn.NORM.S.DIST(Z818,1)+q*E818*EXP(-q*Q818)*_xlfn.NORM.S.DIST(Y818,1))/365)))</f>
        <v/>
      </c>
      <c r="Q818" s="83" t="str">
        <f t="shared" ref="Q818:Q881" si="335">IF(A818="","",IF(OR(A818="",Expiry&lt;=A818),0,(Expiry-A818)/365))</f>
        <v/>
      </c>
      <c r="R818" s="38"/>
      <c r="S818" s="68" t="str">
        <f t="shared" ref="S818:S881" si="336">IF(A818="","",F818+L818)</f>
        <v/>
      </c>
      <c r="T818" s="69" t="str">
        <f t="shared" ref="T818:T881" si="337">IF(A818="","",T817+S818)</f>
        <v/>
      </c>
      <c r="U818" s="70" t="str">
        <f t="shared" ref="U818:U881" si="338">IF(A818="","",LN(T818/T817))</f>
        <v/>
      </c>
      <c r="V818" s="72" t="str">
        <f t="shared" ref="V818:V881" si="339">IF(A818="","",V817*EXP(U818))</f>
        <v/>
      </c>
      <c r="W818" s="2" t="str">
        <f t="shared" si="326"/>
        <v/>
      </c>
      <c r="X818" s="2" t="str">
        <f t="shared" si="321"/>
        <v/>
      </c>
      <c r="Y818" s="35" t="str">
        <f t="shared" ref="Y818:Y881" ca="1" si="340">IF(OR(A818="",A818=Expiry),"",((LN(E818/K)+(r_dom-q+sigma^2/2)*Q818))/(sigma*SQRT(Q818)))</f>
        <v/>
      </c>
      <c r="Z818" s="36" t="str">
        <f t="shared" ref="Z818:Z881" ca="1" si="341">IF(OR(A818="",A818=Expiry),"",Y818-sigma*SQRT(Q818))</f>
        <v/>
      </c>
      <c r="AA818" s="70" t="str">
        <f t="shared" ref="AA818:AA881" si="342">IF(A818="","",LN(E818/E817))</f>
        <v/>
      </c>
      <c r="AB818" s="2"/>
      <c r="AC818" s="94" t="str">
        <f t="shared" si="322"/>
        <v/>
      </c>
      <c r="AD818" s="95" t="str">
        <f t="shared" si="323"/>
        <v/>
      </c>
      <c r="AE818" s="96" t="str">
        <f t="shared" si="324"/>
        <v/>
      </c>
      <c r="AF818" s="124" t="str">
        <f t="shared" si="325"/>
        <v/>
      </c>
      <c r="AG818" s="2"/>
      <c r="AH818" s="2"/>
      <c r="AI818" s="2"/>
      <c r="AJ818" s="2"/>
      <c r="AK818" s="2"/>
      <c r="AL818" s="2"/>
    </row>
    <row r="819" spans="1:38" x14ac:dyDescent="0.2">
      <c r="A819" s="45"/>
      <c r="B819" s="43" t="str">
        <f t="shared" si="328"/>
        <v/>
      </c>
      <c r="C819" s="96" t="str">
        <f t="shared" si="327"/>
        <v/>
      </c>
      <c r="D819" s="44" t="str">
        <f t="shared" si="329"/>
        <v/>
      </c>
      <c r="E819" s="52"/>
      <c r="F819" s="63" t="str">
        <f t="shared" si="330"/>
        <v/>
      </c>
      <c r="G819" s="56" t="str">
        <f t="shared" si="331"/>
        <v/>
      </c>
      <c r="H819" s="42"/>
      <c r="I819" s="2" t="str">
        <f t="shared" si="332"/>
        <v/>
      </c>
      <c r="J819" s="54" t="str">
        <f t="shared" si="319"/>
        <v/>
      </c>
      <c r="K819" s="55" t="str">
        <f t="shared" si="333"/>
        <v/>
      </c>
      <c r="L819" s="63" t="str">
        <f t="shared" si="334"/>
        <v/>
      </c>
      <c r="M819" s="96" t="str">
        <f t="shared" si="320"/>
        <v/>
      </c>
      <c r="N819" s="96" t="str">
        <f>IF(A819="","",IF(A819=Expiry,0,EXP(-q*Q819)*_xlfn.NORM.S.DIST(Y819,0)/(sigma*SQRT(Q819))*I819*Mult/100))</f>
        <v/>
      </c>
      <c r="O819" s="96" t="str">
        <f>IF(A819="","",IF(A819=Expiry,0,D819*E819*E819*EXP(-q*Q819)*_xlfn.NORM.S.DIST(Y819,0)*SQRT(Q819)/100))</f>
        <v/>
      </c>
      <c r="P819" s="69" t="str">
        <f>IF(A819="","",IF(A819=Expiry,0,AK819*I819*Mult*((-EXP(-q*Q819)*E819*_xlfn.NORM.S.DIST(Y819,0)*sigma/(2*SQRT(Q819))-r_dom*K*EXP(-r_dom*Q819)*_xlfn.NORM.S.DIST(Z819,1)+q*E819*EXP(-q*Q819)*_xlfn.NORM.S.DIST(Y819,1))/365)))</f>
        <v/>
      </c>
      <c r="Q819" s="83" t="str">
        <f t="shared" si="335"/>
        <v/>
      </c>
      <c r="R819" s="38"/>
      <c r="S819" s="68" t="str">
        <f t="shared" si="336"/>
        <v/>
      </c>
      <c r="T819" s="69" t="str">
        <f t="shared" si="337"/>
        <v/>
      </c>
      <c r="U819" s="70" t="str">
        <f t="shared" si="338"/>
        <v/>
      </c>
      <c r="V819" s="72" t="str">
        <f t="shared" si="339"/>
        <v/>
      </c>
      <c r="W819" s="2" t="str">
        <f t="shared" si="326"/>
        <v/>
      </c>
      <c r="X819" s="2" t="str">
        <f t="shared" si="321"/>
        <v/>
      </c>
      <c r="Y819" s="35" t="str">
        <f t="shared" ca="1" si="340"/>
        <v/>
      </c>
      <c r="Z819" s="36" t="str">
        <f t="shared" ca="1" si="341"/>
        <v/>
      </c>
      <c r="AA819" s="70" t="str">
        <f t="shared" si="342"/>
        <v/>
      </c>
      <c r="AB819" s="2"/>
      <c r="AC819" s="94" t="str">
        <f t="shared" si="322"/>
        <v/>
      </c>
      <c r="AD819" s="95" t="str">
        <f t="shared" si="323"/>
        <v/>
      </c>
      <c r="AE819" s="96" t="str">
        <f t="shared" si="324"/>
        <v/>
      </c>
      <c r="AF819" s="124" t="str">
        <f t="shared" si="325"/>
        <v/>
      </c>
      <c r="AG819" s="2"/>
      <c r="AH819" s="2"/>
      <c r="AI819" s="2"/>
      <c r="AJ819" s="2"/>
      <c r="AK819" s="2"/>
      <c r="AL819" s="2"/>
    </row>
    <row r="820" spans="1:38" x14ac:dyDescent="0.2">
      <c r="A820" s="45"/>
      <c r="B820" s="43" t="str">
        <f t="shared" si="328"/>
        <v/>
      </c>
      <c r="C820" s="96" t="str">
        <f t="shared" si="327"/>
        <v/>
      </c>
      <c r="D820" s="44" t="str">
        <f t="shared" si="329"/>
        <v/>
      </c>
      <c r="E820" s="52"/>
      <c r="F820" s="63" t="str">
        <f t="shared" si="330"/>
        <v/>
      </c>
      <c r="G820" s="56" t="str">
        <f t="shared" si="331"/>
        <v/>
      </c>
      <c r="H820" s="42"/>
      <c r="I820" s="2" t="str">
        <f t="shared" si="332"/>
        <v/>
      </c>
      <c r="J820" s="54" t="str">
        <f t="shared" si="319"/>
        <v/>
      </c>
      <c r="K820" s="55" t="str">
        <f t="shared" si="333"/>
        <v/>
      </c>
      <c r="L820" s="63" t="str">
        <f t="shared" si="334"/>
        <v/>
      </c>
      <c r="M820" s="96" t="str">
        <f t="shared" si="320"/>
        <v/>
      </c>
      <c r="N820" s="96" t="str">
        <f>IF(A820="","",IF(A820=Expiry,0,EXP(-q*Q820)*_xlfn.NORM.S.DIST(Y820,0)/(sigma*SQRT(Q820))*I820*Mult/100))</f>
        <v/>
      </c>
      <c r="O820" s="96" t="str">
        <f>IF(A820="","",IF(A820=Expiry,0,D820*E820*E820*EXP(-q*Q820)*_xlfn.NORM.S.DIST(Y820,0)*SQRT(Q820)/100))</f>
        <v/>
      </c>
      <c r="P820" s="69" t="str">
        <f>IF(A820="","",IF(A820=Expiry,0,AK820*I820*Mult*((-EXP(-q*Q820)*E820*_xlfn.NORM.S.DIST(Y820,0)*sigma/(2*SQRT(Q820))-r_dom*K*EXP(-r_dom*Q820)*_xlfn.NORM.S.DIST(Z820,1)+q*E820*EXP(-q*Q820)*_xlfn.NORM.S.DIST(Y820,1))/365)))</f>
        <v/>
      </c>
      <c r="Q820" s="83" t="str">
        <f t="shared" si="335"/>
        <v/>
      </c>
      <c r="R820" s="38"/>
      <c r="S820" s="68" t="str">
        <f t="shared" si="336"/>
        <v/>
      </c>
      <c r="T820" s="69" t="str">
        <f t="shared" si="337"/>
        <v/>
      </c>
      <c r="U820" s="70" t="str">
        <f t="shared" si="338"/>
        <v/>
      </c>
      <c r="V820" s="72" t="str">
        <f t="shared" si="339"/>
        <v/>
      </c>
      <c r="W820" s="2" t="str">
        <f t="shared" si="326"/>
        <v/>
      </c>
      <c r="X820" s="2" t="str">
        <f t="shared" si="321"/>
        <v/>
      </c>
      <c r="Y820" s="35" t="str">
        <f t="shared" ca="1" si="340"/>
        <v/>
      </c>
      <c r="Z820" s="36" t="str">
        <f t="shared" ca="1" si="341"/>
        <v/>
      </c>
      <c r="AA820" s="70" t="str">
        <f t="shared" si="342"/>
        <v/>
      </c>
      <c r="AB820" s="2"/>
      <c r="AC820" s="94" t="str">
        <f t="shared" si="322"/>
        <v/>
      </c>
      <c r="AD820" s="95" t="str">
        <f t="shared" si="323"/>
        <v/>
      </c>
      <c r="AE820" s="96" t="str">
        <f t="shared" si="324"/>
        <v/>
      </c>
      <c r="AF820" s="124" t="str">
        <f t="shared" si="325"/>
        <v/>
      </c>
      <c r="AG820" s="2"/>
      <c r="AH820" s="2"/>
      <c r="AI820" s="2"/>
      <c r="AJ820" s="2"/>
      <c r="AK820" s="2"/>
      <c r="AL820" s="2"/>
    </row>
    <row r="821" spans="1:38" x14ac:dyDescent="0.2">
      <c r="A821" s="45"/>
      <c r="B821" s="43" t="str">
        <f t="shared" si="328"/>
        <v/>
      </c>
      <c r="C821" s="96" t="str">
        <f t="shared" si="327"/>
        <v/>
      </c>
      <c r="D821" s="44" t="str">
        <f t="shared" si="329"/>
        <v/>
      </c>
      <c r="E821" s="52"/>
      <c r="F821" s="63" t="str">
        <f t="shared" si="330"/>
        <v/>
      </c>
      <c r="G821" s="56" t="str">
        <f t="shared" si="331"/>
        <v/>
      </c>
      <c r="H821" s="42"/>
      <c r="I821" s="2" t="str">
        <f t="shared" si="332"/>
        <v/>
      </c>
      <c r="J821" s="54" t="str">
        <f t="shared" si="319"/>
        <v/>
      </c>
      <c r="K821" s="55" t="str">
        <f t="shared" si="333"/>
        <v/>
      </c>
      <c r="L821" s="63" t="str">
        <f t="shared" si="334"/>
        <v/>
      </c>
      <c r="M821" s="96" t="str">
        <f t="shared" si="320"/>
        <v/>
      </c>
      <c r="N821" s="96" t="str">
        <f>IF(A821="","",IF(A821=Expiry,0,EXP(-q*Q821)*_xlfn.NORM.S.DIST(Y821,0)/(sigma*SQRT(Q821))*I821*Mult/100))</f>
        <v/>
      </c>
      <c r="O821" s="96" t="str">
        <f>IF(A821="","",IF(A821=Expiry,0,D821*E821*E821*EXP(-q*Q821)*_xlfn.NORM.S.DIST(Y821,0)*SQRT(Q821)/100))</f>
        <v/>
      </c>
      <c r="P821" s="69" t="str">
        <f>IF(A821="","",IF(A821=Expiry,0,AK821*I821*Mult*((-EXP(-q*Q821)*E821*_xlfn.NORM.S.DIST(Y821,0)*sigma/(2*SQRT(Q821))-r_dom*K*EXP(-r_dom*Q821)*_xlfn.NORM.S.DIST(Z821,1)+q*E821*EXP(-q*Q821)*_xlfn.NORM.S.DIST(Y821,1))/365)))</f>
        <v/>
      </c>
      <c r="Q821" s="83" t="str">
        <f t="shared" si="335"/>
        <v/>
      </c>
      <c r="R821" s="38"/>
      <c r="S821" s="68" t="str">
        <f t="shared" si="336"/>
        <v/>
      </c>
      <c r="T821" s="69" t="str">
        <f t="shared" si="337"/>
        <v/>
      </c>
      <c r="U821" s="70" t="str">
        <f t="shared" si="338"/>
        <v/>
      </c>
      <c r="V821" s="72" t="str">
        <f t="shared" si="339"/>
        <v/>
      </c>
      <c r="W821" s="2" t="str">
        <f t="shared" si="326"/>
        <v/>
      </c>
      <c r="X821" s="2" t="str">
        <f t="shared" si="321"/>
        <v/>
      </c>
      <c r="Y821" s="35" t="str">
        <f t="shared" ca="1" si="340"/>
        <v/>
      </c>
      <c r="Z821" s="36" t="str">
        <f t="shared" ca="1" si="341"/>
        <v/>
      </c>
      <c r="AA821" s="70" t="str">
        <f t="shared" si="342"/>
        <v/>
      </c>
      <c r="AB821" s="2"/>
      <c r="AC821" s="94" t="str">
        <f t="shared" si="322"/>
        <v/>
      </c>
      <c r="AD821" s="95" t="str">
        <f t="shared" si="323"/>
        <v/>
      </c>
      <c r="AE821" s="96" t="str">
        <f t="shared" si="324"/>
        <v/>
      </c>
      <c r="AF821" s="124" t="str">
        <f t="shared" si="325"/>
        <v/>
      </c>
      <c r="AG821" s="2"/>
      <c r="AH821" s="2"/>
      <c r="AI821" s="2"/>
      <c r="AJ821" s="2"/>
      <c r="AK821" s="2"/>
      <c r="AL821" s="2"/>
    </row>
    <row r="822" spans="1:38" x14ac:dyDescent="0.2">
      <c r="A822" s="45"/>
      <c r="B822" s="43" t="str">
        <f t="shared" si="328"/>
        <v/>
      </c>
      <c r="C822" s="96" t="str">
        <f t="shared" si="327"/>
        <v/>
      </c>
      <c r="D822" s="44" t="str">
        <f t="shared" si="329"/>
        <v/>
      </c>
      <c r="E822" s="52"/>
      <c r="F822" s="63" t="str">
        <f t="shared" si="330"/>
        <v/>
      </c>
      <c r="G822" s="56" t="str">
        <f t="shared" si="331"/>
        <v/>
      </c>
      <c r="H822" s="42"/>
      <c r="I822" s="2" t="str">
        <f t="shared" si="332"/>
        <v/>
      </c>
      <c r="J822" s="54" t="str">
        <f t="shared" si="319"/>
        <v/>
      </c>
      <c r="K822" s="55" t="str">
        <f t="shared" si="333"/>
        <v/>
      </c>
      <c r="L822" s="63" t="str">
        <f t="shared" si="334"/>
        <v/>
      </c>
      <c r="M822" s="96" t="str">
        <f t="shared" si="320"/>
        <v/>
      </c>
      <c r="N822" s="96" t="str">
        <f>IF(A822="","",IF(A822=Expiry,0,EXP(-q*Q822)*_xlfn.NORM.S.DIST(Y822,0)/(sigma*SQRT(Q822))*I822*Mult/100))</f>
        <v/>
      </c>
      <c r="O822" s="96" t="str">
        <f>IF(A822="","",IF(A822=Expiry,0,D822*E822*E822*EXP(-q*Q822)*_xlfn.NORM.S.DIST(Y822,0)*SQRT(Q822)/100))</f>
        <v/>
      </c>
      <c r="P822" s="69" t="str">
        <f>IF(A822="","",IF(A822=Expiry,0,AK822*I822*Mult*((-EXP(-q*Q822)*E822*_xlfn.NORM.S.DIST(Y822,0)*sigma/(2*SQRT(Q822))-r_dom*K*EXP(-r_dom*Q822)*_xlfn.NORM.S.DIST(Z822,1)+q*E822*EXP(-q*Q822)*_xlfn.NORM.S.DIST(Y822,1))/365)))</f>
        <v/>
      </c>
      <c r="Q822" s="83" t="str">
        <f t="shared" si="335"/>
        <v/>
      </c>
      <c r="R822" s="38"/>
      <c r="S822" s="68" t="str">
        <f t="shared" si="336"/>
        <v/>
      </c>
      <c r="T822" s="69" t="str">
        <f t="shared" si="337"/>
        <v/>
      </c>
      <c r="U822" s="70" t="str">
        <f t="shared" si="338"/>
        <v/>
      </c>
      <c r="V822" s="72" t="str">
        <f t="shared" si="339"/>
        <v/>
      </c>
      <c r="W822" s="2" t="str">
        <f t="shared" si="326"/>
        <v/>
      </c>
      <c r="X822" s="2" t="str">
        <f t="shared" si="321"/>
        <v/>
      </c>
      <c r="Y822" s="35" t="str">
        <f t="shared" ca="1" si="340"/>
        <v/>
      </c>
      <c r="Z822" s="36" t="str">
        <f t="shared" ca="1" si="341"/>
        <v/>
      </c>
      <c r="AA822" s="70" t="str">
        <f t="shared" si="342"/>
        <v/>
      </c>
      <c r="AB822" s="2"/>
      <c r="AC822" s="94" t="str">
        <f t="shared" si="322"/>
        <v/>
      </c>
      <c r="AD822" s="95" t="str">
        <f t="shared" si="323"/>
        <v/>
      </c>
      <c r="AE822" s="96" t="str">
        <f t="shared" si="324"/>
        <v/>
      </c>
      <c r="AF822" s="124" t="str">
        <f t="shared" si="325"/>
        <v/>
      </c>
      <c r="AG822" s="2"/>
      <c r="AH822" s="2"/>
      <c r="AI822" s="2"/>
      <c r="AJ822" s="2"/>
      <c r="AK822" s="2"/>
      <c r="AL822" s="2"/>
    </row>
    <row r="823" spans="1:38" x14ac:dyDescent="0.2">
      <c r="A823" s="45"/>
      <c r="B823" s="43" t="str">
        <f t="shared" si="328"/>
        <v/>
      </c>
      <c r="C823" s="96" t="str">
        <f t="shared" si="327"/>
        <v/>
      </c>
      <c r="D823" s="44" t="str">
        <f t="shared" si="329"/>
        <v/>
      </c>
      <c r="E823" s="52"/>
      <c r="F823" s="63" t="str">
        <f t="shared" si="330"/>
        <v/>
      </c>
      <c r="G823" s="56" t="str">
        <f t="shared" si="331"/>
        <v/>
      </c>
      <c r="H823" s="42"/>
      <c r="I823" s="2" t="str">
        <f t="shared" si="332"/>
        <v/>
      </c>
      <c r="J823" s="54" t="str">
        <f t="shared" si="319"/>
        <v/>
      </c>
      <c r="K823" s="55" t="str">
        <f t="shared" si="333"/>
        <v/>
      </c>
      <c r="L823" s="63" t="str">
        <f t="shared" si="334"/>
        <v/>
      </c>
      <c r="M823" s="96" t="str">
        <f t="shared" si="320"/>
        <v/>
      </c>
      <c r="N823" s="96" t="str">
        <f>IF(A823="","",IF(A823=Expiry,0,EXP(-q*Q823)*_xlfn.NORM.S.DIST(Y823,0)/(sigma*SQRT(Q823))*I823*Mult/100))</f>
        <v/>
      </c>
      <c r="O823" s="96" t="str">
        <f>IF(A823="","",IF(A823=Expiry,0,D823*E823*E823*EXP(-q*Q823)*_xlfn.NORM.S.DIST(Y823,0)*SQRT(Q823)/100))</f>
        <v/>
      </c>
      <c r="P823" s="69" t="str">
        <f>IF(A823="","",IF(A823=Expiry,0,AK823*I823*Mult*((-EXP(-q*Q823)*E823*_xlfn.NORM.S.DIST(Y823,0)*sigma/(2*SQRT(Q823))-r_dom*K*EXP(-r_dom*Q823)*_xlfn.NORM.S.DIST(Z823,1)+q*E823*EXP(-q*Q823)*_xlfn.NORM.S.DIST(Y823,1))/365)))</f>
        <v/>
      </c>
      <c r="Q823" s="83" t="str">
        <f t="shared" si="335"/>
        <v/>
      </c>
      <c r="R823" s="38"/>
      <c r="S823" s="68" t="str">
        <f t="shared" si="336"/>
        <v/>
      </c>
      <c r="T823" s="69" t="str">
        <f t="shared" si="337"/>
        <v/>
      </c>
      <c r="U823" s="70" t="str">
        <f t="shared" si="338"/>
        <v/>
      </c>
      <c r="V823" s="72" t="str">
        <f t="shared" si="339"/>
        <v/>
      </c>
      <c r="W823" s="2" t="str">
        <f t="shared" si="326"/>
        <v/>
      </c>
      <c r="X823" s="2" t="str">
        <f t="shared" si="321"/>
        <v/>
      </c>
      <c r="Y823" s="35" t="str">
        <f t="shared" ca="1" si="340"/>
        <v/>
      </c>
      <c r="Z823" s="36" t="str">
        <f t="shared" ca="1" si="341"/>
        <v/>
      </c>
      <c r="AA823" s="70" t="str">
        <f t="shared" si="342"/>
        <v/>
      </c>
      <c r="AB823" s="2"/>
      <c r="AC823" s="94" t="str">
        <f t="shared" si="322"/>
        <v/>
      </c>
      <c r="AD823" s="95" t="str">
        <f t="shared" si="323"/>
        <v/>
      </c>
      <c r="AE823" s="96" t="str">
        <f t="shared" si="324"/>
        <v/>
      </c>
      <c r="AF823" s="124" t="str">
        <f t="shared" si="325"/>
        <v/>
      </c>
      <c r="AG823" s="2"/>
      <c r="AH823" s="2"/>
      <c r="AI823" s="2"/>
      <c r="AJ823" s="2"/>
      <c r="AK823" s="2"/>
      <c r="AL823" s="2"/>
    </row>
    <row r="824" spans="1:38" x14ac:dyDescent="0.2">
      <c r="A824" s="45"/>
      <c r="B824" s="43" t="str">
        <f t="shared" si="328"/>
        <v/>
      </c>
      <c r="C824" s="96" t="str">
        <f t="shared" si="327"/>
        <v/>
      </c>
      <c r="D824" s="44" t="str">
        <f t="shared" si="329"/>
        <v/>
      </c>
      <c r="E824" s="52"/>
      <c r="F824" s="63" t="str">
        <f t="shared" si="330"/>
        <v/>
      </c>
      <c r="G824" s="56" t="str">
        <f t="shared" si="331"/>
        <v/>
      </c>
      <c r="H824" s="42"/>
      <c r="I824" s="2" t="str">
        <f t="shared" si="332"/>
        <v/>
      </c>
      <c r="J824" s="54" t="str">
        <f t="shared" si="319"/>
        <v/>
      </c>
      <c r="K824" s="55" t="str">
        <f t="shared" si="333"/>
        <v/>
      </c>
      <c r="L824" s="63" t="str">
        <f t="shared" si="334"/>
        <v/>
      </c>
      <c r="M824" s="96" t="str">
        <f t="shared" si="320"/>
        <v/>
      </c>
      <c r="N824" s="96" t="str">
        <f>IF(A824="","",IF(A824=Expiry,0,EXP(-q*Q824)*_xlfn.NORM.S.DIST(Y824,0)/(sigma*SQRT(Q824))*I824*Mult/100))</f>
        <v/>
      </c>
      <c r="O824" s="96" t="str">
        <f>IF(A824="","",IF(A824=Expiry,0,D824*E824*E824*EXP(-q*Q824)*_xlfn.NORM.S.DIST(Y824,0)*SQRT(Q824)/100))</f>
        <v/>
      </c>
      <c r="P824" s="69" t="str">
        <f>IF(A824="","",IF(A824=Expiry,0,AK824*I824*Mult*((-EXP(-q*Q824)*E824*_xlfn.NORM.S.DIST(Y824,0)*sigma/(2*SQRT(Q824))-r_dom*K*EXP(-r_dom*Q824)*_xlfn.NORM.S.DIST(Z824,1)+q*E824*EXP(-q*Q824)*_xlfn.NORM.S.DIST(Y824,1))/365)))</f>
        <v/>
      </c>
      <c r="Q824" s="83" t="str">
        <f t="shared" si="335"/>
        <v/>
      </c>
      <c r="R824" s="38"/>
      <c r="S824" s="68" t="str">
        <f t="shared" si="336"/>
        <v/>
      </c>
      <c r="T824" s="69" t="str">
        <f t="shared" si="337"/>
        <v/>
      </c>
      <c r="U824" s="70" t="str">
        <f t="shared" si="338"/>
        <v/>
      </c>
      <c r="V824" s="72" t="str">
        <f t="shared" si="339"/>
        <v/>
      </c>
      <c r="W824" s="2" t="str">
        <f t="shared" si="326"/>
        <v/>
      </c>
      <c r="X824" s="2" t="str">
        <f t="shared" si="321"/>
        <v/>
      </c>
      <c r="Y824" s="35" t="str">
        <f t="shared" ca="1" si="340"/>
        <v/>
      </c>
      <c r="Z824" s="36" t="str">
        <f t="shared" ca="1" si="341"/>
        <v/>
      </c>
      <c r="AA824" s="70" t="str">
        <f t="shared" si="342"/>
        <v/>
      </c>
      <c r="AB824" s="2"/>
      <c r="AC824" s="94" t="str">
        <f t="shared" si="322"/>
        <v/>
      </c>
      <c r="AD824" s="95" t="str">
        <f t="shared" si="323"/>
        <v/>
      </c>
      <c r="AE824" s="96" t="str">
        <f t="shared" si="324"/>
        <v/>
      </c>
      <c r="AF824" s="124" t="str">
        <f t="shared" si="325"/>
        <v/>
      </c>
      <c r="AG824" s="2"/>
      <c r="AH824" s="2"/>
      <c r="AI824" s="2"/>
      <c r="AJ824" s="2"/>
      <c r="AK824" s="2"/>
      <c r="AL824" s="2"/>
    </row>
    <row r="825" spans="1:38" x14ac:dyDescent="0.2">
      <c r="A825" s="45"/>
      <c r="B825" s="43" t="str">
        <f t="shared" si="328"/>
        <v/>
      </c>
      <c r="C825" s="96" t="str">
        <f t="shared" si="327"/>
        <v/>
      </c>
      <c r="D825" s="44" t="str">
        <f t="shared" si="329"/>
        <v/>
      </c>
      <c r="E825" s="52"/>
      <c r="F825" s="63" t="str">
        <f t="shared" si="330"/>
        <v/>
      </c>
      <c r="G825" s="56" t="str">
        <f t="shared" si="331"/>
        <v/>
      </c>
      <c r="H825" s="42"/>
      <c r="I825" s="2" t="str">
        <f t="shared" si="332"/>
        <v/>
      </c>
      <c r="J825" s="54" t="str">
        <f t="shared" si="319"/>
        <v/>
      </c>
      <c r="K825" s="55" t="str">
        <f t="shared" si="333"/>
        <v/>
      </c>
      <c r="L825" s="63" t="str">
        <f t="shared" si="334"/>
        <v/>
      </c>
      <c r="M825" s="96" t="str">
        <f t="shared" si="320"/>
        <v/>
      </c>
      <c r="N825" s="96" t="str">
        <f>IF(A825="","",IF(A825=Expiry,0,EXP(-q*Q825)*_xlfn.NORM.S.DIST(Y825,0)/(sigma*SQRT(Q825))*I825*Mult/100))</f>
        <v/>
      </c>
      <c r="O825" s="96" t="str">
        <f>IF(A825="","",IF(A825=Expiry,0,D825*E825*E825*EXP(-q*Q825)*_xlfn.NORM.S.DIST(Y825,0)*SQRT(Q825)/100))</f>
        <v/>
      </c>
      <c r="P825" s="69" t="str">
        <f>IF(A825="","",IF(A825=Expiry,0,AK825*I825*Mult*((-EXP(-q*Q825)*E825*_xlfn.NORM.S.DIST(Y825,0)*sigma/(2*SQRT(Q825))-r_dom*K*EXP(-r_dom*Q825)*_xlfn.NORM.S.DIST(Z825,1)+q*E825*EXP(-q*Q825)*_xlfn.NORM.S.DIST(Y825,1))/365)))</f>
        <v/>
      </c>
      <c r="Q825" s="83" t="str">
        <f t="shared" si="335"/>
        <v/>
      </c>
      <c r="R825" s="38"/>
      <c r="S825" s="68" t="str">
        <f t="shared" si="336"/>
        <v/>
      </c>
      <c r="T825" s="69" t="str">
        <f t="shared" si="337"/>
        <v/>
      </c>
      <c r="U825" s="70" t="str">
        <f t="shared" si="338"/>
        <v/>
      </c>
      <c r="V825" s="72" t="str">
        <f t="shared" si="339"/>
        <v/>
      </c>
      <c r="W825" s="2" t="str">
        <f t="shared" si="326"/>
        <v/>
      </c>
      <c r="X825" s="2" t="str">
        <f t="shared" si="321"/>
        <v/>
      </c>
      <c r="Y825" s="35" t="str">
        <f t="shared" ca="1" si="340"/>
        <v/>
      </c>
      <c r="Z825" s="36" t="str">
        <f t="shared" ca="1" si="341"/>
        <v/>
      </c>
      <c r="AA825" s="70" t="str">
        <f t="shared" si="342"/>
        <v/>
      </c>
      <c r="AB825" s="2"/>
      <c r="AC825" s="94" t="str">
        <f t="shared" si="322"/>
        <v/>
      </c>
      <c r="AD825" s="95" t="str">
        <f t="shared" si="323"/>
        <v/>
      </c>
      <c r="AE825" s="96" t="str">
        <f t="shared" si="324"/>
        <v/>
      </c>
      <c r="AF825" s="124" t="str">
        <f t="shared" si="325"/>
        <v/>
      </c>
      <c r="AG825" s="2"/>
      <c r="AH825" s="2"/>
      <c r="AI825" s="2"/>
      <c r="AJ825" s="2"/>
      <c r="AK825" s="2"/>
      <c r="AL825" s="2"/>
    </row>
    <row r="826" spans="1:38" x14ac:dyDescent="0.2">
      <c r="A826" s="45"/>
      <c r="B826" s="43" t="str">
        <f t="shared" si="328"/>
        <v/>
      </c>
      <c r="C826" s="96" t="str">
        <f t="shared" si="327"/>
        <v/>
      </c>
      <c r="D826" s="44" t="str">
        <f t="shared" si="329"/>
        <v/>
      </c>
      <c r="E826" s="52"/>
      <c r="F826" s="63" t="str">
        <f t="shared" si="330"/>
        <v/>
      </c>
      <c r="G826" s="56" t="str">
        <f t="shared" si="331"/>
        <v/>
      </c>
      <c r="H826" s="42"/>
      <c r="I826" s="2" t="str">
        <f t="shared" si="332"/>
        <v/>
      </c>
      <c r="J826" s="54" t="str">
        <f t="shared" si="319"/>
        <v/>
      </c>
      <c r="K826" s="55" t="str">
        <f t="shared" si="333"/>
        <v/>
      </c>
      <c r="L826" s="63" t="str">
        <f t="shared" si="334"/>
        <v/>
      </c>
      <c r="M826" s="96" t="str">
        <f t="shared" si="320"/>
        <v/>
      </c>
      <c r="N826" s="96" t="str">
        <f>IF(A826="","",IF(A826=Expiry,0,EXP(-q*Q826)*_xlfn.NORM.S.DIST(Y826,0)/(sigma*SQRT(Q826))*I826*Mult/100))</f>
        <v/>
      </c>
      <c r="O826" s="96" t="str">
        <f>IF(A826="","",IF(A826=Expiry,0,D826*E826*E826*EXP(-q*Q826)*_xlfn.NORM.S.DIST(Y826,0)*SQRT(Q826)/100))</f>
        <v/>
      </c>
      <c r="P826" s="69" t="str">
        <f>IF(A826="","",IF(A826=Expiry,0,AK826*I826*Mult*((-EXP(-q*Q826)*E826*_xlfn.NORM.S.DIST(Y826,0)*sigma/(2*SQRT(Q826))-r_dom*K*EXP(-r_dom*Q826)*_xlfn.NORM.S.DIST(Z826,1)+q*E826*EXP(-q*Q826)*_xlfn.NORM.S.DIST(Y826,1))/365)))</f>
        <v/>
      </c>
      <c r="Q826" s="83" t="str">
        <f t="shared" si="335"/>
        <v/>
      </c>
      <c r="R826" s="38"/>
      <c r="S826" s="68" t="str">
        <f t="shared" si="336"/>
        <v/>
      </c>
      <c r="T826" s="69" t="str">
        <f t="shared" si="337"/>
        <v/>
      </c>
      <c r="U826" s="70" t="str">
        <f t="shared" si="338"/>
        <v/>
      </c>
      <c r="V826" s="72" t="str">
        <f t="shared" si="339"/>
        <v/>
      </c>
      <c r="W826" s="2" t="str">
        <f t="shared" si="326"/>
        <v/>
      </c>
      <c r="X826" s="2" t="str">
        <f t="shared" si="321"/>
        <v/>
      </c>
      <c r="Y826" s="35" t="str">
        <f t="shared" ca="1" si="340"/>
        <v/>
      </c>
      <c r="Z826" s="36" t="str">
        <f t="shared" ca="1" si="341"/>
        <v/>
      </c>
      <c r="AA826" s="70" t="str">
        <f t="shared" si="342"/>
        <v/>
      </c>
      <c r="AB826" s="2"/>
      <c r="AC826" s="94" t="str">
        <f t="shared" si="322"/>
        <v/>
      </c>
      <c r="AD826" s="95" t="str">
        <f t="shared" si="323"/>
        <v/>
      </c>
      <c r="AE826" s="96" t="str">
        <f t="shared" si="324"/>
        <v/>
      </c>
      <c r="AF826" s="124" t="str">
        <f t="shared" si="325"/>
        <v/>
      </c>
      <c r="AG826" s="2"/>
      <c r="AH826" s="2"/>
      <c r="AI826" s="2"/>
      <c r="AJ826" s="2"/>
      <c r="AK826" s="2"/>
      <c r="AL826" s="2"/>
    </row>
    <row r="827" spans="1:38" x14ac:dyDescent="0.2">
      <c r="A827" s="45"/>
      <c r="B827" s="43" t="str">
        <f t="shared" si="328"/>
        <v/>
      </c>
      <c r="C827" s="96" t="str">
        <f t="shared" si="327"/>
        <v/>
      </c>
      <c r="D827" s="44" t="str">
        <f t="shared" si="329"/>
        <v/>
      </c>
      <c r="E827" s="52"/>
      <c r="F827" s="63" t="str">
        <f t="shared" si="330"/>
        <v/>
      </c>
      <c r="G827" s="56" t="str">
        <f t="shared" si="331"/>
        <v/>
      </c>
      <c r="H827" s="42"/>
      <c r="I827" s="2" t="str">
        <f t="shared" si="332"/>
        <v/>
      </c>
      <c r="J827" s="54" t="str">
        <f t="shared" si="319"/>
        <v/>
      </c>
      <c r="K827" s="55" t="str">
        <f t="shared" si="333"/>
        <v/>
      </c>
      <c r="L827" s="63" t="str">
        <f t="shared" si="334"/>
        <v/>
      </c>
      <c r="M827" s="96" t="str">
        <f t="shared" si="320"/>
        <v/>
      </c>
      <c r="N827" s="96" t="str">
        <f>IF(A827="","",IF(A827=Expiry,0,EXP(-q*Q827)*_xlfn.NORM.S.DIST(Y827,0)/(sigma*SQRT(Q827))*I827*Mult/100))</f>
        <v/>
      </c>
      <c r="O827" s="96" t="str">
        <f>IF(A827="","",IF(A827=Expiry,0,D827*E827*E827*EXP(-q*Q827)*_xlfn.NORM.S.DIST(Y827,0)*SQRT(Q827)/100))</f>
        <v/>
      </c>
      <c r="P827" s="69" t="str">
        <f>IF(A827="","",IF(A827=Expiry,0,AK827*I827*Mult*((-EXP(-q*Q827)*E827*_xlfn.NORM.S.DIST(Y827,0)*sigma/(2*SQRT(Q827))-r_dom*K*EXP(-r_dom*Q827)*_xlfn.NORM.S.DIST(Z827,1)+q*E827*EXP(-q*Q827)*_xlfn.NORM.S.DIST(Y827,1))/365)))</f>
        <v/>
      </c>
      <c r="Q827" s="83" t="str">
        <f t="shared" si="335"/>
        <v/>
      </c>
      <c r="R827" s="38"/>
      <c r="S827" s="68" t="str">
        <f t="shared" si="336"/>
        <v/>
      </c>
      <c r="T827" s="69" t="str">
        <f t="shared" si="337"/>
        <v/>
      </c>
      <c r="U827" s="70" t="str">
        <f t="shared" si="338"/>
        <v/>
      </c>
      <c r="V827" s="72" t="str">
        <f t="shared" si="339"/>
        <v/>
      </c>
      <c r="W827" s="2" t="str">
        <f t="shared" si="326"/>
        <v/>
      </c>
      <c r="X827" s="2" t="str">
        <f t="shared" si="321"/>
        <v/>
      </c>
      <c r="Y827" s="35" t="str">
        <f t="shared" ca="1" si="340"/>
        <v/>
      </c>
      <c r="Z827" s="36" t="str">
        <f t="shared" ca="1" si="341"/>
        <v/>
      </c>
      <c r="AA827" s="70" t="str">
        <f t="shared" si="342"/>
        <v/>
      </c>
      <c r="AB827" s="2"/>
      <c r="AC827" s="94" t="str">
        <f t="shared" si="322"/>
        <v/>
      </c>
      <c r="AD827" s="95" t="str">
        <f t="shared" si="323"/>
        <v/>
      </c>
      <c r="AE827" s="96" t="str">
        <f t="shared" si="324"/>
        <v/>
      </c>
      <c r="AF827" s="124" t="str">
        <f t="shared" si="325"/>
        <v/>
      </c>
      <c r="AG827" s="2"/>
      <c r="AH827" s="2"/>
      <c r="AI827" s="2"/>
      <c r="AJ827" s="2"/>
      <c r="AK827" s="2"/>
      <c r="AL827" s="2"/>
    </row>
    <row r="828" spans="1:38" x14ac:dyDescent="0.2">
      <c r="A828" s="45"/>
      <c r="B828" s="43" t="str">
        <f t="shared" si="328"/>
        <v/>
      </c>
      <c r="C828" s="96" t="str">
        <f t="shared" si="327"/>
        <v/>
      </c>
      <c r="D828" s="44" t="str">
        <f t="shared" si="329"/>
        <v/>
      </c>
      <c r="E828" s="52"/>
      <c r="F828" s="63" t="str">
        <f t="shared" si="330"/>
        <v/>
      </c>
      <c r="G828" s="56" t="str">
        <f t="shared" si="331"/>
        <v/>
      </c>
      <c r="H828" s="42"/>
      <c r="I828" s="2" t="str">
        <f t="shared" si="332"/>
        <v/>
      </c>
      <c r="J828" s="54" t="str">
        <f t="shared" si="319"/>
        <v/>
      </c>
      <c r="K828" s="55" t="str">
        <f t="shared" si="333"/>
        <v/>
      </c>
      <c r="L828" s="63" t="str">
        <f t="shared" si="334"/>
        <v/>
      </c>
      <c r="M828" s="96" t="str">
        <f t="shared" si="320"/>
        <v/>
      </c>
      <c r="N828" s="96" t="str">
        <f>IF(A828="","",IF(A828=Expiry,0,EXP(-q*Q828)*_xlfn.NORM.S.DIST(Y828,0)/(sigma*SQRT(Q828))*I828*Mult/100))</f>
        <v/>
      </c>
      <c r="O828" s="96" t="str">
        <f>IF(A828="","",IF(A828=Expiry,0,D828*E828*E828*EXP(-q*Q828)*_xlfn.NORM.S.DIST(Y828,0)*SQRT(Q828)/100))</f>
        <v/>
      </c>
      <c r="P828" s="69" t="str">
        <f>IF(A828="","",IF(A828=Expiry,0,AK828*I828*Mult*((-EXP(-q*Q828)*E828*_xlfn.NORM.S.DIST(Y828,0)*sigma/(2*SQRT(Q828))-r_dom*K*EXP(-r_dom*Q828)*_xlfn.NORM.S.DIST(Z828,1)+q*E828*EXP(-q*Q828)*_xlfn.NORM.S.DIST(Y828,1))/365)))</f>
        <v/>
      </c>
      <c r="Q828" s="83" t="str">
        <f t="shared" si="335"/>
        <v/>
      </c>
      <c r="R828" s="38"/>
      <c r="S828" s="68" t="str">
        <f t="shared" si="336"/>
        <v/>
      </c>
      <c r="T828" s="69" t="str">
        <f t="shared" si="337"/>
        <v/>
      </c>
      <c r="U828" s="70" t="str">
        <f t="shared" si="338"/>
        <v/>
      </c>
      <c r="V828" s="72" t="str">
        <f t="shared" si="339"/>
        <v/>
      </c>
      <c r="W828" s="2" t="str">
        <f t="shared" si="326"/>
        <v/>
      </c>
      <c r="X828" s="2" t="str">
        <f t="shared" si="321"/>
        <v/>
      </c>
      <c r="Y828" s="35" t="str">
        <f t="shared" ca="1" si="340"/>
        <v/>
      </c>
      <c r="Z828" s="36" t="str">
        <f t="shared" ca="1" si="341"/>
        <v/>
      </c>
      <c r="AA828" s="70" t="str">
        <f t="shared" si="342"/>
        <v/>
      </c>
      <c r="AB828" s="2"/>
      <c r="AC828" s="94" t="str">
        <f t="shared" si="322"/>
        <v/>
      </c>
      <c r="AD828" s="95" t="str">
        <f t="shared" si="323"/>
        <v/>
      </c>
      <c r="AE828" s="96" t="str">
        <f t="shared" si="324"/>
        <v/>
      </c>
      <c r="AF828" s="124" t="str">
        <f t="shared" si="325"/>
        <v/>
      </c>
      <c r="AG828" s="2"/>
      <c r="AH828" s="2"/>
      <c r="AI828" s="2"/>
      <c r="AJ828" s="2"/>
      <c r="AK828" s="2"/>
      <c r="AL828" s="2"/>
    </row>
    <row r="829" spans="1:38" x14ac:dyDescent="0.2">
      <c r="A829" s="45"/>
      <c r="B829" s="43" t="str">
        <f t="shared" si="328"/>
        <v/>
      </c>
      <c r="C829" s="96" t="str">
        <f t="shared" si="327"/>
        <v/>
      </c>
      <c r="D829" s="44" t="str">
        <f t="shared" si="329"/>
        <v/>
      </c>
      <c r="E829" s="52"/>
      <c r="F829" s="63" t="str">
        <f t="shared" si="330"/>
        <v/>
      </c>
      <c r="G829" s="56" t="str">
        <f t="shared" si="331"/>
        <v/>
      </c>
      <c r="H829" s="42"/>
      <c r="I829" s="2" t="str">
        <f t="shared" si="332"/>
        <v/>
      </c>
      <c r="J829" s="54" t="str">
        <f t="shared" si="319"/>
        <v/>
      </c>
      <c r="K829" s="55" t="str">
        <f t="shared" si="333"/>
        <v/>
      </c>
      <c r="L829" s="63" t="str">
        <f t="shared" si="334"/>
        <v/>
      </c>
      <c r="M829" s="96" t="str">
        <f t="shared" si="320"/>
        <v/>
      </c>
      <c r="N829" s="96" t="str">
        <f>IF(A829="","",IF(A829=Expiry,0,EXP(-q*Q829)*_xlfn.NORM.S.DIST(Y829,0)/(sigma*SQRT(Q829))*I829*Mult/100))</f>
        <v/>
      </c>
      <c r="O829" s="96" t="str">
        <f>IF(A829="","",IF(A829=Expiry,0,D829*E829*E829*EXP(-q*Q829)*_xlfn.NORM.S.DIST(Y829,0)*SQRT(Q829)/100))</f>
        <v/>
      </c>
      <c r="P829" s="69" t="str">
        <f>IF(A829="","",IF(A829=Expiry,0,AK829*I829*Mult*((-EXP(-q*Q829)*E829*_xlfn.NORM.S.DIST(Y829,0)*sigma/(2*SQRT(Q829))-r_dom*K*EXP(-r_dom*Q829)*_xlfn.NORM.S.DIST(Z829,1)+q*E829*EXP(-q*Q829)*_xlfn.NORM.S.DIST(Y829,1))/365)))</f>
        <v/>
      </c>
      <c r="Q829" s="83" t="str">
        <f t="shared" si="335"/>
        <v/>
      </c>
      <c r="R829" s="38"/>
      <c r="S829" s="68" t="str">
        <f t="shared" si="336"/>
        <v/>
      </c>
      <c r="T829" s="69" t="str">
        <f t="shared" si="337"/>
        <v/>
      </c>
      <c r="U829" s="70" t="str">
        <f t="shared" si="338"/>
        <v/>
      </c>
      <c r="V829" s="72" t="str">
        <f t="shared" si="339"/>
        <v/>
      </c>
      <c r="W829" s="2" t="str">
        <f t="shared" si="326"/>
        <v/>
      </c>
      <c r="X829" s="2" t="str">
        <f t="shared" si="321"/>
        <v/>
      </c>
      <c r="Y829" s="35" t="str">
        <f t="shared" ca="1" si="340"/>
        <v/>
      </c>
      <c r="Z829" s="36" t="str">
        <f t="shared" ca="1" si="341"/>
        <v/>
      </c>
      <c r="AA829" s="70" t="str">
        <f t="shared" si="342"/>
        <v/>
      </c>
      <c r="AB829" s="2"/>
      <c r="AC829" s="94" t="str">
        <f t="shared" si="322"/>
        <v/>
      </c>
      <c r="AD829" s="95" t="str">
        <f t="shared" si="323"/>
        <v/>
      </c>
      <c r="AE829" s="96" t="str">
        <f t="shared" si="324"/>
        <v/>
      </c>
      <c r="AF829" s="124" t="str">
        <f t="shared" si="325"/>
        <v/>
      </c>
      <c r="AG829" s="2"/>
      <c r="AH829" s="2"/>
      <c r="AI829" s="2"/>
      <c r="AJ829" s="2"/>
      <c r="AK829" s="2"/>
      <c r="AL829" s="2"/>
    </row>
    <row r="830" spans="1:38" x14ac:dyDescent="0.2">
      <c r="A830" s="45"/>
      <c r="B830" s="43" t="str">
        <f t="shared" si="328"/>
        <v/>
      </c>
      <c r="C830" s="96" t="str">
        <f t="shared" si="327"/>
        <v/>
      </c>
      <c r="D830" s="44" t="str">
        <f t="shared" si="329"/>
        <v/>
      </c>
      <c r="E830" s="52"/>
      <c r="F830" s="63" t="str">
        <f t="shared" si="330"/>
        <v/>
      </c>
      <c r="G830" s="56" t="str">
        <f t="shared" si="331"/>
        <v/>
      </c>
      <c r="H830" s="42"/>
      <c r="I830" s="2" t="str">
        <f t="shared" si="332"/>
        <v/>
      </c>
      <c r="J830" s="54" t="str">
        <f t="shared" si="319"/>
        <v/>
      </c>
      <c r="K830" s="55" t="str">
        <f t="shared" si="333"/>
        <v/>
      </c>
      <c r="L830" s="63" t="str">
        <f t="shared" si="334"/>
        <v/>
      </c>
      <c r="M830" s="96" t="str">
        <f t="shared" si="320"/>
        <v/>
      </c>
      <c r="N830" s="96" t="str">
        <f>IF(A830="","",IF(A830=Expiry,0,EXP(-q*Q830)*_xlfn.NORM.S.DIST(Y830,0)/(sigma*SQRT(Q830))*I830*Mult/100))</f>
        <v/>
      </c>
      <c r="O830" s="96" t="str">
        <f>IF(A830="","",IF(A830=Expiry,0,D830*E830*E830*EXP(-q*Q830)*_xlfn.NORM.S.DIST(Y830,0)*SQRT(Q830)/100))</f>
        <v/>
      </c>
      <c r="P830" s="69" t="str">
        <f>IF(A830="","",IF(A830=Expiry,0,AK830*I830*Mult*((-EXP(-q*Q830)*E830*_xlfn.NORM.S.DIST(Y830,0)*sigma/(2*SQRT(Q830))-r_dom*K*EXP(-r_dom*Q830)*_xlfn.NORM.S.DIST(Z830,1)+q*E830*EXP(-q*Q830)*_xlfn.NORM.S.DIST(Y830,1))/365)))</f>
        <v/>
      </c>
      <c r="Q830" s="83" t="str">
        <f t="shared" si="335"/>
        <v/>
      </c>
      <c r="R830" s="38"/>
      <c r="S830" s="68" t="str">
        <f t="shared" si="336"/>
        <v/>
      </c>
      <c r="T830" s="69" t="str">
        <f t="shared" si="337"/>
        <v/>
      </c>
      <c r="U830" s="70" t="str">
        <f t="shared" si="338"/>
        <v/>
      </c>
      <c r="V830" s="72" t="str">
        <f t="shared" si="339"/>
        <v/>
      </c>
      <c r="W830" s="2" t="str">
        <f t="shared" si="326"/>
        <v/>
      </c>
      <c r="X830" s="2" t="str">
        <f t="shared" si="321"/>
        <v/>
      </c>
      <c r="Y830" s="35" t="str">
        <f t="shared" ca="1" si="340"/>
        <v/>
      </c>
      <c r="Z830" s="36" t="str">
        <f t="shared" ca="1" si="341"/>
        <v/>
      </c>
      <c r="AA830" s="70" t="str">
        <f t="shared" si="342"/>
        <v/>
      </c>
      <c r="AB830" s="2"/>
      <c r="AC830" s="94" t="str">
        <f t="shared" si="322"/>
        <v/>
      </c>
      <c r="AD830" s="95" t="str">
        <f t="shared" si="323"/>
        <v/>
      </c>
      <c r="AE830" s="96" t="str">
        <f t="shared" si="324"/>
        <v/>
      </c>
      <c r="AF830" s="124" t="str">
        <f t="shared" si="325"/>
        <v/>
      </c>
      <c r="AG830" s="2"/>
      <c r="AH830" s="2"/>
      <c r="AI830" s="2"/>
      <c r="AJ830" s="2"/>
      <c r="AK830" s="2"/>
      <c r="AL830" s="2"/>
    </row>
    <row r="831" spans="1:38" x14ac:dyDescent="0.2">
      <c r="A831" s="45"/>
      <c r="B831" s="43" t="str">
        <f t="shared" si="328"/>
        <v/>
      </c>
      <c r="C831" s="96" t="str">
        <f t="shared" si="327"/>
        <v/>
      </c>
      <c r="D831" s="44" t="str">
        <f t="shared" si="329"/>
        <v/>
      </c>
      <c r="E831" s="52"/>
      <c r="F831" s="63" t="str">
        <f t="shared" si="330"/>
        <v/>
      </c>
      <c r="G831" s="56" t="str">
        <f t="shared" si="331"/>
        <v/>
      </c>
      <c r="H831" s="42"/>
      <c r="I831" s="2" t="str">
        <f t="shared" si="332"/>
        <v/>
      </c>
      <c r="J831" s="54" t="str">
        <f t="shared" si="319"/>
        <v/>
      </c>
      <c r="K831" s="55" t="str">
        <f t="shared" si="333"/>
        <v/>
      </c>
      <c r="L831" s="63" t="str">
        <f t="shared" si="334"/>
        <v/>
      </c>
      <c r="M831" s="96" t="str">
        <f t="shared" si="320"/>
        <v/>
      </c>
      <c r="N831" s="96" t="str">
        <f>IF(A831="","",IF(A831=Expiry,0,EXP(-q*Q831)*_xlfn.NORM.S.DIST(Y831,0)/(sigma*SQRT(Q831))*I831*Mult/100))</f>
        <v/>
      </c>
      <c r="O831" s="96" t="str">
        <f>IF(A831="","",IF(A831=Expiry,0,D831*E831*E831*EXP(-q*Q831)*_xlfn.NORM.S.DIST(Y831,0)*SQRT(Q831)/100))</f>
        <v/>
      </c>
      <c r="P831" s="69" t="str">
        <f>IF(A831="","",IF(A831=Expiry,0,AK831*I831*Mult*((-EXP(-q*Q831)*E831*_xlfn.NORM.S.DIST(Y831,0)*sigma/(2*SQRT(Q831))-r_dom*K*EXP(-r_dom*Q831)*_xlfn.NORM.S.DIST(Z831,1)+q*E831*EXP(-q*Q831)*_xlfn.NORM.S.DIST(Y831,1))/365)))</f>
        <v/>
      </c>
      <c r="Q831" s="83" t="str">
        <f t="shared" si="335"/>
        <v/>
      </c>
      <c r="R831" s="38"/>
      <c r="S831" s="68" t="str">
        <f t="shared" si="336"/>
        <v/>
      </c>
      <c r="T831" s="69" t="str">
        <f t="shared" si="337"/>
        <v/>
      </c>
      <c r="U831" s="70" t="str">
        <f t="shared" si="338"/>
        <v/>
      </c>
      <c r="V831" s="72" t="str">
        <f t="shared" si="339"/>
        <v/>
      </c>
      <c r="W831" s="2" t="str">
        <f t="shared" si="326"/>
        <v/>
      </c>
      <c r="X831" s="2" t="str">
        <f t="shared" si="321"/>
        <v/>
      </c>
      <c r="Y831" s="35" t="str">
        <f t="shared" ca="1" si="340"/>
        <v/>
      </c>
      <c r="Z831" s="36" t="str">
        <f t="shared" ca="1" si="341"/>
        <v/>
      </c>
      <c r="AA831" s="70" t="str">
        <f t="shared" si="342"/>
        <v/>
      </c>
      <c r="AB831" s="2"/>
      <c r="AC831" s="94" t="str">
        <f t="shared" si="322"/>
        <v/>
      </c>
      <c r="AD831" s="95" t="str">
        <f t="shared" si="323"/>
        <v/>
      </c>
      <c r="AE831" s="96" t="str">
        <f t="shared" si="324"/>
        <v/>
      </c>
      <c r="AF831" s="124" t="str">
        <f t="shared" si="325"/>
        <v/>
      </c>
      <c r="AG831" s="2"/>
      <c r="AH831" s="2"/>
      <c r="AI831" s="2"/>
      <c r="AJ831" s="2"/>
      <c r="AK831" s="2"/>
      <c r="AL831" s="2"/>
    </row>
    <row r="832" spans="1:38" x14ac:dyDescent="0.2">
      <c r="A832" s="45"/>
      <c r="B832" s="43" t="str">
        <f t="shared" si="328"/>
        <v/>
      </c>
      <c r="C832" s="96" t="str">
        <f t="shared" si="327"/>
        <v/>
      </c>
      <c r="D832" s="44" t="str">
        <f t="shared" si="329"/>
        <v/>
      </c>
      <c r="E832" s="52"/>
      <c r="F832" s="63" t="str">
        <f t="shared" si="330"/>
        <v/>
      </c>
      <c r="G832" s="56" t="str">
        <f t="shared" si="331"/>
        <v/>
      </c>
      <c r="H832" s="42"/>
      <c r="I832" s="2" t="str">
        <f t="shared" si="332"/>
        <v/>
      </c>
      <c r="J832" s="54" t="str">
        <f t="shared" si="319"/>
        <v/>
      </c>
      <c r="K832" s="55" t="str">
        <f t="shared" si="333"/>
        <v/>
      </c>
      <c r="L832" s="63" t="str">
        <f t="shared" si="334"/>
        <v/>
      </c>
      <c r="M832" s="96" t="str">
        <f t="shared" si="320"/>
        <v/>
      </c>
      <c r="N832" s="96" t="str">
        <f>IF(A832="","",IF(A832=Expiry,0,EXP(-q*Q832)*_xlfn.NORM.S.DIST(Y832,0)/(sigma*SQRT(Q832))*I832*Mult/100))</f>
        <v/>
      </c>
      <c r="O832" s="96" t="str">
        <f>IF(A832="","",IF(A832=Expiry,0,D832*E832*E832*EXP(-q*Q832)*_xlfn.NORM.S.DIST(Y832,0)*SQRT(Q832)/100))</f>
        <v/>
      </c>
      <c r="P832" s="69" t="str">
        <f>IF(A832="","",IF(A832=Expiry,0,AK832*I832*Mult*((-EXP(-q*Q832)*E832*_xlfn.NORM.S.DIST(Y832,0)*sigma/(2*SQRT(Q832))-r_dom*K*EXP(-r_dom*Q832)*_xlfn.NORM.S.DIST(Z832,1)+q*E832*EXP(-q*Q832)*_xlfn.NORM.S.DIST(Y832,1))/365)))</f>
        <v/>
      </c>
      <c r="Q832" s="83" t="str">
        <f t="shared" si="335"/>
        <v/>
      </c>
      <c r="R832" s="38"/>
      <c r="S832" s="68" t="str">
        <f t="shared" si="336"/>
        <v/>
      </c>
      <c r="T832" s="69" t="str">
        <f t="shared" si="337"/>
        <v/>
      </c>
      <c r="U832" s="70" t="str">
        <f t="shared" si="338"/>
        <v/>
      </c>
      <c r="V832" s="72" t="str">
        <f t="shared" si="339"/>
        <v/>
      </c>
      <c r="W832" s="2" t="str">
        <f t="shared" si="326"/>
        <v/>
      </c>
      <c r="X832" s="2" t="str">
        <f t="shared" si="321"/>
        <v/>
      </c>
      <c r="Y832" s="35" t="str">
        <f t="shared" ca="1" si="340"/>
        <v/>
      </c>
      <c r="Z832" s="36" t="str">
        <f t="shared" ca="1" si="341"/>
        <v/>
      </c>
      <c r="AA832" s="70" t="str">
        <f t="shared" si="342"/>
        <v/>
      </c>
      <c r="AB832" s="2"/>
      <c r="AC832" s="94" t="str">
        <f t="shared" si="322"/>
        <v/>
      </c>
      <c r="AD832" s="95" t="str">
        <f t="shared" si="323"/>
        <v/>
      </c>
      <c r="AE832" s="96" t="str">
        <f t="shared" si="324"/>
        <v/>
      </c>
      <c r="AF832" s="124" t="str">
        <f t="shared" si="325"/>
        <v/>
      </c>
      <c r="AG832" s="2"/>
      <c r="AH832" s="2"/>
      <c r="AI832" s="2"/>
      <c r="AJ832" s="2"/>
      <c r="AK832" s="2"/>
      <c r="AL832" s="2"/>
    </row>
    <row r="833" spans="1:38" x14ac:dyDescent="0.2">
      <c r="A833" s="45"/>
      <c r="B833" s="43" t="str">
        <f t="shared" si="328"/>
        <v/>
      </c>
      <c r="C833" s="96" t="str">
        <f t="shared" si="327"/>
        <v/>
      </c>
      <c r="D833" s="44" t="str">
        <f t="shared" si="329"/>
        <v/>
      </c>
      <c r="E833" s="52"/>
      <c r="F833" s="63" t="str">
        <f t="shared" si="330"/>
        <v/>
      </c>
      <c r="G833" s="56" t="str">
        <f t="shared" si="331"/>
        <v/>
      </c>
      <c r="H833" s="42"/>
      <c r="I833" s="2" t="str">
        <f t="shared" si="332"/>
        <v/>
      </c>
      <c r="J833" s="54" t="str">
        <f t="shared" si="319"/>
        <v/>
      </c>
      <c r="K833" s="55" t="str">
        <f t="shared" si="333"/>
        <v/>
      </c>
      <c r="L833" s="63" t="str">
        <f t="shared" si="334"/>
        <v/>
      </c>
      <c r="M833" s="96" t="str">
        <f t="shared" si="320"/>
        <v/>
      </c>
      <c r="N833" s="96" t="str">
        <f>IF(A833="","",IF(A833=Expiry,0,EXP(-q*Q833)*_xlfn.NORM.S.DIST(Y833,0)/(sigma*SQRT(Q833))*I833*Mult/100))</f>
        <v/>
      </c>
      <c r="O833" s="96" t="str">
        <f>IF(A833="","",IF(A833=Expiry,0,D833*E833*E833*EXP(-q*Q833)*_xlfn.NORM.S.DIST(Y833,0)*SQRT(Q833)/100))</f>
        <v/>
      </c>
      <c r="P833" s="69" t="str">
        <f>IF(A833="","",IF(A833=Expiry,0,AK833*I833*Mult*((-EXP(-q*Q833)*E833*_xlfn.NORM.S.DIST(Y833,0)*sigma/(2*SQRT(Q833))-r_dom*K*EXP(-r_dom*Q833)*_xlfn.NORM.S.DIST(Z833,1)+q*E833*EXP(-q*Q833)*_xlfn.NORM.S.DIST(Y833,1))/365)))</f>
        <v/>
      </c>
      <c r="Q833" s="83" t="str">
        <f t="shared" si="335"/>
        <v/>
      </c>
      <c r="R833" s="38"/>
      <c r="S833" s="68" t="str">
        <f t="shared" si="336"/>
        <v/>
      </c>
      <c r="T833" s="69" t="str">
        <f t="shared" si="337"/>
        <v/>
      </c>
      <c r="U833" s="70" t="str">
        <f t="shared" si="338"/>
        <v/>
      </c>
      <c r="V833" s="72" t="str">
        <f t="shared" si="339"/>
        <v/>
      </c>
      <c r="W833" s="2" t="str">
        <f t="shared" si="326"/>
        <v/>
      </c>
      <c r="X833" s="2" t="str">
        <f t="shared" si="321"/>
        <v/>
      </c>
      <c r="Y833" s="35" t="str">
        <f t="shared" ca="1" si="340"/>
        <v/>
      </c>
      <c r="Z833" s="36" t="str">
        <f t="shared" ca="1" si="341"/>
        <v/>
      </c>
      <c r="AA833" s="70" t="str">
        <f t="shared" si="342"/>
        <v/>
      </c>
      <c r="AB833" s="2"/>
      <c r="AC833" s="94" t="str">
        <f t="shared" si="322"/>
        <v/>
      </c>
      <c r="AD833" s="95" t="str">
        <f t="shared" si="323"/>
        <v/>
      </c>
      <c r="AE833" s="96" t="str">
        <f t="shared" si="324"/>
        <v/>
      </c>
      <c r="AF833" s="124" t="str">
        <f t="shared" si="325"/>
        <v/>
      </c>
      <c r="AG833" s="2"/>
      <c r="AH833" s="2"/>
      <c r="AI833" s="2"/>
      <c r="AJ833" s="2"/>
      <c r="AK833" s="2"/>
      <c r="AL833" s="2"/>
    </row>
    <row r="834" spans="1:38" x14ac:dyDescent="0.2">
      <c r="A834" s="45"/>
      <c r="B834" s="43" t="str">
        <f t="shared" si="328"/>
        <v/>
      </c>
      <c r="C834" s="96" t="str">
        <f t="shared" si="327"/>
        <v/>
      </c>
      <c r="D834" s="44" t="str">
        <f t="shared" si="329"/>
        <v/>
      </c>
      <c r="E834" s="52"/>
      <c r="F834" s="63" t="str">
        <f t="shared" si="330"/>
        <v/>
      </c>
      <c r="G834" s="56" t="str">
        <f t="shared" si="331"/>
        <v/>
      </c>
      <c r="H834" s="42"/>
      <c r="I834" s="2" t="str">
        <f t="shared" si="332"/>
        <v/>
      </c>
      <c r="J834" s="54" t="str">
        <f t="shared" si="319"/>
        <v/>
      </c>
      <c r="K834" s="55" t="str">
        <f t="shared" si="333"/>
        <v/>
      </c>
      <c r="L834" s="63" t="str">
        <f t="shared" si="334"/>
        <v/>
      </c>
      <c r="M834" s="96" t="str">
        <f t="shared" si="320"/>
        <v/>
      </c>
      <c r="N834" s="96" t="str">
        <f>IF(A834="","",IF(A834=Expiry,0,EXP(-q*Q834)*_xlfn.NORM.S.DIST(Y834,0)/(sigma*SQRT(Q834))*I834*Mult/100))</f>
        <v/>
      </c>
      <c r="O834" s="96" t="str">
        <f>IF(A834="","",IF(A834=Expiry,0,D834*E834*E834*EXP(-q*Q834)*_xlfn.NORM.S.DIST(Y834,0)*SQRT(Q834)/100))</f>
        <v/>
      </c>
      <c r="P834" s="69" t="str">
        <f>IF(A834="","",IF(A834=Expiry,0,AK834*I834*Mult*((-EXP(-q*Q834)*E834*_xlfn.NORM.S.DIST(Y834,0)*sigma/(2*SQRT(Q834))-r_dom*K*EXP(-r_dom*Q834)*_xlfn.NORM.S.DIST(Z834,1)+q*E834*EXP(-q*Q834)*_xlfn.NORM.S.DIST(Y834,1))/365)))</f>
        <v/>
      </c>
      <c r="Q834" s="83" t="str">
        <f t="shared" si="335"/>
        <v/>
      </c>
      <c r="R834" s="38"/>
      <c r="S834" s="68" t="str">
        <f t="shared" si="336"/>
        <v/>
      </c>
      <c r="T834" s="69" t="str">
        <f t="shared" si="337"/>
        <v/>
      </c>
      <c r="U834" s="70" t="str">
        <f t="shared" si="338"/>
        <v/>
      </c>
      <c r="V834" s="72" t="str">
        <f t="shared" si="339"/>
        <v/>
      </c>
      <c r="W834" s="2" t="str">
        <f t="shared" si="326"/>
        <v/>
      </c>
      <c r="X834" s="2" t="str">
        <f t="shared" si="321"/>
        <v/>
      </c>
      <c r="Y834" s="35" t="str">
        <f t="shared" ca="1" si="340"/>
        <v/>
      </c>
      <c r="Z834" s="36" t="str">
        <f t="shared" ca="1" si="341"/>
        <v/>
      </c>
      <c r="AA834" s="70" t="str">
        <f t="shared" si="342"/>
        <v/>
      </c>
      <c r="AB834" s="2"/>
      <c r="AC834" s="94" t="str">
        <f t="shared" si="322"/>
        <v/>
      </c>
      <c r="AD834" s="95" t="str">
        <f t="shared" si="323"/>
        <v/>
      </c>
      <c r="AE834" s="96" t="str">
        <f t="shared" si="324"/>
        <v/>
      </c>
      <c r="AF834" s="124" t="str">
        <f t="shared" si="325"/>
        <v/>
      </c>
      <c r="AG834" s="2"/>
      <c r="AH834" s="2"/>
      <c r="AI834" s="2"/>
      <c r="AJ834" s="2"/>
      <c r="AK834" s="2"/>
      <c r="AL834" s="2"/>
    </row>
    <row r="835" spans="1:38" x14ac:dyDescent="0.2">
      <c r="A835" s="45"/>
      <c r="B835" s="43" t="str">
        <f t="shared" si="328"/>
        <v/>
      </c>
      <c r="C835" s="96" t="str">
        <f t="shared" si="327"/>
        <v/>
      </c>
      <c r="D835" s="44" t="str">
        <f t="shared" si="329"/>
        <v/>
      </c>
      <c r="E835" s="52"/>
      <c r="F835" s="63" t="str">
        <f t="shared" si="330"/>
        <v/>
      </c>
      <c r="G835" s="56" t="str">
        <f t="shared" si="331"/>
        <v/>
      </c>
      <c r="H835" s="42"/>
      <c r="I835" s="2" t="str">
        <f t="shared" si="332"/>
        <v/>
      </c>
      <c r="J835" s="54" t="str">
        <f t="shared" si="319"/>
        <v/>
      </c>
      <c r="K835" s="55" t="str">
        <f t="shared" si="333"/>
        <v/>
      </c>
      <c r="L835" s="63" t="str">
        <f t="shared" si="334"/>
        <v/>
      </c>
      <c r="M835" s="96" t="str">
        <f t="shared" si="320"/>
        <v/>
      </c>
      <c r="N835" s="96" t="str">
        <f>IF(A835="","",IF(A835=Expiry,0,EXP(-q*Q835)*_xlfn.NORM.S.DIST(Y835,0)/(sigma*SQRT(Q835))*I835*Mult/100))</f>
        <v/>
      </c>
      <c r="O835" s="96" t="str">
        <f>IF(A835="","",IF(A835=Expiry,0,D835*E835*E835*EXP(-q*Q835)*_xlfn.NORM.S.DIST(Y835,0)*SQRT(Q835)/100))</f>
        <v/>
      </c>
      <c r="P835" s="69" t="str">
        <f>IF(A835="","",IF(A835=Expiry,0,AK835*I835*Mult*((-EXP(-q*Q835)*E835*_xlfn.NORM.S.DIST(Y835,0)*sigma/(2*SQRT(Q835))-r_dom*K*EXP(-r_dom*Q835)*_xlfn.NORM.S.DIST(Z835,1)+q*E835*EXP(-q*Q835)*_xlfn.NORM.S.DIST(Y835,1))/365)))</f>
        <v/>
      </c>
      <c r="Q835" s="83" t="str">
        <f t="shared" si="335"/>
        <v/>
      </c>
      <c r="R835" s="38"/>
      <c r="S835" s="68" t="str">
        <f t="shared" si="336"/>
        <v/>
      </c>
      <c r="T835" s="69" t="str">
        <f t="shared" si="337"/>
        <v/>
      </c>
      <c r="U835" s="70" t="str">
        <f t="shared" si="338"/>
        <v/>
      </c>
      <c r="V835" s="72" t="str">
        <f t="shared" si="339"/>
        <v/>
      </c>
      <c r="W835" s="2" t="str">
        <f t="shared" si="326"/>
        <v/>
      </c>
      <c r="X835" s="2" t="str">
        <f t="shared" si="321"/>
        <v/>
      </c>
      <c r="Y835" s="35" t="str">
        <f t="shared" ca="1" si="340"/>
        <v/>
      </c>
      <c r="Z835" s="36" t="str">
        <f t="shared" ca="1" si="341"/>
        <v/>
      </c>
      <c r="AA835" s="70" t="str">
        <f t="shared" si="342"/>
        <v/>
      </c>
      <c r="AB835" s="2"/>
      <c r="AC835" s="94" t="str">
        <f t="shared" si="322"/>
        <v/>
      </c>
      <c r="AD835" s="95" t="str">
        <f t="shared" si="323"/>
        <v/>
      </c>
      <c r="AE835" s="96" t="str">
        <f t="shared" si="324"/>
        <v/>
      </c>
      <c r="AF835" s="124" t="str">
        <f t="shared" si="325"/>
        <v/>
      </c>
      <c r="AG835" s="2"/>
      <c r="AH835" s="2"/>
      <c r="AI835" s="2"/>
      <c r="AJ835" s="2"/>
      <c r="AK835" s="2"/>
      <c r="AL835" s="2"/>
    </row>
    <row r="836" spans="1:38" x14ac:dyDescent="0.2">
      <c r="A836" s="45"/>
      <c r="B836" s="43" t="str">
        <f t="shared" si="328"/>
        <v/>
      </c>
      <c r="C836" s="96" t="str">
        <f t="shared" si="327"/>
        <v/>
      </c>
      <c r="D836" s="44" t="str">
        <f t="shared" si="329"/>
        <v/>
      </c>
      <c r="E836" s="52"/>
      <c r="F836" s="63" t="str">
        <f t="shared" si="330"/>
        <v/>
      </c>
      <c r="G836" s="56" t="str">
        <f t="shared" si="331"/>
        <v/>
      </c>
      <c r="H836" s="42"/>
      <c r="I836" s="2" t="str">
        <f t="shared" si="332"/>
        <v/>
      </c>
      <c r="J836" s="54" t="str">
        <f t="shared" si="319"/>
        <v/>
      </c>
      <c r="K836" s="55" t="str">
        <f t="shared" si="333"/>
        <v/>
      </c>
      <c r="L836" s="63" t="str">
        <f t="shared" si="334"/>
        <v/>
      </c>
      <c r="M836" s="96" t="str">
        <f t="shared" si="320"/>
        <v/>
      </c>
      <c r="N836" s="96" t="str">
        <f>IF(A836="","",IF(A836=Expiry,0,EXP(-q*Q836)*_xlfn.NORM.S.DIST(Y836,0)/(sigma*SQRT(Q836))*I836*Mult/100))</f>
        <v/>
      </c>
      <c r="O836" s="96" t="str">
        <f>IF(A836="","",IF(A836=Expiry,0,D836*E836*E836*EXP(-q*Q836)*_xlfn.NORM.S.DIST(Y836,0)*SQRT(Q836)/100))</f>
        <v/>
      </c>
      <c r="P836" s="69" t="str">
        <f>IF(A836="","",IF(A836=Expiry,0,AK836*I836*Mult*((-EXP(-q*Q836)*E836*_xlfn.NORM.S.DIST(Y836,0)*sigma/(2*SQRT(Q836))-r_dom*K*EXP(-r_dom*Q836)*_xlfn.NORM.S.DIST(Z836,1)+q*E836*EXP(-q*Q836)*_xlfn.NORM.S.DIST(Y836,1))/365)))</f>
        <v/>
      </c>
      <c r="Q836" s="83" t="str">
        <f t="shared" si="335"/>
        <v/>
      </c>
      <c r="R836" s="38"/>
      <c r="S836" s="68" t="str">
        <f t="shared" si="336"/>
        <v/>
      </c>
      <c r="T836" s="69" t="str">
        <f t="shared" si="337"/>
        <v/>
      </c>
      <c r="U836" s="70" t="str">
        <f t="shared" si="338"/>
        <v/>
      </c>
      <c r="V836" s="72" t="str">
        <f t="shared" si="339"/>
        <v/>
      </c>
      <c r="W836" s="2" t="str">
        <f t="shared" si="326"/>
        <v/>
      </c>
      <c r="X836" s="2" t="str">
        <f t="shared" si="321"/>
        <v/>
      </c>
      <c r="Y836" s="35" t="str">
        <f t="shared" ca="1" si="340"/>
        <v/>
      </c>
      <c r="Z836" s="36" t="str">
        <f t="shared" ca="1" si="341"/>
        <v/>
      </c>
      <c r="AA836" s="70" t="str">
        <f t="shared" si="342"/>
        <v/>
      </c>
      <c r="AB836" s="2"/>
      <c r="AC836" s="94" t="str">
        <f t="shared" si="322"/>
        <v/>
      </c>
      <c r="AD836" s="95" t="str">
        <f t="shared" si="323"/>
        <v/>
      </c>
      <c r="AE836" s="96" t="str">
        <f t="shared" si="324"/>
        <v/>
      </c>
      <c r="AF836" s="124" t="str">
        <f t="shared" si="325"/>
        <v/>
      </c>
      <c r="AG836" s="2"/>
      <c r="AH836" s="2"/>
      <c r="AI836" s="2"/>
      <c r="AJ836" s="2"/>
      <c r="AK836" s="2"/>
      <c r="AL836" s="2"/>
    </row>
    <row r="837" spans="1:38" x14ac:dyDescent="0.2">
      <c r="A837" s="45"/>
      <c r="B837" s="43" t="str">
        <f t="shared" si="328"/>
        <v/>
      </c>
      <c r="C837" s="96" t="str">
        <f t="shared" si="327"/>
        <v/>
      </c>
      <c r="D837" s="44" t="str">
        <f t="shared" si="329"/>
        <v/>
      </c>
      <c r="E837" s="52"/>
      <c r="F837" s="63" t="str">
        <f t="shared" si="330"/>
        <v/>
      </c>
      <c r="G837" s="56" t="str">
        <f t="shared" si="331"/>
        <v/>
      </c>
      <c r="H837" s="42"/>
      <c r="I837" s="2" t="str">
        <f t="shared" si="332"/>
        <v/>
      </c>
      <c r="J837" s="54" t="str">
        <f t="shared" si="319"/>
        <v/>
      </c>
      <c r="K837" s="55" t="str">
        <f t="shared" si="333"/>
        <v/>
      </c>
      <c r="L837" s="63" t="str">
        <f t="shared" si="334"/>
        <v/>
      </c>
      <c r="M837" s="96" t="str">
        <f t="shared" si="320"/>
        <v/>
      </c>
      <c r="N837" s="96" t="str">
        <f>IF(A837="","",IF(A837=Expiry,0,EXP(-q*Q837)*_xlfn.NORM.S.DIST(Y837,0)/(sigma*SQRT(Q837))*I837*Mult/100))</f>
        <v/>
      </c>
      <c r="O837" s="96" t="str">
        <f>IF(A837="","",IF(A837=Expiry,0,D837*E837*E837*EXP(-q*Q837)*_xlfn.NORM.S.DIST(Y837,0)*SQRT(Q837)/100))</f>
        <v/>
      </c>
      <c r="P837" s="69" t="str">
        <f>IF(A837="","",IF(A837=Expiry,0,AK837*I837*Mult*((-EXP(-q*Q837)*E837*_xlfn.NORM.S.DIST(Y837,0)*sigma/(2*SQRT(Q837))-r_dom*K*EXP(-r_dom*Q837)*_xlfn.NORM.S.DIST(Z837,1)+q*E837*EXP(-q*Q837)*_xlfn.NORM.S.DIST(Y837,1))/365)))</f>
        <v/>
      </c>
      <c r="Q837" s="83" t="str">
        <f t="shared" si="335"/>
        <v/>
      </c>
      <c r="R837" s="38"/>
      <c r="S837" s="68" t="str">
        <f t="shared" si="336"/>
        <v/>
      </c>
      <c r="T837" s="69" t="str">
        <f t="shared" si="337"/>
        <v/>
      </c>
      <c r="U837" s="70" t="str">
        <f t="shared" si="338"/>
        <v/>
      </c>
      <c r="V837" s="72" t="str">
        <f t="shared" si="339"/>
        <v/>
      </c>
      <c r="W837" s="2" t="str">
        <f t="shared" si="326"/>
        <v/>
      </c>
      <c r="X837" s="2" t="str">
        <f t="shared" si="321"/>
        <v/>
      </c>
      <c r="Y837" s="35" t="str">
        <f t="shared" ca="1" si="340"/>
        <v/>
      </c>
      <c r="Z837" s="36" t="str">
        <f t="shared" ca="1" si="341"/>
        <v/>
      </c>
      <c r="AA837" s="70" t="str">
        <f t="shared" si="342"/>
        <v/>
      </c>
      <c r="AB837" s="2"/>
      <c r="AC837" s="94" t="str">
        <f t="shared" si="322"/>
        <v/>
      </c>
      <c r="AD837" s="95" t="str">
        <f t="shared" si="323"/>
        <v/>
      </c>
      <c r="AE837" s="96" t="str">
        <f t="shared" si="324"/>
        <v/>
      </c>
      <c r="AF837" s="124" t="str">
        <f t="shared" si="325"/>
        <v/>
      </c>
      <c r="AG837" s="2"/>
      <c r="AH837" s="2"/>
      <c r="AI837" s="2"/>
      <c r="AJ837" s="2"/>
      <c r="AK837" s="2"/>
      <c r="AL837" s="2"/>
    </row>
    <row r="838" spans="1:38" x14ac:dyDescent="0.2">
      <c r="A838" s="45"/>
      <c r="B838" s="43" t="str">
        <f t="shared" si="328"/>
        <v/>
      </c>
      <c r="C838" s="96" t="str">
        <f t="shared" si="327"/>
        <v/>
      </c>
      <c r="D838" s="44" t="str">
        <f t="shared" si="329"/>
        <v/>
      </c>
      <c r="E838" s="52"/>
      <c r="F838" s="63" t="str">
        <f t="shared" si="330"/>
        <v/>
      </c>
      <c r="G838" s="56" t="str">
        <f t="shared" si="331"/>
        <v/>
      </c>
      <c r="H838" s="42"/>
      <c r="I838" s="2" t="str">
        <f t="shared" si="332"/>
        <v/>
      </c>
      <c r="J838" s="54" t="str">
        <f t="shared" si="319"/>
        <v/>
      </c>
      <c r="K838" s="55" t="str">
        <f t="shared" si="333"/>
        <v/>
      </c>
      <c r="L838" s="63" t="str">
        <f t="shared" si="334"/>
        <v/>
      </c>
      <c r="M838" s="96" t="str">
        <f t="shared" si="320"/>
        <v/>
      </c>
      <c r="N838" s="96" t="str">
        <f>IF(A838="","",IF(A838=Expiry,0,EXP(-q*Q838)*_xlfn.NORM.S.DIST(Y838,0)/(sigma*SQRT(Q838))*I838*Mult/100))</f>
        <v/>
      </c>
      <c r="O838" s="96" t="str">
        <f>IF(A838="","",IF(A838=Expiry,0,D838*E838*E838*EXP(-q*Q838)*_xlfn.NORM.S.DIST(Y838,0)*SQRT(Q838)/100))</f>
        <v/>
      </c>
      <c r="P838" s="69" t="str">
        <f>IF(A838="","",IF(A838=Expiry,0,AK838*I838*Mult*((-EXP(-q*Q838)*E838*_xlfn.NORM.S.DIST(Y838,0)*sigma/(2*SQRT(Q838))-r_dom*K*EXP(-r_dom*Q838)*_xlfn.NORM.S.DIST(Z838,1)+q*E838*EXP(-q*Q838)*_xlfn.NORM.S.DIST(Y838,1))/365)))</f>
        <v/>
      </c>
      <c r="Q838" s="83" t="str">
        <f t="shared" si="335"/>
        <v/>
      </c>
      <c r="R838" s="38"/>
      <c r="S838" s="68" t="str">
        <f t="shared" si="336"/>
        <v/>
      </c>
      <c r="T838" s="69" t="str">
        <f t="shared" si="337"/>
        <v/>
      </c>
      <c r="U838" s="70" t="str">
        <f t="shared" si="338"/>
        <v/>
      </c>
      <c r="V838" s="72" t="str">
        <f t="shared" si="339"/>
        <v/>
      </c>
      <c r="W838" s="2" t="str">
        <f t="shared" si="326"/>
        <v/>
      </c>
      <c r="X838" s="2" t="str">
        <f t="shared" si="321"/>
        <v/>
      </c>
      <c r="Y838" s="35" t="str">
        <f t="shared" ca="1" si="340"/>
        <v/>
      </c>
      <c r="Z838" s="36" t="str">
        <f t="shared" ca="1" si="341"/>
        <v/>
      </c>
      <c r="AA838" s="70" t="str">
        <f t="shared" si="342"/>
        <v/>
      </c>
      <c r="AB838" s="2"/>
      <c r="AC838" s="94" t="str">
        <f t="shared" si="322"/>
        <v/>
      </c>
      <c r="AD838" s="95" t="str">
        <f t="shared" si="323"/>
        <v/>
      </c>
      <c r="AE838" s="96" t="str">
        <f t="shared" si="324"/>
        <v/>
      </c>
      <c r="AF838" s="124" t="str">
        <f t="shared" si="325"/>
        <v/>
      </c>
      <c r="AG838" s="2"/>
      <c r="AH838" s="2"/>
      <c r="AI838" s="2"/>
      <c r="AJ838" s="2"/>
      <c r="AK838" s="2"/>
      <c r="AL838" s="2"/>
    </row>
    <row r="839" spans="1:38" x14ac:dyDescent="0.2">
      <c r="A839" s="45"/>
      <c r="B839" s="43" t="str">
        <f t="shared" si="328"/>
        <v/>
      </c>
      <c r="C839" s="96" t="str">
        <f t="shared" si="327"/>
        <v/>
      </c>
      <c r="D839" s="44" t="str">
        <f t="shared" si="329"/>
        <v/>
      </c>
      <c r="E839" s="52"/>
      <c r="F839" s="63" t="str">
        <f t="shared" si="330"/>
        <v/>
      </c>
      <c r="G839" s="56" t="str">
        <f t="shared" si="331"/>
        <v/>
      </c>
      <c r="H839" s="42"/>
      <c r="I839" s="2" t="str">
        <f t="shared" si="332"/>
        <v/>
      </c>
      <c r="J839" s="54" t="str">
        <f t="shared" si="319"/>
        <v/>
      </c>
      <c r="K839" s="55" t="str">
        <f t="shared" si="333"/>
        <v/>
      </c>
      <c r="L839" s="63" t="str">
        <f t="shared" si="334"/>
        <v/>
      </c>
      <c r="M839" s="96" t="str">
        <f t="shared" si="320"/>
        <v/>
      </c>
      <c r="N839" s="96" t="str">
        <f>IF(A839="","",IF(A839=Expiry,0,EXP(-q*Q839)*_xlfn.NORM.S.DIST(Y839,0)/(sigma*SQRT(Q839))*I839*Mult/100))</f>
        <v/>
      </c>
      <c r="O839" s="96" t="str">
        <f>IF(A839="","",IF(A839=Expiry,0,D839*E839*E839*EXP(-q*Q839)*_xlfn.NORM.S.DIST(Y839,0)*SQRT(Q839)/100))</f>
        <v/>
      </c>
      <c r="P839" s="69" t="str">
        <f>IF(A839="","",IF(A839=Expiry,0,AK839*I839*Mult*((-EXP(-q*Q839)*E839*_xlfn.NORM.S.DIST(Y839,0)*sigma/(2*SQRT(Q839))-r_dom*K*EXP(-r_dom*Q839)*_xlfn.NORM.S.DIST(Z839,1)+q*E839*EXP(-q*Q839)*_xlfn.NORM.S.DIST(Y839,1))/365)))</f>
        <v/>
      </c>
      <c r="Q839" s="83" t="str">
        <f t="shared" si="335"/>
        <v/>
      </c>
      <c r="R839" s="38"/>
      <c r="S839" s="68" t="str">
        <f t="shared" si="336"/>
        <v/>
      </c>
      <c r="T839" s="69" t="str">
        <f t="shared" si="337"/>
        <v/>
      </c>
      <c r="U839" s="70" t="str">
        <f t="shared" si="338"/>
        <v/>
      </c>
      <c r="V839" s="72" t="str">
        <f t="shared" si="339"/>
        <v/>
      </c>
      <c r="W839" s="2" t="str">
        <f t="shared" si="326"/>
        <v/>
      </c>
      <c r="X839" s="2" t="str">
        <f t="shared" si="321"/>
        <v/>
      </c>
      <c r="Y839" s="35" t="str">
        <f t="shared" ca="1" si="340"/>
        <v/>
      </c>
      <c r="Z839" s="36" t="str">
        <f t="shared" ca="1" si="341"/>
        <v/>
      </c>
      <c r="AA839" s="70" t="str">
        <f t="shared" si="342"/>
        <v/>
      </c>
      <c r="AB839" s="2"/>
      <c r="AC839" s="94" t="str">
        <f t="shared" si="322"/>
        <v/>
      </c>
      <c r="AD839" s="95" t="str">
        <f t="shared" si="323"/>
        <v/>
      </c>
      <c r="AE839" s="96" t="str">
        <f t="shared" si="324"/>
        <v/>
      </c>
      <c r="AF839" s="124" t="str">
        <f t="shared" si="325"/>
        <v/>
      </c>
      <c r="AG839" s="2"/>
      <c r="AH839" s="2"/>
      <c r="AI839" s="2"/>
      <c r="AJ839" s="2"/>
      <c r="AK839" s="2"/>
      <c r="AL839" s="2"/>
    </row>
    <row r="840" spans="1:38" x14ac:dyDescent="0.2">
      <c r="A840" s="45"/>
      <c r="B840" s="43" t="str">
        <f t="shared" si="328"/>
        <v/>
      </c>
      <c r="C840" s="96" t="str">
        <f t="shared" si="327"/>
        <v/>
      </c>
      <c r="D840" s="44" t="str">
        <f t="shared" si="329"/>
        <v/>
      </c>
      <c r="E840" s="52"/>
      <c r="F840" s="63" t="str">
        <f t="shared" si="330"/>
        <v/>
      </c>
      <c r="G840" s="56" t="str">
        <f t="shared" si="331"/>
        <v/>
      </c>
      <c r="H840" s="42"/>
      <c r="I840" s="2" t="str">
        <f t="shared" si="332"/>
        <v/>
      </c>
      <c r="J840" s="54" t="str">
        <f t="shared" si="319"/>
        <v/>
      </c>
      <c r="K840" s="55" t="str">
        <f t="shared" si="333"/>
        <v/>
      </c>
      <c r="L840" s="63" t="str">
        <f t="shared" si="334"/>
        <v/>
      </c>
      <c r="M840" s="96" t="str">
        <f t="shared" si="320"/>
        <v/>
      </c>
      <c r="N840" s="96" t="str">
        <f>IF(A840="","",IF(A840=Expiry,0,EXP(-q*Q840)*_xlfn.NORM.S.DIST(Y840,0)/(sigma*SQRT(Q840))*I840*Mult/100))</f>
        <v/>
      </c>
      <c r="O840" s="96" t="str">
        <f>IF(A840="","",IF(A840=Expiry,0,D840*E840*E840*EXP(-q*Q840)*_xlfn.NORM.S.DIST(Y840,0)*SQRT(Q840)/100))</f>
        <v/>
      </c>
      <c r="P840" s="69" t="str">
        <f>IF(A840="","",IF(A840=Expiry,0,AK840*I840*Mult*((-EXP(-q*Q840)*E840*_xlfn.NORM.S.DIST(Y840,0)*sigma/(2*SQRT(Q840))-r_dom*K*EXP(-r_dom*Q840)*_xlfn.NORM.S.DIST(Z840,1)+q*E840*EXP(-q*Q840)*_xlfn.NORM.S.DIST(Y840,1))/365)))</f>
        <v/>
      </c>
      <c r="Q840" s="83" t="str">
        <f t="shared" si="335"/>
        <v/>
      </c>
      <c r="R840" s="38"/>
      <c r="S840" s="68" t="str">
        <f t="shared" si="336"/>
        <v/>
      </c>
      <c r="T840" s="69" t="str">
        <f t="shared" si="337"/>
        <v/>
      </c>
      <c r="U840" s="70" t="str">
        <f t="shared" si="338"/>
        <v/>
      </c>
      <c r="V840" s="72" t="str">
        <f t="shared" si="339"/>
        <v/>
      </c>
      <c r="W840" s="2" t="str">
        <f t="shared" si="326"/>
        <v/>
      </c>
      <c r="X840" s="2" t="str">
        <f t="shared" si="321"/>
        <v/>
      </c>
      <c r="Y840" s="35" t="str">
        <f t="shared" ca="1" si="340"/>
        <v/>
      </c>
      <c r="Z840" s="36" t="str">
        <f t="shared" ca="1" si="341"/>
        <v/>
      </c>
      <c r="AA840" s="70" t="str">
        <f t="shared" si="342"/>
        <v/>
      </c>
      <c r="AB840" s="2"/>
      <c r="AC840" s="94" t="str">
        <f t="shared" si="322"/>
        <v/>
      </c>
      <c r="AD840" s="95" t="str">
        <f t="shared" si="323"/>
        <v/>
      </c>
      <c r="AE840" s="96" t="str">
        <f t="shared" si="324"/>
        <v/>
      </c>
      <c r="AF840" s="124" t="str">
        <f t="shared" si="325"/>
        <v/>
      </c>
      <c r="AG840" s="2"/>
      <c r="AH840" s="2"/>
      <c r="AI840" s="2"/>
      <c r="AJ840" s="2"/>
      <c r="AK840" s="2"/>
      <c r="AL840" s="2"/>
    </row>
    <row r="841" spans="1:38" x14ac:dyDescent="0.2">
      <c r="A841" s="45"/>
      <c r="B841" s="43" t="str">
        <f t="shared" si="328"/>
        <v/>
      </c>
      <c r="C841" s="96" t="str">
        <f t="shared" si="327"/>
        <v/>
      </c>
      <c r="D841" s="44" t="str">
        <f t="shared" si="329"/>
        <v/>
      </c>
      <c r="E841" s="52"/>
      <c r="F841" s="63" t="str">
        <f t="shared" si="330"/>
        <v/>
      </c>
      <c r="G841" s="56" t="str">
        <f t="shared" si="331"/>
        <v/>
      </c>
      <c r="H841" s="42"/>
      <c r="I841" s="2" t="str">
        <f t="shared" si="332"/>
        <v/>
      </c>
      <c r="J841" s="54" t="str">
        <f t="shared" si="319"/>
        <v/>
      </c>
      <c r="K841" s="55" t="str">
        <f t="shared" si="333"/>
        <v/>
      </c>
      <c r="L841" s="63" t="str">
        <f t="shared" si="334"/>
        <v/>
      </c>
      <c r="M841" s="96" t="str">
        <f t="shared" si="320"/>
        <v/>
      </c>
      <c r="N841" s="96" t="str">
        <f>IF(A841="","",IF(A841=Expiry,0,EXP(-q*Q841)*_xlfn.NORM.S.DIST(Y841,0)/(sigma*SQRT(Q841))*I841*Mult/100))</f>
        <v/>
      </c>
      <c r="O841" s="96" t="str">
        <f>IF(A841="","",IF(A841=Expiry,0,D841*E841*E841*EXP(-q*Q841)*_xlfn.NORM.S.DIST(Y841,0)*SQRT(Q841)/100))</f>
        <v/>
      </c>
      <c r="P841" s="69" t="str">
        <f>IF(A841="","",IF(A841=Expiry,0,AK841*I841*Mult*((-EXP(-q*Q841)*E841*_xlfn.NORM.S.DIST(Y841,0)*sigma/(2*SQRT(Q841))-r_dom*K*EXP(-r_dom*Q841)*_xlfn.NORM.S.DIST(Z841,1)+q*E841*EXP(-q*Q841)*_xlfn.NORM.S.DIST(Y841,1))/365)))</f>
        <v/>
      </c>
      <c r="Q841" s="83" t="str">
        <f t="shared" si="335"/>
        <v/>
      </c>
      <c r="R841" s="38"/>
      <c r="S841" s="68" t="str">
        <f t="shared" si="336"/>
        <v/>
      </c>
      <c r="T841" s="69" t="str">
        <f t="shared" si="337"/>
        <v/>
      </c>
      <c r="U841" s="70" t="str">
        <f t="shared" si="338"/>
        <v/>
      </c>
      <c r="V841" s="72" t="str">
        <f t="shared" si="339"/>
        <v/>
      </c>
      <c r="W841" s="2" t="str">
        <f t="shared" si="326"/>
        <v/>
      </c>
      <c r="X841" s="2" t="str">
        <f t="shared" si="321"/>
        <v/>
      </c>
      <c r="Y841" s="35" t="str">
        <f t="shared" ca="1" si="340"/>
        <v/>
      </c>
      <c r="Z841" s="36" t="str">
        <f t="shared" ca="1" si="341"/>
        <v/>
      </c>
      <c r="AA841" s="70" t="str">
        <f t="shared" si="342"/>
        <v/>
      </c>
      <c r="AB841" s="2"/>
      <c r="AC841" s="94" t="str">
        <f t="shared" si="322"/>
        <v/>
      </c>
      <c r="AD841" s="95" t="str">
        <f t="shared" si="323"/>
        <v/>
      </c>
      <c r="AE841" s="96" t="str">
        <f t="shared" si="324"/>
        <v/>
      </c>
      <c r="AF841" s="124" t="str">
        <f t="shared" si="325"/>
        <v/>
      </c>
      <c r="AG841" s="2"/>
      <c r="AH841" s="2"/>
      <c r="AI841" s="2"/>
      <c r="AJ841" s="2"/>
      <c r="AK841" s="2"/>
      <c r="AL841" s="2"/>
    </row>
    <row r="842" spans="1:38" x14ac:dyDescent="0.2">
      <c r="A842" s="45"/>
      <c r="B842" s="43" t="str">
        <f t="shared" si="328"/>
        <v/>
      </c>
      <c r="C842" s="96" t="str">
        <f t="shared" si="327"/>
        <v/>
      </c>
      <c r="D842" s="44" t="str">
        <f t="shared" si="329"/>
        <v/>
      </c>
      <c r="E842" s="52"/>
      <c r="F842" s="63" t="str">
        <f t="shared" si="330"/>
        <v/>
      </c>
      <c r="G842" s="56" t="str">
        <f t="shared" si="331"/>
        <v/>
      </c>
      <c r="H842" s="42"/>
      <c r="I842" s="2" t="str">
        <f t="shared" si="332"/>
        <v/>
      </c>
      <c r="J842" s="54" t="str">
        <f t="shared" si="319"/>
        <v/>
      </c>
      <c r="K842" s="55" t="str">
        <f t="shared" si="333"/>
        <v/>
      </c>
      <c r="L842" s="63" t="str">
        <f t="shared" si="334"/>
        <v/>
      </c>
      <c r="M842" s="96" t="str">
        <f t="shared" si="320"/>
        <v/>
      </c>
      <c r="N842" s="96" t="str">
        <f>IF(A842="","",IF(A842=Expiry,0,EXP(-q*Q842)*_xlfn.NORM.S.DIST(Y842,0)/(sigma*SQRT(Q842))*I842*Mult/100))</f>
        <v/>
      </c>
      <c r="O842" s="96" t="str">
        <f>IF(A842="","",IF(A842=Expiry,0,D842*E842*E842*EXP(-q*Q842)*_xlfn.NORM.S.DIST(Y842,0)*SQRT(Q842)/100))</f>
        <v/>
      </c>
      <c r="P842" s="69" t="str">
        <f>IF(A842="","",IF(A842=Expiry,0,AK842*I842*Mult*((-EXP(-q*Q842)*E842*_xlfn.NORM.S.DIST(Y842,0)*sigma/(2*SQRT(Q842))-r_dom*K*EXP(-r_dom*Q842)*_xlfn.NORM.S.DIST(Z842,1)+q*E842*EXP(-q*Q842)*_xlfn.NORM.S.DIST(Y842,1))/365)))</f>
        <v/>
      </c>
      <c r="Q842" s="83" t="str">
        <f t="shared" si="335"/>
        <v/>
      </c>
      <c r="R842" s="38"/>
      <c r="S842" s="68" t="str">
        <f t="shared" si="336"/>
        <v/>
      </c>
      <c r="T842" s="69" t="str">
        <f t="shared" si="337"/>
        <v/>
      </c>
      <c r="U842" s="70" t="str">
        <f t="shared" si="338"/>
        <v/>
      </c>
      <c r="V842" s="72" t="str">
        <f t="shared" si="339"/>
        <v/>
      </c>
      <c r="W842" s="2" t="str">
        <f t="shared" si="326"/>
        <v/>
      </c>
      <c r="X842" s="2" t="str">
        <f t="shared" si="321"/>
        <v/>
      </c>
      <c r="Y842" s="35" t="str">
        <f t="shared" ca="1" si="340"/>
        <v/>
      </c>
      <c r="Z842" s="36" t="str">
        <f t="shared" ca="1" si="341"/>
        <v/>
      </c>
      <c r="AA842" s="70" t="str">
        <f t="shared" si="342"/>
        <v/>
      </c>
      <c r="AB842" s="2"/>
      <c r="AC842" s="94" t="str">
        <f t="shared" si="322"/>
        <v/>
      </c>
      <c r="AD842" s="95" t="str">
        <f t="shared" si="323"/>
        <v/>
      </c>
      <c r="AE842" s="96" t="str">
        <f t="shared" si="324"/>
        <v/>
      </c>
      <c r="AF842" s="124" t="str">
        <f t="shared" si="325"/>
        <v/>
      </c>
      <c r="AG842" s="2"/>
      <c r="AH842" s="2"/>
      <c r="AI842" s="2"/>
      <c r="AJ842" s="2"/>
      <c r="AK842" s="2"/>
      <c r="AL842" s="2"/>
    </row>
    <row r="843" spans="1:38" x14ac:dyDescent="0.2">
      <c r="A843" s="45"/>
      <c r="B843" s="43" t="str">
        <f t="shared" si="328"/>
        <v/>
      </c>
      <c r="C843" s="96" t="str">
        <f t="shared" si="327"/>
        <v/>
      </c>
      <c r="D843" s="44" t="str">
        <f t="shared" si="329"/>
        <v/>
      </c>
      <c r="E843" s="52"/>
      <c r="F843" s="63" t="str">
        <f t="shared" si="330"/>
        <v/>
      </c>
      <c r="G843" s="56" t="str">
        <f t="shared" si="331"/>
        <v/>
      </c>
      <c r="H843" s="42"/>
      <c r="I843" s="2" t="str">
        <f t="shared" si="332"/>
        <v/>
      </c>
      <c r="J843" s="54" t="str">
        <f t="shared" si="319"/>
        <v/>
      </c>
      <c r="K843" s="55" t="str">
        <f t="shared" si="333"/>
        <v/>
      </c>
      <c r="L843" s="63" t="str">
        <f t="shared" si="334"/>
        <v/>
      </c>
      <c r="M843" s="96" t="str">
        <f t="shared" si="320"/>
        <v/>
      </c>
      <c r="N843" s="96" t="str">
        <f>IF(A843="","",IF(A843=Expiry,0,EXP(-q*Q843)*_xlfn.NORM.S.DIST(Y843,0)/(sigma*SQRT(Q843))*I843*Mult/100))</f>
        <v/>
      </c>
      <c r="O843" s="96" t="str">
        <f>IF(A843="","",IF(A843=Expiry,0,D843*E843*E843*EXP(-q*Q843)*_xlfn.NORM.S.DIST(Y843,0)*SQRT(Q843)/100))</f>
        <v/>
      </c>
      <c r="P843" s="69" t="str">
        <f>IF(A843="","",IF(A843=Expiry,0,AK843*I843*Mult*((-EXP(-q*Q843)*E843*_xlfn.NORM.S.DIST(Y843,0)*sigma/(2*SQRT(Q843))-r_dom*K*EXP(-r_dom*Q843)*_xlfn.NORM.S.DIST(Z843,1)+q*E843*EXP(-q*Q843)*_xlfn.NORM.S.DIST(Y843,1))/365)))</f>
        <v/>
      </c>
      <c r="Q843" s="83" t="str">
        <f t="shared" si="335"/>
        <v/>
      </c>
      <c r="R843" s="38"/>
      <c r="S843" s="68" t="str">
        <f t="shared" si="336"/>
        <v/>
      </c>
      <c r="T843" s="69" t="str">
        <f t="shared" si="337"/>
        <v/>
      </c>
      <c r="U843" s="70" t="str">
        <f t="shared" si="338"/>
        <v/>
      </c>
      <c r="V843" s="72" t="str">
        <f t="shared" si="339"/>
        <v/>
      </c>
      <c r="W843" s="2" t="str">
        <f t="shared" si="326"/>
        <v/>
      </c>
      <c r="X843" s="2" t="str">
        <f t="shared" si="321"/>
        <v/>
      </c>
      <c r="Y843" s="35" t="str">
        <f t="shared" ca="1" si="340"/>
        <v/>
      </c>
      <c r="Z843" s="36" t="str">
        <f t="shared" ca="1" si="341"/>
        <v/>
      </c>
      <c r="AA843" s="70" t="str">
        <f t="shared" si="342"/>
        <v/>
      </c>
      <c r="AB843" s="2"/>
      <c r="AC843" s="94" t="str">
        <f t="shared" si="322"/>
        <v/>
      </c>
      <c r="AD843" s="95" t="str">
        <f t="shared" si="323"/>
        <v/>
      </c>
      <c r="AE843" s="96" t="str">
        <f t="shared" si="324"/>
        <v/>
      </c>
      <c r="AF843" s="124" t="str">
        <f t="shared" si="325"/>
        <v/>
      </c>
      <c r="AG843" s="2"/>
      <c r="AH843" s="2"/>
      <c r="AI843" s="2"/>
      <c r="AJ843" s="2"/>
      <c r="AK843" s="2"/>
      <c r="AL843" s="2"/>
    </row>
    <row r="844" spans="1:38" x14ac:dyDescent="0.2">
      <c r="A844" s="45"/>
      <c r="B844" s="43" t="str">
        <f t="shared" si="328"/>
        <v/>
      </c>
      <c r="C844" s="96" t="str">
        <f t="shared" si="327"/>
        <v/>
      </c>
      <c r="D844" s="44" t="str">
        <f t="shared" si="329"/>
        <v/>
      </c>
      <c r="E844" s="52"/>
      <c r="F844" s="63" t="str">
        <f t="shared" si="330"/>
        <v/>
      </c>
      <c r="G844" s="56" t="str">
        <f t="shared" si="331"/>
        <v/>
      </c>
      <c r="H844" s="42"/>
      <c r="I844" s="2" t="str">
        <f t="shared" si="332"/>
        <v/>
      </c>
      <c r="J844" s="54" t="str">
        <f t="shared" si="319"/>
        <v/>
      </c>
      <c r="K844" s="55" t="str">
        <f t="shared" si="333"/>
        <v/>
      </c>
      <c r="L844" s="63" t="str">
        <f t="shared" si="334"/>
        <v/>
      </c>
      <c r="M844" s="96" t="str">
        <f t="shared" si="320"/>
        <v/>
      </c>
      <c r="N844" s="96" t="str">
        <f>IF(A844="","",IF(A844=Expiry,0,EXP(-q*Q844)*_xlfn.NORM.S.DIST(Y844,0)/(sigma*SQRT(Q844))*I844*Mult/100))</f>
        <v/>
      </c>
      <c r="O844" s="96" t="str">
        <f>IF(A844="","",IF(A844=Expiry,0,D844*E844*E844*EXP(-q*Q844)*_xlfn.NORM.S.DIST(Y844,0)*SQRT(Q844)/100))</f>
        <v/>
      </c>
      <c r="P844" s="69" t="str">
        <f>IF(A844="","",IF(A844=Expiry,0,AK844*I844*Mult*((-EXP(-q*Q844)*E844*_xlfn.NORM.S.DIST(Y844,0)*sigma/(2*SQRT(Q844))-r_dom*K*EXP(-r_dom*Q844)*_xlfn.NORM.S.DIST(Z844,1)+q*E844*EXP(-q*Q844)*_xlfn.NORM.S.DIST(Y844,1))/365)))</f>
        <v/>
      </c>
      <c r="Q844" s="83" t="str">
        <f t="shared" si="335"/>
        <v/>
      </c>
      <c r="R844" s="38"/>
      <c r="S844" s="68" t="str">
        <f t="shared" si="336"/>
        <v/>
      </c>
      <c r="T844" s="69" t="str">
        <f t="shared" si="337"/>
        <v/>
      </c>
      <c r="U844" s="70" t="str">
        <f t="shared" si="338"/>
        <v/>
      </c>
      <c r="V844" s="72" t="str">
        <f t="shared" si="339"/>
        <v/>
      </c>
      <c r="W844" s="2" t="str">
        <f t="shared" si="326"/>
        <v/>
      </c>
      <c r="X844" s="2" t="str">
        <f t="shared" si="321"/>
        <v/>
      </c>
      <c r="Y844" s="35" t="str">
        <f t="shared" ca="1" si="340"/>
        <v/>
      </c>
      <c r="Z844" s="36" t="str">
        <f t="shared" ca="1" si="341"/>
        <v/>
      </c>
      <c r="AA844" s="70" t="str">
        <f t="shared" si="342"/>
        <v/>
      </c>
      <c r="AB844" s="2"/>
      <c r="AC844" s="94" t="str">
        <f t="shared" si="322"/>
        <v/>
      </c>
      <c r="AD844" s="95" t="str">
        <f t="shared" si="323"/>
        <v/>
      </c>
      <c r="AE844" s="96" t="str">
        <f t="shared" si="324"/>
        <v/>
      </c>
      <c r="AF844" s="124" t="str">
        <f t="shared" si="325"/>
        <v/>
      </c>
      <c r="AG844" s="2"/>
      <c r="AH844" s="2"/>
      <c r="AI844" s="2"/>
      <c r="AJ844" s="2"/>
      <c r="AK844" s="2"/>
      <c r="AL844" s="2"/>
    </row>
    <row r="845" spans="1:38" x14ac:dyDescent="0.2">
      <c r="A845" s="45"/>
      <c r="B845" s="43" t="str">
        <f t="shared" si="328"/>
        <v/>
      </c>
      <c r="C845" s="96" t="str">
        <f t="shared" si="327"/>
        <v/>
      </c>
      <c r="D845" s="44" t="str">
        <f t="shared" si="329"/>
        <v/>
      </c>
      <c r="E845" s="52"/>
      <c r="F845" s="63" t="str">
        <f t="shared" si="330"/>
        <v/>
      </c>
      <c r="G845" s="56" t="str">
        <f t="shared" si="331"/>
        <v/>
      </c>
      <c r="H845" s="42"/>
      <c r="I845" s="2" t="str">
        <f t="shared" si="332"/>
        <v/>
      </c>
      <c r="J845" s="54" t="str">
        <f t="shared" si="319"/>
        <v/>
      </c>
      <c r="K845" s="55" t="str">
        <f t="shared" si="333"/>
        <v/>
      </c>
      <c r="L845" s="63" t="str">
        <f t="shared" si="334"/>
        <v/>
      </c>
      <c r="M845" s="96" t="str">
        <f t="shared" si="320"/>
        <v/>
      </c>
      <c r="N845" s="96" t="str">
        <f>IF(A845="","",IF(A845=Expiry,0,EXP(-q*Q845)*_xlfn.NORM.S.DIST(Y845,0)/(sigma*SQRT(Q845))*I845*Mult/100))</f>
        <v/>
      </c>
      <c r="O845" s="96" t="str">
        <f>IF(A845="","",IF(A845=Expiry,0,D845*E845*E845*EXP(-q*Q845)*_xlfn.NORM.S.DIST(Y845,0)*SQRT(Q845)/100))</f>
        <v/>
      </c>
      <c r="P845" s="69" t="str">
        <f>IF(A845="","",IF(A845=Expiry,0,AK845*I845*Mult*((-EXP(-q*Q845)*E845*_xlfn.NORM.S.DIST(Y845,0)*sigma/(2*SQRT(Q845))-r_dom*K*EXP(-r_dom*Q845)*_xlfn.NORM.S.DIST(Z845,1)+q*E845*EXP(-q*Q845)*_xlfn.NORM.S.DIST(Y845,1))/365)))</f>
        <v/>
      </c>
      <c r="Q845" s="83" t="str">
        <f t="shared" si="335"/>
        <v/>
      </c>
      <c r="R845" s="38"/>
      <c r="S845" s="68" t="str">
        <f t="shared" si="336"/>
        <v/>
      </c>
      <c r="T845" s="69" t="str">
        <f t="shared" si="337"/>
        <v/>
      </c>
      <c r="U845" s="70" t="str">
        <f t="shared" si="338"/>
        <v/>
      </c>
      <c r="V845" s="72" t="str">
        <f t="shared" si="339"/>
        <v/>
      </c>
      <c r="W845" s="2" t="str">
        <f t="shared" si="326"/>
        <v/>
      </c>
      <c r="X845" s="2" t="str">
        <f t="shared" si="321"/>
        <v/>
      </c>
      <c r="Y845" s="35" t="str">
        <f t="shared" ca="1" si="340"/>
        <v/>
      </c>
      <c r="Z845" s="36" t="str">
        <f t="shared" ca="1" si="341"/>
        <v/>
      </c>
      <c r="AA845" s="70" t="str">
        <f t="shared" si="342"/>
        <v/>
      </c>
      <c r="AB845" s="2"/>
      <c r="AC845" s="94" t="str">
        <f t="shared" si="322"/>
        <v/>
      </c>
      <c r="AD845" s="95" t="str">
        <f t="shared" si="323"/>
        <v/>
      </c>
      <c r="AE845" s="96" t="str">
        <f t="shared" si="324"/>
        <v/>
      </c>
      <c r="AF845" s="124" t="str">
        <f t="shared" si="325"/>
        <v/>
      </c>
      <c r="AG845" s="2"/>
      <c r="AH845" s="2"/>
      <c r="AI845" s="2"/>
      <c r="AJ845" s="2"/>
      <c r="AK845" s="2"/>
      <c r="AL845" s="2"/>
    </row>
    <row r="846" spans="1:38" x14ac:dyDescent="0.2">
      <c r="A846" s="45"/>
      <c r="B846" s="43" t="str">
        <f t="shared" si="328"/>
        <v/>
      </c>
      <c r="C846" s="96" t="str">
        <f t="shared" si="327"/>
        <v/>
      </c>
      <c r="D846" s="44" t="str">
        <f t="shared" si="329"/>
        <v/>
      </c>
      <c r="E846" s="52"/>
      <c r="F846" s="63" t="str">
        <f t="shared" si="330"/>
        <v/>
      </c>
      <c r="G846" s="56" t="str">
        <f t="shared" si="331"/>
        <v/>
      </c>
      <c r="H846" s="42"/>
      <c r="I846" s="2" t="str">
        <f t="shared" si="332"/>
        <v/>
      </c>
      <c r="J846" s="54" t="str">
        <f t="shared" si="319"/>
        <v/>
      </c>
      <c r="K846" s="55" t="str">
        <f t="shared" si="333"/>
        <v/>
      </c>
      <c r="L846" s="63" t="str">
        <f t="shared" si="334"/>
        <v/>
      </c>
      <c r="M846" s="96" t="str">
        <f t="shared" si="320"/>
        <v/>
      </c>
      <c r="N846" s="96" t="str">
        <f>IF(A846="","",IF(A846=Expiry,0,EXP(-q*Q846)*_xlfn.NORM.S.DIST(Y846,0)/(sigma*SQRT(Q846))*I846*Mult/100))</f>
        <v/>
      </c>
      <c r="O846" s="96" t="str">
        <f>IF(A846="","",IF(A846=Expiry,0,D846*E846*E846*EXP(-q*Q846)*_xlfn.NORM.S.DIST(Y846,0)*SQRT(Q846)/100))</f>
        <v/>
      </c>
      <c r="P846" s="69" t="str">
        <f>IF(A846="","",IF(A846=Expiry,0,AK846*I846*Mult*((-EXP(-q*Q846)*E846*_xlfn.NORM.S.DIST(Y846,0)*sigma/(2*SQRT(Q846))-r_dom*K*EXP(-r_dom*Q846)*_xlfn.NORM.S.DIST(Z846,1)+q*E846*EXP(-q*Q846)*_xlfn.NORM.S.DIST(Y846,1))/365)))</f>
        <v/>
      </c>
      <c r="Q846" s="83" t="str">
        <f t="shared" si="335"/>
        <v/>
      </c>
      <c r="R846" s="38"/>
      <c r="S846" s="68" t="str">
        <f t="shared" si="336"/>
        <v/>
      </c>
      <c r="T846" s="69" t="str">
        <f t="shared" si="337"/>
        <v/>
      </c>
      <c r="U846" s="70" t="str">
        <f t="shared" si="338"/>
        <v/>
      </c>
      <c r="V846" s="72" t="str">
        <f t="shared" si="339"/>
        <v/>
      </c>
      <c r="W846" s="2" t="str">
        <f t="shared" si="326"/>
        <v/>
      </c>
      <c r="X846" s="2" t="str">
        <f t="shared" si="321"/>
        <v/>
      </c>
      <c r="Y846" s="35" t="str">
        <f t="shared" ca="1" si="340"/>
        <v/>
      </c>
      <c r="Z846" s="36" t="str">
        <f t="shared" ca="1" si="341"/>
        <v/>
      </c>
      <c r="AA846" s="70" t="str">
        <f t="shared" si="342"/>
        <v/>
      </c>
      <c r="AB846" s="2"/>
      <c r="AC846" s="94" t="str">
        <f t="shared" si="322"/>
        <v/>
      </c>
      <c r="AD846" s="95" t="str">
        <f t="shared" si="323"/>
        <v/>
      </c>
      <c r="AE846" s="96" t="str">
        <f t="shared" si="324"/>
        <v/>
      </c>
      <c r="AF846" s="124" t="str">
        <f t="shared" si="325"/>
        <v/>
      </c>
      <c r="AG846" s="2"/>
      <c r="AH846" s="2"/>
      <c r="AI846" s="2"/>
      <c r="AJ846" s="2"/>
      <c r="AK846" s="2"/>
      <c r="AL846" s="2"/>
    </row>
    <row r="847" spans="1:38" x14ac:dyDescent="0.2">
      <c r="A847" s="45"/>
      <c r="B847" s="43" t="str">
        <f t="shared" si="328"/>
        <v/>
      </c>
      <c r="C847" s="96" t="str">
        <f t="shared" si="327"/>
        <v/>
      </c>
      <c r="D847" s="44" t="str">
        <f t="shared" si="329"/>
        <v/>
      </c>
      <c r="E847" s="52"/>
      <c r="F847" s="63" t="str">
        <f t="shared" si="330"/>
        <v/>
      </c>
      <c r="G847" s="56" t="str">
        <f t="shared" si="331"/>
        <v/>
      </c>
      <c r="H847" s="42"/>
      <c r="I847" s="2" t="str">
        <f t="shared" si="332"/>
        <v/>
      </c>
      <c r="J847" s="54" t="str">
        <f t="shared" si="319"/>
        <v/>
      </c>
      <c r="K847" s="55" t="str">
        <f t="shared" si="333"/>
        <v/>
      </c>
      <c r="L847" s="63" t="str">
        <f t="shared" si="334"/>
        <v/>
      </c>
      <c r="M847" s="96" t="str">
        <f t="shared" si="320"/>
        <v/>
      </c>
      <c r="N847" s="96" t="str">
        <f>IF(A847="","",IF(A847=Expiry,0,EXP(-q*Q847)*_xlfn.NORM.S.DIST(Y847,0)/(sigma*SQRT(Q847))*I847*Mult/100))</f>
        <v/>
      </c>
      <c r="O847" s="96" t="str">
        <f>IF(A847="","",IF(A847=Expiry,0,D847*E847*E847*EXP(-q*Q847)*_xlfn.NORM.S.DIST(Y847,0)*SQRT(Q847)/100))</f>
        <v/>
      </c>
      <c r="P847" s="69" t="str">
        <f>IF(A847="","",IF(A847=Expiry,0,AK847*I847*Mult*((-EXP(-q*Q847)*E847*_xlfn.NORM.S.DIST(Y847,0)*sigma/(2*SQRT(Q847))-r_dom*K*EXP(-r_dom*Q847)*_xlfn.NORM.S.DIST(Z847,1)+q*E847*EXP(-q*Q847)*_xlfn.NORM.S.DIST(Y847,1))/365)))</f>
        <v/>
      </c>
      <c r="Q847" s="83" t="str">
        <f t="shared" si="335"/>
        <v/>
      </c>
      <c r="R847" s="38"/>
      <c r="S847" s="68" t="str">
        <f t="shared" si="336"/>
        <v/>
      </c>
      <c r="T847" s="69" t="str">
        <f t="shared" si="337"/>
        <v/>
      </c>
      <c r="U847" s="70" t="str">
        <f t="shared" si="338"/>
        <v/>
      </c>
      <c r="V847" s="72" t="str">
        <f t="shared" si="339"/>
        <v/>
      </c>
      <c r="W847" s="2" t="str">
        <f t="shared" si="326"/>
        <v/>
      </c>
      <c r="X847" s="2" t="str">
        <f t="shared" si="321"/>
        <v/>
      </c>
      <c r="Y847" s="35" t="str">
        <f t="shared" ca="1" si="340"/>
        <v/>
      </c>
      <c r="Z847" s="36" t="str">
        <f t="shared" ca="1" si="341"/>
        <v/>
      </c>
      <c r="AA847" s="70" t="str">
        <f t="shared" si="342"/>
        <v/>
      </c>
      <c r="AB847" s="2"/>
      <c r="AC847" s="94" t="str">
        <f t="shared" si="322"/>
        <v/>
      </c>
      <c r="AD847" s="95" t="str">
        <f t="shared" si="323"/>
        <v/>
      </c>
      <c r="AE847" s="96" t="str">
        <f t="shared" si="324"/>
        <v/>
      </c>
      <c r="AF847" s="124" t="str">
        <f t="shared" si="325"/>
        <v/>
      </c>
      <c r="AG847" s="2"/>
      <c r="AH847" s="2"/>
      <c r="AI847" s="2"/>
      <c r="AJ847" s="2"/>
      <c r="AK847" s="2"/>
      <c r="AL847" s="2"/>
    </row>
    <row r="848" spans="1:38" x14ac:dyDescent="0.2">
      <c r="A848" s="45"/>
      <c r="B848" s="43" t="str">
        <f t="shared" si="328"/>
        <v/>
      </c>
      <c r="C848" s="96" t="str">
        <f t="shared" si="327"/>
        <v/>
      </c>
      <c r="D848" s="44" t="str">
        <f t="shared" si="329"/>
        <v/>
      </c>
      <c r="E848" s="52"/>
      <c r="F848" s="63" t="str">
        <f t="shared" si="330"/>
        <v/>
      </c>
      <c r="G848" s="56" t="str">
        <f t="shared" si="331"/>
        <v/>
      </c>
      <c r="H848" s="42"/>
      <c r="I848" s="2" t="str">
        <f t="shared" si="332"/>
        <v/>
      </c>
      <c r="J848" s="54" t="str">
        <f t="shared" si="319"/>
        <v/>
      </c>
      <c r="K848" s="55" t="str">
        <f t="shared" si="333"/>
        <v/>
      </c>
      <c r="L848" s="63" t="str">
        <f t="shared" si="334"/>
        <v/>
      </c>
      <c r="M848" s="96" t="str">
        <f t="shared" si="320"/>
        <v/>
      </c>
      <c r="N848" s="96" t="str">
        <f>IF(A848="","",IF(A848=Expiry,0,EXP(-q*Q848)*_xlfn.NORM.S.DIST(Y848,0)/(sigma*SQRT(Q848))*I848*Mult/100))</f>
        <v/>
      </c>
      <c r="O848" s="96" t="str">
        <f>IF(A848="","",IF(A848=Expiry,0,D848*E848*E848*EXP(-q*Q848)*_xlfn.NORM.S.DIST(Y848,0)*SQRT(Q848)/100))</f>
        <v/>
      </c>
      <c r="P848" s="69" t="str">
        <f>IF(A848="","",IF(A848=Expiry,0,AK848*I848*Mult*((-EXP(-q*Q848)*E848*_xlfn.NORM.S.DIST(Y848,0)*sigma/(2*SQRT(Q848))-r_dom*K*EXP(-r_dom*Q848)*_xlfn.NORM.S.DIST(Z848,1)+q*E848*EXP(-q*Q848)*_xlfn.NORM.S.DIST(Y848,1))/365)))</f>
        <v/>
      </c>
      <c r="Q848" s="83" t="str">
        <f t="shared" si="335"/>
        <v/>
      </c>
      <c r="R848" s="38"/>
      <c r="S848" s="68" t="str">
        <f t="shared" si="336"/>
        <v/>
      </c>
      <c r="T848" s="69" t="str">
        <f t="shared" si="337"/>
        <v/>
      </c>
      <c r="U848" s="70" t="str">
        <f t="shared" si="338"/>
        <v/>
      </c>
      <c r="V848" s="72" t="str">
        <f t="shared" si="339"/>
        <v/>
      </c>
      <c r="W848" s="2" t="str">
        <f t="shared" si="326"/>
        <v/>
      </c>
      <c r="X848" s="2" t="str">
        <f t="shared" si="321"/>
        <v/>
      </c>
      <c r="Y848" s="35" t="str">
        <f t="shared" ca="1" si="340"/>
        <v/>
      </c>
      <c r="Z848" s="36" t="str">
        <f t="shared" ca="1" si="341"/>
        <v/>
      </c>
      <c r="AA848" s="70" t="str">
        <f t="shared" si="342"/>
        <v/>
      </c>
      <c r="AB848" s="2"/>
      <c r="AC848" s="94" t="str">
        <f t="shared" si="322"/>
        <v/>
      </c>
      <c r="AD848" s="95" t="str">
        <f t="shared" si="323"/>
        <v/>
      </c>
      <c r="AE848" s="96" t="str">
        <f t="shared" si="324"/>
        <v/>
      </c>
      <c r="AF848" s="124" t="str">
        <f t="shared" si="325"/>
        <v/>
      </c>
      <c r="AG848" s="2"/>
      <c r="AH848" s="2"/>
      <c r="AI848" s="2"/>
      <c r="AJ848" s="2"/>
      <c r="AK848" s="2"/>
      <c r="AL848" s="2"/>
    </row>
    <row r="849" spans="1:38" x14ac:dyDescent="0.2">
      <c r="A849" s="45"/>
      <c r="B849" s="43" t="str">
        <f t="shared" si="328"/>
        <v/>
      </c>
      <c r="C849" s="96" t="str">
        <f t="shared" si="327"/>
        <v/>
      </c>
      <c r="D849" s="44" t="str">
        <f t="shared" si="329"/>
        <v/>
      </c>
      <c r="E849" s="52"/>
      <c r="F849" s="63" t="str">
        <f t="shared" si="330"/>
        <v/>
      </c>
      <c r="G849" s="56" t="str">
        <f t="shared" si="331"/>
        <v/>
      </c>
      <c r="H849" s="42"/>
      <c r="I849" s="2" t="str">
        <f t="shared" si="332"/>
        <v/>
      </c>
      <c r="J849" s="54" t="str">
        <f t="shared" si="319"/>
        <v/>
      </c>
      <c r="K849" s="55" t="str">
        <f t="shared" si="333"/>
        <v/>
      </c>
      <c r="L849" s="63" t="str">
        <f t="shared" si="334"/>
        <v/>
      </c>
      <c r="M849" s="96" t="str">
        <f t="shared" si="320"/>
        <v/>
      </c>
      <c r="N849" s="96" t="str">
        <f>IF(A849="","",IF(A849=Expiry,0,EXP(-q*Q849)*_xlfn.NORM.S.DIST(Y849,0)/(sigma*SQRT(Q849))*I849*Mult/100))</f>
        <v/>
      </c>
      <c r="O849" s="96" t="str">
        <f>IF(A849="","",IF(A849=Expiry,0,D849*E849*E849*EXP(-q*Q849)*_xlfn.NORM.S.DIST(Y849,0)*SQRT(Q849)/100))</f>
        <v/>
      </c>
      <c r="P849" s="69" t="str">
        <f>IF(A849="","",IF(A849=Expiry,0,AK849*I849*Mult*((-EXP(-q*Q849)*E849*_xlfn.NORM.S.DIST(Y849,0)*sigma/(2*SQRT(Q849))-r_dom*K*EXP(-r_dom*Q849)*_xlfn.NORM.S.DIST(Z849,1)+q*E849*EXP(-q*Q849)*_xlfn.NORM.S.DIST(Y849,1))/365)))</f>
        <v/>
      </c>
      <c r="Q849" s="83" t="str">
        <f t="shared" si="335"/>
        <v/>
      </c>
      <c r="R849" s="38"/>
      <c r="S849" s="68" t="str">
        <f t="shared" si="336"/>
        <v/>
      </c>
      <c r="T849" s="69" t="str">
        <f t="shared" si="337"/>
        <v/>
      </c>
      <c r="U849" s="70" t="str">
        <f t="shared" si="338"/>
        <v/>
      </c>
      <c r="V849" s="72" t="str">
        <f t="shared" si="339"/>
        <v/>
      </c>
      <c r="W849" s="2" t="str">
        <f t="shared" si="326"/>
        <v/>
      </c>
      <c r="X849" s="2" t="str">
        <f t="shared" si="321"/>
        <v/>
      </c>
      <c r="Y849" s="35" t="str">
        <f t="shared" ca="1" si="340"/>
        <v/>
      </c>
      <c r="Z849" s="36" t="str">
        <f t="shared" ca="1" si="341"/>
        <v/>
      </c>
      <c r="AA849" s="70" t="str">
        <f t="shared" si="342"/>
        <v/>
      </c>
      <c r="AB849" s="2"/>
      <c r="AC849" s="94" t="str">
        <f t="shared" si="322"/>
        <v/>
      </c>
      <c r="AD849" s="95" t="str">
        <f t="shared" si="323"/>
        <v/>
      </c>
      <c r="AE849" s="96" t="str">
        <f t="shared" si="324"/>
        <v/>
      </c>
      <c r="AF849" s="124" t="str">
        <f t="shared" si="325"/>
        <v/>
      </c>
      <c r="AG849" s="2"/>
      <c r="AH849" s="2"/>
      <c r="AI849" s="2"/>
      <c r="AJ849" s="2"/>
      <c r="AK849" s="2"/>
      <c r="AL849" s="2"/>
    </row>
    <row r="850" spans="1:38" x14ac:dyDescent="0.2">
      <c r="A850" s="45"/>
      <c r="B850" s="43" t="str">
        <f t="shared" si="328"/>
        <v/>
      </c>
      <c r="C850" s="96" t="str">
        <f t="shared" si="327"/>
        <v/>
      </c>
      <c r="D850" s="44" t="str">
        <f t="shared" si="329"/>
        <v/>
      </c>
      <c r="E850" s="52"/>
      <c r="F850" s="63" t="str">
        <f t="shared" si="330"/>
        <v/>
      </c>
      <c r="G850" s="56" t="str">
        <f t="shared" si="331"/>
        <v/>
      </c>
      <c r="H850" s="42"/>
      <c r="I850" s="2" t="str">
        <f t="shared" si="332"/>
        <v/>
      </c>
      <c r="J850" s="54" t="str">
        <f t="shared" si="319"/>
        <v/>
      </c>
      <c r="K850" s="55" t="str">
        <f t="shared" si="333"/>
        <v/>
      </c>
      <c r="L850" s="63" t="str">
        <f t="shared" si="334"/>
        <v/>
      </c>
      <c r="M850" s="96" t="str">
        <f t="shared" si="320"/>
        <v/>
      </c>
      <c r="N850" s="96" t="str">
        <f>IF(A850="","",IF(A850=Expiry,0,EXP(-q*Q850)*_xlfn.NORM.S.DIST(Y850,0)/(sigma*SQRT(Q850))*I850*Mult/100))</f>
        <v/>
      </c>
      <c r="O850" s="96" t="str">
        <f>IF(A850="","",IF(A850=Expiry,0,D850*E850*E850*EXP(-q*Q850)*_xlfn.NORM.S.DIST(Y850,0)*SQRT(Q850)/100))</f>
        <v/>
      </c>
      <c r="P850" s="69" t="str">
        <f>IF(A850="","",IF(A850=Expiry,0,AK850*I850*Mult*((-EXP(-q*Q850)*E850*_xlfn.NORM.S.DIST(Y850,0)*sigma/(2*SQRT(Q850))-r_dom*K*EXP(-r_dom*Q850)*_xlfn.NORM.S.DIST(Z850,1)+q*E850*EXP(-q*Q850)*_xlfn.NORM.S.DIST(Y850,1))/365)))</f>
        <v/>
      </c>
      <c r="Q850" s="83" t="str">
        <f t="shared" si="335"/>
        <v/>
      </c>
      <c r="R850" s="38"/>
      <c r="S850" s="68" t="str">
        <f t="shared" si="336"/>
        <v/>
      </c>
      <c r="T850" s="69" t="str">
        <f t="shared" si="337"/>
        <v/>
      </c>
      <c r="U850" s="70" t="str">
        <f t="shared" si="338"/>
        <v/>
      </c>
      <c r="V850" s="72" t="str">
        <f t="shared" si="339"/>
        <v/>
      </c>
      <c r="W850" s="2" t="str">
        <f t="shared" si="326"/>
        <v/>
      </c>
      <c r="X850" s="2" t="str">
        <f t="shared" si="321"/>
        <v/>
      </c>
      <c r="Y850" s="35" t="str">
        <f t="shared" ca="1" si="340"/>
        <v/>
      </c>
      <c r="Z850" s="36" t="str">
        <f t="shared" ca="1" si="341"/>
        <v/>
      </c>
      <c r="AA850" s="70" t="str">
        <f t="shared" si="342"/>
        <v/>
      </c>
      <c r="AB850" s="2"/>
      <c r="AC850" s="94" t="str">
        <f t="shared" si="322"/>
        <v/>
      </c>
      <c r="AD850" s="95" t="str">
        <f t="shared" si="323"/>
        <v/>
      </c>
      <c r="AE850" s="96" t="str">
        <f t="shared" si="324"/>
        <v/>
      </c>
      <c r="AF850" s="124" t="str">
        <f t="shared" si="325"/>
        <v/>
      </c>
      <c r="AG850" s="2"/>
      <c r="AH850" s="2"/>
      <c r="AI850" s="2"/>
      <c r="AJ850" s="2"/>
      <c r="AK850" s="2"/>
      <c r="AL850" s="2"/>
    </row>
    <row r="851" spans="1:38" x14ac:dyDescent="0.2">
      <c r="A851" s="45"/>
      <c r="B851" s="43" t="str">
        <f t="shared" si="328"/>
        <v/>
      </c>
      <c r="C851" s="96" t="str">
        <f t="shared" si="327"/>
        <v/>
      </c>
      <c r="D851" s="44" t="str">
        <f t="shared" si="329"/>
        <v/>
      </c>
      <c r="E851" s="52"/>
      <c r="F851" s="63" t="str">
        <f t="shared" si="330"/>
        <v/>
      </c>
      <c r="G851" s="56" t="str">
        <f t="shared" si="331"/>
        <v/>
      </c>
      <c r="H851" s="42"/>
      <c r="I851" s="2" t="str">
        <f t="shared" si="332"/>
        <v/>
      </c>
      <c r="J851" s="54" t="str">
        <f t="shared" si="319"/>
        <v/>
      </c>
      <c r="K851" s="55" t="str">
        <f t="shared" si="333"/>
        <v/>
      </c>
      <c r="L851" s="63" t="str">
        <f t="shared" si="334"/>
        <v/>
      </c>
      <c r="M851" s="96" t="str">
        <f t="shared" si="320"/>
        <v/>
      </c>
      <c r="N851" s="96" t="str">
        <f>IF(A851="","",IF(A851=Expiry,0,EXP(-q*Q851)*_xlfn.NORM.S.DIST(Y851,0)/(sigma*SQRT(Q851))*I851*Mult/100))</f>
        <v/>
      </c>
      <c r="O851" s="96" t="str">
        <f>IF(A851="","",IF(A851=Expiry,0,D851*E851*E851*EXP(-q*Q851)*_xlfn.NORM.S.DIST(Y851,0)*SQRT(Q851)/100))</f>
        <v/>
      </c>
      <c r="P851" s="69" t="str">
        <f>IF(A851="","",IF(A851=Expiry,0,AK851*I851*Mult*((-EXP(-q*Q851)*E851*_xlfn.NORM.S.DIST(Y851,0)*sigma/(2*SQRT(Q851))-r_dom*K*EXP(-r_dom*Q851)*_xlfn.NORM.S.DIST(Z851,1)+q*E851*EXP(-q*Q851)*_xlfn.NORM.S.DIST(Y851,1))/365)))</f>
        <v/>
      </c>
      <c r="Q851" s="83" t="str">
        <f t="shared" si="335"/>
        <v/>
      </c>
      <c r="R851" s="38"/>
      <c r="S851" s="68" t="str">
        <f t="shared" si="336"/>
        <v/>
      </c>
      <c r="T851" s="69" t="str">
        <f t="shared" si="337"/>
        <v/>
      </c>
      <c r="U851" s="70" t="str">
        <f t="shared" si="338"/>
        <v/>
      </c>
      <c r="V851" s="72" t="str">
        <f t="shared" si="339"/>
        <v/>
      </c>
      <c r="W851" s="2" t="str">
        <f t="shared" si="326"/>
        <v/>
      </c>
      <c r="X851" s="2" t="str">
        <f t="shared" si="321"/>
        <v/>
      </c>
      <c r="Y851" s="35" t="str">
        <f t="shared" ca="1" si="340"/>
        <v/>
      </c>
      <c r="Z851" s="36" t="str">
        <f t="shared" ca="1" si="341"/>
        <v/>
      </c>
      <c r="AA851" s="70" t="str">
        <f t="shared" si="342"/>
        <v/>
      </c>
      <c r="AB851" s="2"/>
      <c r="AC851" s="94" t="str">
        <f t="shared" si="322"/>
        <v/>
      </c>
      <c r="AD851" s="95" t="str">
        <f t="shared" si="323"/>
        <v/>
      </c>
      <c r="AE851" s="96" t="str">
        <f t="shared" si="324"/>
        <v/>
      </c>
      <c r="AF851" s="124" t="str">
        <f t="shared" si="325"/>
        <v/>
      </c>
      <c r="AG851" s="2"/>
      <c r="AH851" s="2"/>
      <c r="AI851" s="2"/>
      <c r="AJ851" s="2"/>
      <c r="AK851" s="2"/>
      <c r="AL851" s="2"/>
    </row>
    <row r="852" spans="1:38" x14ac:dyDescent="0.2">
      <c r="A852" s="45"/>
      <c r="B852" s="43" t="str">
        <f t="shared" si="328"/>
        <v/>
      </c>
      <c r="C852" s="96" t="str">
        <f t="shared" si="327"/>
        <v/>
      </c>
      <c r="D852" s="44" t="str">
        <f t="shared" si="329"/>
        <v/>
      </c>
      <c r="E852" s="52"/>
      <c r="F852" s="63" t="str">
        <f t="shared" si="330"/>
        <v/>
      </c>
      <c r="G852" s="56" t="str">
        <f t="shared" si="331"/>
        <v/>
      </c>
      <c r="H852" s="42"/>
      <c r="I852" s="2" t="str">
        <f t="shared" si="332"/>
        <v/>
      </c>
      <c r="J852" s="54" t="str">
        <f t="shared" si="319"/>
        <v/>
      </c>
      <c r="K852" s="55" t="str">
        <f t="shared" si="333"/>
        <v/>
      </c>
      <c r="L852" s="63" t="str">
        <f t="shared" si="334"/>
        <v/>
      </c>
      <c r="M852" s="96" t="str">
        <f t="shared" si="320"/>
        <v/>
      </c>
      <c r="N852" s="96" t="str">
        <f>IF(A852="","",IF(A852=Expiry,0,EXP(-q*Q852)*_xlfn.NORM.S.DIST(Y852,0)/(sigma*SQRT(Q852))*I852*Mult/100))</f>
        <v/>
      </c>
      <c r="O852" s="96" t="str">
        <f>IF(A852="","",IF(A852=Expiry,0,D852*E852*E852*EXP(-q*Q852)*_xlfn.NORM.S.DIST(Y852,0)*SQRT(Q852)/100))</f>
        <v/>
      </c>
      <c r="P852" s="69" t="str">
        <f>IF(A852="","",IF(A852=Expiry,0,AK852*I852*Mult*((-EXP(-q*Q852)*E852*_xlfn.NORM.S.DIST(Y852,0)*sigma/(2*SQRT(Q852))-r_dom*K*EXP(-r_dom*Q852)*_xlfn.NORM.S.DIST(Z852,1)+q*E852*EXP(-q*Q852)*_xlfn.NORM.S.DIST(Y852,1))/365)))</f>
        <v/>
      </c>
      <c r="Q852" s="83" t="str">
        <f t="shared" si="335"/>
        <v/>
      </c>
      <c r="R852" s="38"/>
      <c r="S852" s="68" t="str">
        <f t="shared" si="336"/>
        <v/>
      </c>
      <c r="T852" s="69" t="str">
        <f t="shared" si="337"/>
        <v/>
      </c>
      <c r="U852" s="70" t="str">
        <f t="shared" si="338"/>
        <v/>
      </c>
      <c r="V852" s="72" t="str">
        <f t="shared" si="339"/>
        <v/>
      </c>
      <c r="W852" s="2" t="str">
        <f t="shared" si="326"/>
        <v/>
      </c>
      <c r="X852" s="2" t="str">
        <f t="shared" si="321"/>
        <v/>
      </c>
      <c r="Y852" s="35" t="str">
        <f t="shared" ca="1" si="340"/>
        <v/>
      </c>
      <c r="Z852" s="36" t="str">
        <f t="shared" ca="1" si="341"/>
        <v/>
      </c>
      <c r="AA852" s="70" t="str">
        <f t="shared" si="342"/>
        <v/>
      </c>
      <c r="AB852" s="2"/>
      <c r="AC852" s="94" t="str">
        <f t="shared" si="322"/>
        <v/>
      </c>
      <c r="AD852" s="95" t="str">
        <f t="shared" si="323"/>
        <v/>
      </c>
      <c r="AE852" s="96" t="str">
        <f t="shared" si="324"/>
        <v/>
      </c>
      <c r="AF852" s="124" t="str">
        <f t="shared" si="325"/>
        <v/>
      </c>
      <c r="AG852" s="2"/>
      <c r="AH852" s="2"/>
      <c r="AI852" s="2"/>
      <c r="AJ852" s="2"/>
      <c r="AK852" s="2"/>
      <c r="AL852" s="2"/>
    </row>
    <row r="853" spans="1:38" x14ac:dyDescent="0.2">
      <c r="A853" s="45"/>
      <c r="B853" s="43" t="str">
        <f t="shared" si="328"/>
        <v/>
      </c>
      <c r="C853" s="96" t="str">
        <f t="shared" si="327"/>
        <v/>
      </c>
      <c r="D853" s="44" t="str">
        <f t="shared" si="329"/>
        <v/>
      </c>
      <c r="E853" s="52"/>
      <c r="F853" s="63" t="str">
        <f t="shared" si="330"/>
        <v/>
      </c>
      <c r="G853" s="56" t="str">
        <f t="shared" si="331"/>
        <v/>
      </c>
      <c r="H853" s="42"/>
      <c r="I853" s="2" t="str">
        <f t="shared" si="332"/>
        <v/>
      </c>
      <c r="J853" s="54" t="str">
        <f t="shared" si="319"/>
        <v/>
      </c>
      <c r="K853" s="55" t="str">
        <f t="shared" si="333"/>
        <v/>
      </c>
      <c r="L853" s="63" t="str">
        <f t="shared" si="334"/>
        <v/>
      </c>
      <c r="M853" s="96" t="str">
        <f t="shared" si="320"/>
        <v/>
      </c>
      <c r="N853" s="96" t="str">
        <f>IF(A853="","",IF(A853=Expiry,0,EXP(-q*Q853)*_xlfn.NORM.S.DIST(Y853,0)/(sigma*SQRT(Q853))*I853*Mult/100))</f>
        <v/>
      </c>
      <c r="O853" s="96" t="str">
        <f>IF(A853="","",IF(A853=Expiry,0,D853*E853*E853*EXP(-q*Q853)*_xlfn.NORM.S.DIST(Y853,0)*SQRT(Q853)/100))</f>
        <v/>
      </c>
      <c r="P853" s="69" t="str">
        <f>IF(A853="","",IF(A853=Expiry,0,AK853*I853*Mult*((-EXP(-q*Q853)*E853*_xlfn.NORM.S.DIST(Y853,0)*sigma/(2*SQRT(Q853))-r_dom*K*EXP(-r_dom*Q853)*_xlfn.NORM.S.DIST(Z853,1)+q*E853*EXP(-q*Q853)*_xlfn.NORM.S.DIST(Y853,1))/365)))</f>
        <v/>
      </c>
      <c r="Q853" s="83" t="str">
        <f t="shared" si="335"/>
        <v/>
      </c>
      <c r="R853" s="38"/>
      <c r="S853" s="68" t="str">
        <f t="shared" si="336"/>
        <v/>
      </c>
      <c r="T853" s="69" t="str">
        <f t="shared" si="337"/>
        <v/>
      </c>
      <c r="U853" s="70" t="str">
        <f t="shared" si="338"/>
        <v/>
      </c>
      <c r="V853" s="72" t="str">
        <f t="shared" si="339"/>
        <v/>
      </c>
      <c r="W853" s="2" t="str">
        <f t="shared" si="326"/>
        <v/>
      </c>
      <c r="X853" s="2" t="str">
        <f t="shared" si="321"/>
        <v/>
      </c>
      <c r="Y853" s="35" t="str">
        <f t="shared" ca="1" si="340"/>
        <v/>
      </c>
      <c r="Z853" s="36" t="str">
        <f t="shared" ca="1" si="341"/>
        <v/>
      </c>
      <c r="AA853" s="70" t="str">
        <f t="shared" si="342"/>
        <v/>
      </c>
      <c r="AB853" s="2"/>
      <c r="AC853" s="94" t="str">
        <f t="shared" si="322"/>
        <v/>
      </c>
      <c r="AD853" s="95" t="str">
        <f t="shared" si="323"/>
        <v/>
      </c>
      <c r="AE853" s="96" t="str">
        <f t="shared" si="324"/>
        <v/>
      </c>
      <c r="AF853" s="124" t="str">
        <f t="shared" si="325"/>
        <v/>
      </c>
      <c r="AG853" s="2"/>
      <c r="AH853" s="2"/>
      <c r="AI853" s="2"/>
      <c r="AJ853" s="2"/>
      <c r="AK853" s="2"/>
      <c r="AL853" s="2"/>
    </row>
    <row r="854" spans="1:38" x14ac:dyDescent="0.2">
      <c r="A854" s="45"/>
      <c r="B854" s="43" t="str">
        <f t="shared" si="328"/>
        <v/>
      </c>
      <c r="C854" s="96" t="str">
        <f t="shared" si="327"/>
        <v/>
      </c>
      <c r="D854" s="44" t="str">
        <f t="shared" si="329"/>
        <v/>
      </c>
      <c r="E854" s="52"/>
      <c r="F854" s="63" t="str">
        <f t="shared" si="330"/>
        <v/>
      </c>
      <c r="G854" s="56" t="str">
        <f t="shared" si="331"/>
        <v/>
      </c>
      <c r="H854" s="42"/>
      <c r="I854" s="2" t="str">
        <f t="shared" si="332"/>
        <v/>
      </c>
      <c r="J854" s="54" t="str">
        <f t="shared" si="319"/>
        <v/>
      </c>
      <c r="K854" s="55" t="str">
        <f t="shared" si="333"/>
        <v/>
      </c>
      <c r="L854" s="63" t="str">
        <f t="shared" si="334"/>
        <v/>
      </c>
      <c r="M854" s="96" t="str">
        <f t="shared" si="320"/>
        <v/>
      </c>
      <c r="N854" s="96" t="str">
        <f>IF(A854="","",IF(A854=Expiry,0,EXP(-q*Q854)*_xlfn.NORM.S.DIST(Y854,0)/(sigma*SQRT(Q854))*I854*Mult/100))</f>
        <v/>
      </c>
      <c r="O854" s="96" t="str">
        <f>IF(A854="","",IF(A854=Expiry,0,D854*E854*E854*EXP(-q*Q854)*_xlfn.NORM.S.DIST(Y854,0)*SQRT(Q854)/100))</f>
        <v/>
      </c>
      <c r="P854" s="69" t="str">
        <f>IF(A854="","",IF(A854=Expiry,0,AK854*I854*Mult*((-EXP(-q*Q854)*E854*_xlfn.NORM.S.DIST(Y854,0)*sigma/(2*SQRT(Q854))-r_dom*K*EXP(-r_dom*Q854)*_xlfn.NORM.S.DIST(Z854,1)+q*E854*EXP(-q*Q854)*_xlfn.NORM.S.DIST(Y854,1))/365)))</f>
        <v/>
      </c>
      <c r="Q854" s="83" t="str">
        <f t="shared" si="335"/>
        <v/>
      </c>
      <c r="R854" s="38"/>
      <c r="S854" s="68" t="str">
        <f t="shared" si="336"/>
        <v/>
      </c>
      <c r="T854" s="69" t="str">
        <f t="shared" si="337"/>
        <v/>
      </c>
      <c r="U854" s="70" t="str">
        <f t="shared" si="338"/>
        <v/>
      </c>
      <c r="V854" s="72" t="str">
        <f t="shared" si="339"/>
        <v/>
      </c>
      <c r="W854" s="2" t="str">
        <f t="shared" si="326"/>
        <v/>
      </c>
      <c r="X854" s="2" t="str">
        <f t="shared" si="321"/>
        <v/>
      </c>
      <c r="Y854" s="35" t="str">
        <f t="shared" ca="1" si="340"/>
        <v/>
      </c>
      <c r="Z854" s="36" t="str">
        <f t="shared" ca="1" si="341"/>
        <v/>
      </c>
      <c r="AA854" s="70" t="str">
        <f t="shared" si="342"/>
        <v/>
      </c>
      <c r="AB854" s="2"/>
      <c r="AC854" s="94" t="str">
        <f t="shared" si="322"/>
        <v/>
      </c>
      <c r="AD854" s="95" t="str">
        <f t="shared" si="323"/>
        <v/>
      </c>
      <c r="AE854" s="96" t="str">
        <f t="shared" si="324"/>
        <v/>
      </c>
      <c r="AF854" s="124" t="str">
        <f t="shared" si="325"/>
        <v/>
      </c>
      <c r="AG854" s="2"/>
      <c r="AH854" s="2"/>
      <c r="AI854" s="2"/>
      <c r="AJ854" s="2"/>
      <c r="AK854" s="2"/>
      <c r="AL854" s="2"/>
    </row>
    <row r="855" spans="1:38" x14ac:dyDescent="0.2">
      <c r="A855" s="45"/>
      <c r="B855" s="43" t="str">
        <f t="shared" si="328"/>
        <v/>
      </c>
      <c r="C855" s="96" t="str">
        <f t="shared" si="327"/>
        <v/>
      </c>
      <c r="D855" s="44" t="str">
        <f t="shared" si="329"/>
        <v/>
      </c>
      <c r="E855" s="52"/>
      <c r="F855" s="63" t="str">
        <f t="shared" si="330"/>
        <v/>
      </c>
      <c r="G855" s="56" t="str">
        <f t="shared" si="331"/>
        <v/>
      </c>
      <c r="H855" s="42"/>
      <c r="I855" s="2" t="str">
        <f t="shared" si="332"/>
        <v/>
      </c>
      <c r="J855" s="54" t="str">
        <f t="shared" si="319"/>
        <v/>
      </c>
      <c r="K855" s="55" t="str">
        <f t="shared" si="333"/>
        <v/>
      </c>
      <c r="L855" s="63" t="str">
        <f t="shared" si="334"/>
        <v/>
      </c>
      <c r="M855" s="96" t="str">
        <f t="shared" si="320"/>
        <v/>
      </c>
      <c r="N855" s="96" t="str">
        <f>IF(A855="","",IF(A855=Expiry,0,EXP(-q*Q855)*_xlfn.NORM.S.DIST(Y855,0)/(sigma*SQRT(Q855))*I855*Mult/100))</f>
        <v/>
      </c>
      <c r="O855" s="96" t="str">
        <f>IF(A855="","",IF(A855=Expiry,0,D855*E855*E855*EXP(-q*Q855)*_xlfn.NORM.S.DIST(Y855,0)*SQRT(Q855)/100))</f>
        <v/>
      </c>
      <c r="P855" s="69" t="str">
        <f>IF(A855="","",IF(A855=Expiry,0,AK855*I855*Mult*((-EXP(-q*Q855)*E855*_xlfn.NORM.S.DIST(Y855,0)*sigma/(2*SQRT(Q855))-r_dom*K*EXP(-r_dom*Q855)*_xlfn.NORM.S.DIST(Z855,1)+q*E855*EXP(-q*Q855)*_xlfn.NORM.S.DIST(Y855,1))/365)))</f>
        <v/>
      </c>
      <c r="Q855" s="83" t="str">
        <f t="shared" si="335"/>
        <v/>
      </c>
      <c r="R855" s="38"/>
      <c r="S855" s="68" t="str">
        <f t="shared" si="336"/>
        <v/>
      </c>
      <c r="T855" s="69" t="str">
        <f t="shared" si="337"/>
        <v/>
      </c>
      <c r="U855" s="70" t="str">
        <f t="shared" si="338"/>
        <v/>
      </c>
      <c r="V855" s="72" t="str">
        <f t="shared" si="339"/>
        <v/>
      </c>
      <c r="W855" s="2" t="str">
        <f t="shared" si="326"/>
        <v/>
      </c>
      <c r="X855" s="2" t="str">
        <f t="shared" si="321"/>
        <v/>
      </c>
      <c r="Y855" s="35" t="str">
        <f t="shared" ca="1" si="340"/>
        <v/>
      </c>
      <c r="Z855" s="36" t="str">
        <f t="shared" ca="1" si="341"/>
        <v/>
      </c>
      <c r="AA855" s="70" t="str">
        <f t="shared" si="342"/>
        <v/>
      </c>
      <c r="AB855" s="2"/>
      <c r="AC855" s="94" t="str">
        <f t="shared" si="322"/>
        <v/>
      </c>
      <c r="AD855" s="95" t="str">
        <f t="shared" si="323"/>
        <v/>
      </c>
      <c r="AE855" s="96" t="str">
        <f t="shared" si="324"/>
        <v/>
      </c>
      <c r="AF855" s="124" t="str">
        <f t="shared" si="325"/>
        <v/>
      </c>
      <c r="AG855" s="2"/>
      <c r="AH855" s="2"/>
      <c r="AI855" s="2"/>
      <c r="AJ855" s="2"/>
      <c r="AK855" s="2"/>
      <c r="AL855" s="2"/>
    </row>
    <row r="856" spans="1:38" x14ac:dyDescent="0.2">
      <c r="A856" s="45"/>
      <c r="B856" s="43" t="str">
        <f t="shared" si="328"/>
        <v/>
      </c>
      <c r="C856" s="96" t="str">
        <f t="shared" si="327"/>
        <v/>
      </c>
      <c r="D856" s="44" t="str">
        <f t="shared" si="329"/>
        <v/>
      </c>
      <c r="E856" s="52"/>
      <c r="F856" s="63" t="str">
        <f t="shared" si="330"/>
        <v/>
      </c>
      <c r="G856" s="56" t="str">
        <f t="shared" si="331"/>
        <v/>
      </c>
      <c r="H856" s="42"/>
      <c r="I856" s="2" t="str">
        <f t="shared" si="332"/>
        <v/>
      </c>
      <c r="J856" s="54" t="str">
        <f t="shared" si="319"/>
        <v/>
      </c>
      <c r="K856" s="55" t="str">
        <f t="shared" si="333"/>
        <v/>
      </c>
      <c r="L856" s="63" t="str">
        <f t="shared" si="334"/>
        <v/>
      </c>
      <c r="M856" s="96" t="str">
        <f t="shared" si="320"/>
        <v/>
      </c>
      <c r="N856" s="96" t="str">
        <f>IF(A856="","",IF(A856=Expiry,0,EXP(-q*Q856)*_xlfn.NORM.S.DIST(Y856,0)/(sigma*SQRT(Q856))*I856*Mult/100))</f>
        <v/>
      </c>
      <c r="O856" s="96" t="str">
        <f>IF(A856="","",IF(A856=Expiry,0,D856*E856*E856*EXP(-q*Q856)*_xlfn.NORM.S.DIST(Y856,0)*SQRT(Q856)/100))</f>
        <v/>
      </c>
      <c r="P856" s="69" t="str">
        <f>IF(A856="","",IF(A856=Expiry,0,AK856*I856*Mult*((-EXP(-q*Q856)*E856*_xlfn.NORM.S.DIST(Y856,0)*sigma/(2*SQRT(Q856))-r_dom*K*EXP(-r_dom*Q856)*_xlfn.NORM.S.DIST(Z856,1)+q*E856*EXP(-q*Q856)*_xlfn.NORM.S.DIST(Y856,1))/365)))</f>
        <v/>
      </c>
      <c r="Q856" s="83" t="str">
        <f t="shared" si="335"/>
        <v/>
      </c>
      <c r="R856" s="38"/>
      <c r="S856" s="68" t="str">
        <f t="shared" si="336"/>
        <v/>
      </c>
      <c r="T856" s="69" t="str">
        <f t="shared" si="337"/>
        <v/>
      </c>
      <c r="U856" s="70" t="str">
        <f t="shared" si="338"/>
        <v/>
      </c>
      <c r="V856" s="72" t="str">
        <f t="shared" si="339"/>
        <v/>
      </c>
      <c r="W856" s="2" t="str">
        <f t="shared" si="326"/>
        <v/>
      </c>
      <c r="X856" s="2" t="str">
        <f t="shared" si="321"/>
        <v/>
      </c>
      <c r="Y856" s="35" t="str">
        <f t="shared" ca="1" si="340"/>
        <v/>
      </c>
      <c r="Z856" s="36" t="str">
        <f t="shared" ca="1" si="341"/>
        <v/>
      </c>
      <c r="AA856" s="70" t="str">
        <f t="shared" si="342"/>
        <v/>
      </c>
      <c r="AB856" s="2"/>
      <c r="AC856" s="94" t="str">
        <f t="shared" si="322"/>
        <v/>
      </c>
      <c r="AD856" s="95" t="str">
        <f t="shared" si="323"/>
        <v/>
      </c>
      <c r="AE856" s="96" t="str">
        <f t="shared" si="324"/>
        <v/>
      </c>
      <c r="AF856" s="124" t="str">
        <f t="shared" si="325"/>
        <v/>
      </c>
      <c r="AG856" s="2"/>
      <c r="AH856" s="2"/>
      <c r="AI856" s="2"/>
      <c r="AJ856" s="2"/>
      <c r="AK856" s="2"/>
      <c r="AL856" s="2"/>
    </row>
    <row r="857" spans="1:38" x14ac:dyDescent="0.2">
      <c r="A857" s="45"/>
      <c r="B857" s="43" t="str">
        <f t="shared" si="328"/>
        <v/>
      </c>
      <c r="C857" s="96" t="str">
        <f t="shared" si="327"/>
        <v/>
      </c>
      <c r="D857" s="44" t="str">
        <f t="shared" si="329"/>
        <v/>
      </c>
      <c r="E857" s="52"/>
      <c r="F857" s="63" t="str">
        <f t="shared" si="330"/>
        <v/>
      </c>
      <c r="G857" s="56" t="str">
        <f t="shared" si="331"/>
        <v/>
      </c>
      <c r="H857" s="42"/>
      <c r="I857" s="2" t="str">
        <f t="shared" si="332"/>
        <v/>
      </c>
      <c r="J857" s="54" t="str">
        <f t="shared" si="319"/>
        <v/>
      </c>
      <c r="K857" s="55" t="str">
        <f t="shared" si="333"/>
        <v/>
      </c>
      <c r="L857" s="63" t="str">
        <f t="shared" si="334"/>
        <v/>
      </c>
      <c r="M857" s="96" t="str">
        <f t="shared" si="320"/>
        <v/>
      </c>
      <c r="N857" s="96" t="str">
        <f>IF(A857="","",IF(A857=Expiry,0,EXP(-q*Q857)*_xlfn.NORM.S.DIST(Y857,0)/(sigma*SQRT(Q857))*I857*Mult/100))</f>
        <v/>
      </c>
      <c r="O857" s="96" t="str">
        <f>IF(A857="","",IF(A857=Expiry,0,D857*E857*E857*EXP(-q*Q857)*_xlfn.NORM.S.DIST(Y857,0)*SQRT(Q857)/100))</f>
        <v/>
      </c>
      <c r="P857" s="69" t="str">
        <f>IF(A857="","",IF(A857=Expiry,0,AK857*I857*Mult*((-EXP(-q*Q857)*E857*_xlfn.NORM.S.DIST(Y857,0)*sigma/(2*SQRT(Q857))-r_dom*K*EXP(-r_dom*Q857)*_xlfn.NORM.S.DIST(Z857,1)+q*E857*EXP(-q*Q857)*_xlfn.NORM.S.DIST(Y857,1))/365)))</f>
        <v/>
      </c>
      <c r="Q857" s="83" t="str">
        <f t="shared" si="335"/>
        <v/>
      </c>
      <c r="R857" s="38"/>
      <c r="S857" s="68" t="str">
        <f t="shared" si="336"/>
        <v/>
      </c>
      <c r="T857" s="69" t="str">
        <f t="shared" si="337"/>
        <v/>
      </c>
      <c r="U857" s="70" t="str">
        <f t="shared" si="338"/>
        <v/>
      </c>
      <c r="V857" s="72" t="str">
        <f t="shared" si="339"/>
        <v/>
      </c>
      <c r="W857" s="2" t="str">
        <f t="shared" si="326"/>
        <v/>
      </c>
      <c r="X857" s="2" t="str">
        <f t="shared" si="321"/>
        <v/>
      </c>
      <c r="Y857" s="35" t="str">
        <f t="shared" ca="1" si="340"/>
        <v/>
      </c>
      <c r="Z857" s="36" t="str">
        <f t="shared" ca="1" si="341"/>
        <v/>
      </c>
      <c r="AA857" s="70" t="str">
        <f t="shared" si="342"/>
        <v/>
      </c>
      <c r="AB857" s="2"/>
      <c r="AC857" s="94" t="str">
        <f t="shared" si="322"/>
        <v/>
      </c>
      <c r="AD857" s="95" t="str">
        <f t="shared" si="323"/>
        <v/>
      </c>
      <c r="AE857" s="96" t="str">
        <f t="shared" si="324"/>
        <v/>
      </c>
      <c r="AF857" s="124" t="str">
        <f t="shared" si="325"/>
        <v/>
      </c>
      <c r="AG857" s="2"/>
      <c r="AH857" s="2"/>
      <c r="AI857" s="2"/>
      <c r="AJ857" s="2"/>
      <c r="AK857" s="2"/>
      <c r="AL857" s="2"/>
    </row>
    <row r="858" spans="1:38" x14ac:dyDescent="0.2">
      <c r="A858" s="45"/>
      <c r="B858" s="43" t="str">
        <f t="shared" si="328"/>
        <v/>
      </c>
      <c r="C858" s="96" t="str">
        <f t="shared" si="327"/>
        <v/>
      </c>
      <c r="D858" s="44" t="str">
        <f t="shared" si="329"/>
        <v/>
      </c>
      <c r="E858" s="52"/>
      <c r="F858" s="63" t="str">
        <f t="shared" si="330"/>
        <v/>
      </c>
      <c r="G858" s="56" t="str">
        <f t="shared" si="331"/>
        <v/>
      </c>
      <c r="H858" s="42"/>
      <c r="I858" s="2" t="str">
        <f t="shared" si="332"/>
        <v/>
      </c>
      <c r="J858" s="54" t="str">
        <f t="shared" si="319"/>
        <v/>
      </c>
      <c r="K858" s="55" t="str">
        <f t="shared" si="333"/>
        <v/>
      </c>
      <c r="L858" s="63" t="str">
        <f t="shared" si="334"/>
        <v/>
      </c>
      <c r="M858" s="96" t="str">
        <f t="shared" si="320"/>
        <v/>
      </c>
      <c r="N858" s="96" t="str">
        <f>IF(A858="","",IF(A858=Expiry,0,EXP(-q*Q858)*_xlfn.NORM.S.DIST(Y858,0)/(sigma*SQRT(Q858))*I858*Mult/100))</f>
        <v/>
      </c>
      <c r="O858" s="96" t="str">
        <f>IF(A858="","",IF(A858=Expiry,0,D858*E858*E858*EXP(-q*Q858)*_xlfn.NORM.S.DIST(Y858,0)*SQRT(Q858)/100))</f>
        <v/>
      </c>
      <c r="P858" s="69" t="str">
        <f>IF(A858="","",IF(A858=Expiry,0,AK858*I858*Mult*((-EXP(-q*Q858)*E858*_xlfn.NORM.S.DIST(Y858,0)*sigma/(2*SQRT(Q858))-r_dom*K*EXP(-r_dom*Q858)*_xlfn.NORM.S.DIST(Z858,1)+q*E858*EXP(-q*Q858)*_xlfn.NORM.S.DIST(Y858,1))/365)))</f>
        <v/>
      </c>
      <c r="Q858" s="83" t="str">
        <f t="shared" si="335"/>
        <v/>
      </c>
      <c r="R858" s="38"/>
      <c r="S858" s="68" t="str">
        <f t="shared" si="336"/>
        <v/>
      </c>
      <c r="T858" s="69" t="str">
        <f t="shared" si="337"/>
        <v/>
      </c>
      <c r="U858" s="70" t="str">
        <f t="shared" si="338"/>
        <v/>
      </c>
      <c r="V858" s="72" t="str">
        <f t="shared" si="339"/>
        <v/>
      </c>
      <c r="W858" s="2" t="str">
        <f t="shared" si="326"/>
        <v/>
      </c>
      <c r="X858" s="2" t="str">
        <f t="shared" si="321"/>
        <v/>
      </c>
      <c r="Y858" s="35" t="str">
        <f t="shared" ca="1" si="340"/>
        <v/>
      </c>
      <c r="Z858" s="36" t="str">
        <f t="shared" ca="1" si="341"/>
        <v/>
      </c>
      <c r="AA858" s="70" t="str">
        <f t="shared" si="342"/>
        <v/>
      </c>
      <c r="AB858" s="2"/>
      <c r="AC858" s="94" t="str">
        <f t="shared" si="322"/>
        <v/>
      </c>
      <c r="AD858" s="95" t="str">
        <f t="shared" si="323"/>
        <v/>
      </c>
      <c r="AE858" s="96" t="str">
        <f t="shared" si="324"/>
        <v/>
      </c>
      <c r="AF858" s="124" t="str">
        <f t="shared" si="325"/>
        <v/>
      </c>
      <c r="AG858" s="2"/>
      <c r="AH858" s="2"/>
      <c r="AI858" s="2"/>
      <c r="AJ858" s="2"/>
      <c r="AK858" s="2"/>
      <c r="AL858" s="2"/>
    </row>
    <row r="859" spans="1:38" x14ac:dyDescent="0.2">
      <c r="A859" s="45"/>
      <c r="B859" s="43" t="str">
        <f t="shared" si="328"/>
        <v/>
      </c>
      <c r="C859" s="96" t="str">
        <f t="shared" si="327"/>
        <v/>
      </c>
      <c r="D859" s="44" t="str">
        <f t="shared" si="329"/>
        <v/>
      </c>
      <c r="E859" s="52"/>
      <c r="F859" s="63" t="str">
        <f t="shared" si="330"/>
        <v/>
      </c>
      <c r="G859" s="56" t="str">
        <f t="shared" si="331"/>
        <v/>
      </c>
      <c r="H859" s="42"/>
      <c r="I859" s="2" t="str">
        <f t="shared" si="332"/>
        <v/>
      </c>
      <c r="J859" s="54" t="str">
        <f t="shared" si="319"/>
        <v/>
      </c>
      <c r="K859" s="55" t="str">
        <f t="shared" si="333"/>
        <v/>
      </c>
      <c r="L859" s="63" t="str">
        <f t="shared" si="334"/>
        <v/>
      </c>
      <c r="M859" s="96" t="str">
        <f t="shared" si="320"/>
        <v/>
      </c>
      <c r="N859" s="96" t="str">
        <f>IF(A859="","",IF(A859=Expiry,0,EXP(-q*Q859)*_xlfn.NORM.S.DIST(Y859,0)/(sigma*SQRT(Q859))*I859*Mult/100))</f>
        <v/>
      </c>
      <c r="O859" s="96" t="str">
        <f>IF(A859="","",IF(A859=Expiry,0,D859*E859*E859*EXP(-q*Q859)*_xlfn.NORM.S.DIST(Y859,0)*SQRT(Q859)/100))</f>
        <v/>
      </c>
      <c r="P859" s="69" t="str">
        <f>IF(A859="","",IF(A859=Expiry,0,AK859*I859*Mult*((-EXP(-q*Q859)*E859*_xlfn.NORM.S.DIST(Y859,0)*sigma/(2*SQRT(Q859))-r_dom*K*EXP(-r_dom*Q859)*_xlfn.NORM.S.DIST(Z859,1)+q*E859*EXP(-q*Q859)*_xlfn.NORM.S.DIST(Y859,1))/365)))</f>
        <v/>
      </c>
      <c r="Q859" s="83" t="str">
        <f t="shared" si="335"/>
        <v/>
      </c>
      <c r="R859" s="38"/>
      <c r="S859" s="68" t="str">
        <f t="shared" si="336"/>
        <v/>
      </c>
      <c r="T859" s="69" t="str">
        <f t="shared" si="337"/>
        <v/>
      </c>
      <c r="U859" s="70" t="str">
        <f t="shared" si="338"/>
        <v/>
      </c>
      <c r="V859" s="72" t="str">
        <f t="shared" si="339"/>
        <v/>
      </c>
      <c r="W859" s="2" t="str">
        <f t="shared" si="326"/>
        <v/>
      </c>
      <c r="X859" s="2" t="str">
        <f t="shared" si="321"/>
        <v/>
      </c>
      <c r="Y859" s="35" t="str">
        <f t="shared" ca="1" si="340"/>
        <v/>
      </c>
      <c r="Z859" s="36" t="str">
        <f t="shared" ca="1" si="341"/>
        <v/>
      </c>
      <c r="AA859" s="70" t="str">
        <f t="shared" si="342"/>
        <v/>
      </c>
      <c r="AB859" s="2"/>
      <c r="AC859" s="94" t="str">
        <f t="shared" si="322"/>
        <v/>
      </c>
      <c r="AD859" s="95" t="str">
        <f t="shared" si="323"/>
        <v/>
      </c>
      <c r="AE859" s="96" t="str">
        <f t="shared" si="324"/>
        <v/>
      </c>
      <c r="AF859" s="124" t="str">
        <f t="shared" si="325"/>
        <v/>
      </c>
      <c r="AG859" s="2"/>
      <c r="AH859" s="2"/>
      <c r="AI859" s="2"/>
      <c r="AJ859" s="2"/>
      <c r="AK859" s="2"/>
      <c r="AL859" s="2"/>
    </row>
    <row r="860" spans="1:38" x14ac:dyDescent="0.2">
      <c r="A860" s="45"/>
      <c r="B860" s="43" t="str">
        <f t="shared" si="328"/>
        <v/>
      </c>
      <c r="C860" s="96" t="str">
        <f t="shared" si="327"/>
        <v/>
      </c>
      <c r="D860" s="44" t="str">
        <f t="shared" si="329"/>
        <v/>
      </c>
      <c r="E860" s="52"/>
      <c r="F860" s="63" t="str">
        <f t="shared" si="330"/>
        <v/>
      </c>
      <c r="G860" s="56" t="str">
        <f t="shared" si="331"/>
        <v/>
      </c>
      <c r="H860" s="42"/>
      <c r="I860" s="2" t="str">
        <f t="shared" si="332"/>
        <v/>
      </c>
      <c r="J860" s="54" t="str">
        <f t="shared" si="319"/>
        <v/>
      </c>
      <c r="K860" s="55" t="str">
        <f t="shared" si="333"/>
        <v/>
      </c>
      <c r="L860" s="63" t="str">
        <f t="shared" si="334"/>
        <v/>
      </c>
      <c r="M860" s="96" t="str">
        <f t="shared" si="320"/>
        <v/>
      </c>
      <c r="N860" s="96" t="str">
        <f>IF(A860="","",IF(A860=Expiry,0,EXP(-q*Q860)*_xlfn.NORM.S.DIST(Y860,0)/(sigma*SQRT(Q860))*I860*Mult/100))</f>
        <v/>
      </c>
      <c r="O860" s="96" t="str">
        <f>IF(A860="","",IF(A860=Expiry,0,D860*E860*E860*EXP(-q*Q860)*_xlfn.NORM.S.DIST(Y860,0)*SQRT(Q860)/100))</f>
        <v/>
      </c>
      <c r="P860" s="69" t="str">
        <f>IF(A860="","",IF(A860=Expiry,0,AK860*I860*Mult*((-EXP(-q*Q860)*E860*_xlfn.NORM.S.DIST(Y860,0)*sigma/(2*SQRT(Q860))-r_dom*K*EXP(-r_dom*Q860)*_xlfn.NORM.S.DIST(Z860,1)+q*E860*EXP(-q*Q860)*_xlfn.NORM.S.DIST(Y860,1))/365)))</f>
        <v/>
      </c>
      <c r="Q860" s="83" t="str">
        <f t="shared" si="335"/>
        <v/>
      </c>
      <c r="R860" s="38"/>
      <c r="S860" s="68" t="str">
        <f t="shared" si="336"/>
        <v/>
      </c>
      <c r="T860" s="69" t="str">
        <f t="shared" si="337"/>
        <v/>
      </c>
      <c r="U860" s="70" t="str">
        <f t="shared" si="338"/>
        <v/>
      </c>
      <c r="V860" s="72" t="str">
        <f t="shared" si="339"/>
        <v/>
      </c>
      <c r="W860" s="2" t="str">
        <f t="shared" si="326"/>
        <v/>
      </c>
      <c r="X860" s="2" t="str">
        <f t="shared" si="321"/>
        <v/>
      </c>
      <c r="Y860" s="35" t="str">
        <f t="shared" ca="1" si="340"/>
        <v/>
      </c>
      <c r="Z860" s="36" t="str">
        <f t="shared" ca="1" si="341"/>
        <v/>
      </c>
      <c r="AA860" s="70" t="str">
        <f t="shared" si="342"/>
        <v/>
      </c>
      <c r="AB860" s="2"/>
      <c r="AC860" s="94" t="str">
        <f t="shared" si="322"/>
        <v/>
      </c>
      <c r="AD860" s="95" t="str">
        <f t="shared" si="323"/>
        <v/>
      </c>
      <c r="AE860" s="96" t="str">
        <f t="shared" si="324"/>
        <v/>
      </c>
      <c r="AF860" s="124" t="str">
        <f t="shared" si="325"/>
        <v/>
      </c>
      <c r="AG860" s="2"/>
      <c r="AH860" s="2"/>
      <c r="AI860" s="2"/>
      <c r="AJ860" s="2"/>
      <c r="AK860" s="2"/>
      <c r="AL860" s="2"/>
    </row>
    <row r="861" spans="1:38" x14ac:dyDescent="0.2">
      <c r="A861" s="45"/>
      <c r="B861" s="43" t="str">
        <f t="shared" si="328"/>
        <v/>
      </c>
      <c r="C861" s="96" t="str">
        <f t="shared" si="327"/>
        <v/>
      </c>
      <c r="D861" s="44" t="str">
        <f t="shared" si="329"/>
        <v/>
      </c>
      <c r="E861" s="52"/>
      <c r="F861" s="63" t="str">
        <f t="shared" si="330"/>
        <v/>
      </c>
      <c r="G861" s="56" t="str">
        <f t="shared" si="331"/>
        <v/>
      </c>
      <c r="H861" s="42"/>
      <c r="I861" s="2" t="str">
        <f t="shared" si="332"/>
        <v/>
      </c>
      <c r="J861" s="54" t="str">
        <f t="shared" si="319"/>
        <v/>
      </c>
      <c r="K861" s="55" t="str">
        <f t="shared" si="333"/>
        <v/>
      </c>
      <c r="L861" s="63" t="str">
        <f t="shared" si="334"/>
        <v/>
      </c>
      <c r="M861" s="96" t="str">
        <f t="shared" si="320"/>
        <v/>
      </c>
      <c r="N861" s="96" t="str">
        <f>IF(A861="","",IF(A861=Expiry,0,EXP(-q*Q861)*_xlfn.NORM.S.DIST(Y861,0)/(sigma*SQRT(Q861))*I861*Mult/100))</f>
        <v/>
      </c>
      <c r="O861" s="96" t="str">
        <f>IF(A861="","",IF(A861=Expiry,0,D861*E861*E861*EXP(-q*Q861)*_xlfn.NORM.S.DIST(Y861,0)*SQRT(Q861)/100))</f>
        <v/>
      </c>
      <c r="P861" s="69" t="str">
        <f>IF(A861="","",IF(A861=Expiry,0,AK861*I861*Mult*((-EXP(-q*Q861)*E861*_xlfn.NORM.S.DIST(Y861,0)*sigma/(2*SQRT(Q861))-r_dom*K*EXP(-r_dom*Q861)*_xlfn.NORM.S.DIST(Z861,1)+q*E861*EXP(-q*Q861)*_xlfn.NORM.S.DIST(Y861,1))/365)))</f>
        <v/>
      </c>
      <c r="Q861" s="83" t="str">
        <f t="shared" si="335"/>
        <v/>
      </c>
      <c r="R861" s="38"/>
      <c r="S861" s="68" t="str">
        <f t="shared" si="336"/>
        <v/>
      </c>
      <c r="T861" s="69" t="str">
        <f t="shared" si="337"/>
        <v/>
      </c>
      <c r="U861" s="70" t="str">
        <f t="shared" si="338"/>
        <v/>
      </c>
      <c r="V861" s="72" t="str">
        <f t="shared" si="339"/>
        <v/>
      </c>
      <c r="W861" s="2" t="str">
        <f t="shared" si="326"/>
        <v/>
      </c>
      <c r="X861" s="2" t="str">
        <f t="shared" si="321"/>
        <v/>
      </c>
      <c r="Y861" s="35" t="str">
        <f t="shared" ca="1" si="340"/>
        <v/>
      </c>
      <c r="Z861" s="36" t="str">
        <f t="shared" ca="1" si="341"/>
        <v/>
      </c>
      <c r="AA861" s="70" t="str">
        <f t="shared" si="342"/>
        <v/>
      </c>
      <c r="AB861" s="2"/>
      <c r="AC861" s="94" t="str">
        <f t="shared" si="322"/>
        <v/>
      </c>
      <c r="AD861" s="95" t="str">
        <f t="shared" si="323"/>
        <v/>
      </c>
      <c r="AE861" s="96" t="str">
        <f t="shared" si="324"/>
        <v/>
      </c>
      <c r="AF861" s="124" t="str">
        <f t="shared" si="325"/>
        <v/>
      </c>
      <c r="AG861" s="2"/>
      <c r="AH861" s="2"/>
      <c r="AI861" s="2"/>
      <c r="AJ861" s="2"/>
      <c r="AK861" s="2"/>
      <c r="AL861" s="2"/>
    </row>
    <row r="862" spans="1:38" x14ac:dyDescent="0.2">
      <c r="A862" s="45"/>
      <c r="B862" s="43" t="str">
        <f t="shared" si="328"/>
        <v/>
      </c>
      <c r="C862" s="96" t="str">
        <f t="shared" si="327"/>
        <v/>
      </c>
      <c r="D862" s="44" t="str">
        <f t="shared" si="329"/>
        <v/>
      </c>
      <c r="E862" s="52"/>
      <c r="F862" s="63" t="str">
        <f t="shared" si="330"/>
        <v/>
      </c>
      <c r="G862" s="56" t="str">
        <f t="shared" si="331"/>
        <v/>
      </c>
      <c r="H862" s="42"/>
      <c r="I862" s="2" t="str">
        <f t="shared" si="332"/>
        <v/>
      </c>
      <c r="J862" s="54" t="str">
        <f t="shared" si="319"/>
        <v/>
      </c>
      <c r="K862" s="55" t="str">
        <f t="shared" si="333"/>
        <v/>
      </c>
      <c r="L862" s="63" t="str">
        <f t="shared" si="334"/>
        <v/>
      </c>
      <c r="M862" s="96" t="str">
        <f t="shared" si="320"/>
        <v/>
      </c>
      <c r="N862" s="96" t="str">
        <f>IF(A862="","",IF(A862=Expiry,0,EXP(-q*Q862)*_xlfn.NORM.S.DIST(Y862,0)/(sigma*SQRT(Q862))*I862*Mult/100))</f>
        <v/>
      </c>
      <c r="O862" s="96" t="str">
        <f>IF(A862="","",IF(A862=Expiry,0,D862*E862*E862*EXP(-q*Q862)*_xlfn.NORM.S.DIST(Y862,0)*SQRT(Q862)/100))</f>
        <v/>
      </c>
      <c r="P862" s="69" t="str">
        <f>IF(A862="","",IF(A862=Expiry,0,AK862*I862*Mult*((-EXP(-q*Q862)*E862*_xlfn.NORM.S.DIST(Y862,0)*sigma/(2*SQRT(Q862))-r_dom*K*EXP(-r_dom*Q862)*_xlfn.NORM.S.DIST(Z862,1)+q*E862*EXP(-q*Q862)*_xlfn.NORM.S.DIST(Y862,1))/365)))</f>
        <v/>
      </c>
      <c r="Q862" s="83" t="str">
        <f t="shared" si="335"/>
        <v/>
      </c>
      <c r="R862" s="38"/>
      <c r="S862" s="68" t="str">
        <f t="shared" si="336"/>
        <v/>
      </c>
      <c r="T862" s="69" t="str">
        <f t="shared" si="337"/>
        <v/>
      </c>
      <c r="U862" s="70" t="str">
        <f t="shared" si="338"/>
        <v/>
      </c>
      <c r="V862" s="72" t="str">
        <f t="shared" si="339"/>
        <v/>
      </c>
      <c r="W862" s="2" t="str">
        <f t="shared" si="326"/>
        <v/>
      </c>
      <c r="X862" s="2" t="str">
        <f t="shared" si="321"/>
        <v/>
      </c>
      <c r="Y862" s="35" t="str">
        <f t="shared" ca="1" si="340"/>
        <v/>
      </c>
      <c r="Z862" s="36" t="str">
        <f t="shared" ca="1" si="341"/>
        <v/>
      </c>
      <c r="AA862" s="70" t="str">
        <f t="shared" si="342"/>
        <v/>
      </c>
      <c r="AB862" s="2"/>
      <c r="AC862" s="94" t="str">
        <f t="shared" si="322"/>
        <v/>
      </c>
      <c r="AD862" s="95" t="str">
        <f t="shared" si="323"/>
        <v/>
      </c>
      <c r="AE862" s="96" t="str">
        <f t="shared" si="324"/>
        <v/>
      </c>
      <c r="AF862" s="124" t="str">
        <f t="shared" si="325"/>
        <v/>
      </c>
      <c r="AG862" s="2"/>
      <c r="AH862" s="2"/>
      <c r="AI862" s="2"/>
      <c r="AJ862" s="2"/>
      <c r="AK862" s="2"/>
      <c r="AL862" s="2"/>
    </row>
    <row r="863" spans="1:38" x14ac:dyDescent="0.2">
      <c r="A863" s="45"/>
      <c r="B863" s="43" t="str">
        <f t="shared" si="328"/>
        <v/>
      </c>
      <c r="C863" s="96" t="str">
        <f t="shared" si="327"/>
        <v/>
      </c>
      <c r="D863" s="44" t="str">
        <f t="shared" si="329"/>
        <v/>
      </c>
      <c r="E863" s="52"/>
      <c r="F863" s="63" t="str">
        <f t="shared" si="330"/>
        <v/>
      </c>
      <c r="G863" s="56" t="str">
        <f t="shared" si="331"/>
        <v/>
      </c>
      <c r="H863" s="42"/>
      <c r="I863" s="2" t="str">
        <f t="shared" si="332"/>
        <v/>
      </c>
      <c r="J863" s="54" t="str">
        <f t="shared" si="319"/>
        <v/>
      </c>
      <c r="K863" s="55" t="str">
        <f t="shared" si="333"/>
        <v/>
      </c>
      <c r="L863" s="63" t="str">
        <f t="shared" si="334"/>
        <v/>
      </c>
      <c r="M863" s="96" t="str">
        <f t="shared" si="320"/>
        <v/>
      </c>
      <c r="N863" s="96" t="str">
        <f>IF(A863="","",IF(A863=Expiry,0,EXP(-q*Q863)*_xlfn.NORM.S.DIST(Y863,0)/(sigma*SQRT(Q863))*I863*Mult/100))</f>
        <v/>
      </c>
      <c r="O863" s="96" t="str">
        <f>IF(A863="","",IF(A863=Expiry,0,D863*E863*E863*EXP(-q*Q863)*_xlfn.NORM.S.DIST(Y863,0)*SQRT(Q863)/100))</f>
        <v/>
      </c>
      <c r="P863" s="69" t="str">
        <f>IF(A863="","",IF(A863=Expiry,0,AK863*I863*Mult*((-EXP(-q*Q863)*E863*_xlfn.NORM.S.DIST(Y863,0)*sigma/(2*SQRT(Q863))-r_dom*K*EXP(-r_dom*Q863)*_xlfn.NORM.S.DIST(Z863,1)+q*E863*EXP(-q*Q863)*_xlfn.NORM.S.DIST(Y863,1))/365)))</f>
        <v/>
      </c>
      <c r="Q863" s="83" t="str">
        <f t="shared" si="335"/>
        <v/>
      </c>
      <c r="R863" s="38"/>
      <c r="S863" s="68" t="str">
        <f t="shared" si="336"/>
        <v/>
      </c>
      <c r="T863" s="69" t="str">
        <f t="shared" si="337"/>
        <v/>
      </c>
      <c r="U863" s="70" t="str">
        <f t="shared" si="338"/>
        <v/>
      </c>
      <c r="V863" s="72" t="str">
        <f t="shared" si="339"/>
        <v/>
      </c>
      <c r="W863" s="2" t="str">
        <f t="shared" si="326"/>
        <v/>
      </c>
      <c r="X863" s="2" t="str">
        <f t="shared" si="321"/>
        <v/>
      </c>
      <c r="Y863" s="35" t="str">
        <f t="shared" ca="1" si="340"/>
        <v/>
      </c>
      <c r="Z863" s="36" t="str">
        <f t="shared" ca="1" si="341"/>
        <v/>
      </c>
      <c r="AA863" s="70" t="str">
        <f t="shared" si="342"/>
        <v/>
      </c>
      <c r="AB863" s="2"/>
      <c r="AC863" s="94" t="str">
        <f t="shared" si="322"/>
        <v/>
      </c>
      <c r="AD863" s="95" t="str">
        <f t="shared" si="323"/>
        <v/>
      </c>
      <c r="AE863" s="96" t="str">
        <f t="shared" si="324"/>
        <v/>
      </c>
      <c r="AF863" s="124" t="str">
        <f t="shared" si="325"/>
        <v/>
      </c>
      <c r="AG863" s="2"/>
      <c r="AH863" s="2"/>
      <c r="AI863" s="2"/>
      <c r="AJ863" s="2"/>
      <c r="AK863" s="2"/>
      <c r="AL863" s="2"/>
    </row>
    <row r="864" spans="1:38" x14ac:dyDescent="0.2">
      <c r="A864" s="45"/>
      <c r="B864" s="43" t="str">
        <f t="shared" si="328"/>
        <v/>
      </c>
      <c r="C864" s="96" t="str">
        <f t="shared" si="327"/>
        <v/>
      </c>
      <c r="D864" s="44" t="str">
        <f t="shared" si="329"/>
        <v/>
      </c>
      <c r="E864" s="52"/>
      <c r="F864" s="63" t="str">
        <f t="shared" si="330"/>
        <v/>
      </c>
      <c r="G864" s="56" t="str">
        <f t="shared" si="331"/>
        <v/>
      </c>
      <c r="H864" s="42"/>
      <c r="I864" s="2" t="str">
        <f t="shared" si="332"/>
        <v/>
      </c>
      <c r="J864" s="54" t="str">
        <f t="shared" si="319"/>
        <v/>
      </c>
      <c r="K864" s="55" t="str">
        <f t="shared" si="333"/>
        <v/>
      </c>
      <c r="L864" s="63" t="str">
        <f t="shared" si="334"/>
        <v/>
      </c>
      <c r="M864" s="96" t="str">
        <f t="shared" si="320"/>
        <v/>
      </c>
      <c r="N864" s="96" t="str">
        <f>IF(A864="","",IF(A864=Expiry,0,EXP(-q*Q864)*_xlfn.NORM.S.DIST(Y864,0)/(sigma*SQRT(Q864))*I864*Mult/100))</f>
        <v/>
      </c>
      <c r="O864" s="96" t="str">
        <f>IF(A864="","",IF(A864=Expiry,0,D864*E864*E864*EXP(-q*Q864)*_xlfn.NORM.S.DIST(Y864,0)*SQRT(Q864)/100))</f>
        <v/>
      </c>
      <c r="P864" s="69" t="str">
        <f>IF(A864="","",IF(A864=Expiry,0,AK864*I864*Mult*((-EXP(-q*Q864)*E864*_xlfn.NORM.S.DIST(Y864,0)*sigma/(2*SQRT(Q864))-r_dom*K*EXP(-r_dom*Q864)*_xlfn.NORM.S.DIST(Z864,1)+q*E864*EXP(-q*Q864)*_xlfn.NORM.S.DIST(Y864,1))/365)))</f>
        <v/>
      </c>
      <c r="Q864" s="83" t="str">
        <f t="shared" si="335"/>
        <v/>
      </c>
      <c r="R864" s="38"/>
      <c r="S864" s="68" t="str">
        <f t="shared" si="336"/>
        <v/>
      </c>
      <c r="T864" s="69" t="str">
        <f t="shared" si="337"/>
        <v/>
      </c>
      <c r="U864" s="70" t="str">
        <f t="shared" si="338"/>
        <v/>
      </c>
      <c r="V864" s="72" t="str">
        <f t="shared" si="339"/>
        <v/>
      </c>
      <c r="W864" s="2" t="str">
        <f t="shared" si="326"/>
        <v/>
      </c>
      <c r="X864" s="2" t="str">
        <f t="shared" si="321"/>
        <v/>
      </c>
      <c r="Y864" s="35" t="str">
        <f t="shared" ca="1" si="340"/>
        <v/>
      </c>
      <c r="Z864" s="36" t="str">
        <f t="shared" ca="1" si="341"/>
        <v/>
      </c>
      <c r="AA864" s="70" t="str">
        <f t="shared" si="342"/>
        <v/>
      </c>
      <c r="AB864" s="2"/>
      <c r="AC864" s="94" t="str">
        <f t="shared" si="322"/>
        <v/>
      </c>
      <c r="AD864" s="95" t="str">
        <f t="shared" si="323"/>
        <v/>
      </c>
      <c r="AE864" s="96" t="str">
        <f t="shared" si="324"/>
        <v/>
      </c>
      <c r="AF864" s="124" t="str">
        <f t="shared" si="325"/>
        <v/>
      </c>
      <c r="AG864" s="2"/>
      <c r="AH864" s="2"/>
      <c r="AI864" s="2"/>
      <c r="AJ864" s="2"/>
      <c r="AK864" s="2"/>
      <c r="AL864" s="2"/>
    </row>
    <row r="865" spans="1:38" x14ac:dyDescent="0.2">
      <c r="A865" s="45"/>
      <c r="B865" s="43" t="str">
        <f t="shared" si="328"/>
        <v/>
      </c>
      <c r="C865" s="96" t="str">
        <f t="shared" si="327"/>
        <v/>
      </c>
      <c r="D865" s="44" t="str">
        <f t="shared" si="329"/>
        <v/>
      </c>
      <c r="E865" s="52"/>
      <c r="F865" s="63" t="str">
        <f t="shared" si="330"/>
        <v/>
      </c>
      <c r="G865" s="56" t="str">
        <f t="shared" si="331"/>
        <v/>
      </c>
      <c r="H865" s="42"/>
      <c r="I865" s="2" t="str">
        <f t="shared" si="332"/>
        <v/>
      </c>
      <c r="J865" s="54" t="str">
        <f t="shared" si="319"/>
        <v/>
      </c>
      <c r="K865" s="55" t="str">
        <f t="shared" si="333"/>
        <v/>
      </c>
      <c r="L865" s="63" t="str">
        <f t="shared" si="334"/>
        <v/>
      </c>
      <c r="M865" s="96" t="str">
        <f t="shared" si="320"/>
        <v/>
      </c>
      <c r="N865" s="96" t="str">
        <f>IF(A865="","",IF(A865=Expiry,0,EXP(-q*Q865)*_xlfn.NORM.S.DIST(Y865,0)/(sigma*SQRT(Q865))*I865*Mult/100))</f>
        <v/>
      </c>
      <c r="O865" s="96" t="str">
        <f>IF(A865="","",IF(A865=Expiry,0,D865*E865*E865*EXP(-q*Q865)*_xlfn.NORM.S.DIST(Y865,0)*SQRT(Q865)/100))</f>
        <v/>
      </c>
      <c r="P865" s="69" t="str">
        <f>IF(A865="","",IF(A865=Expiry,0,AK865*I865*Mult*((-EXP(-q*Q865)*E865*_xlfn.NORM.S.DIST(Y865,0)*sigma/(2*SQRT(Q865))-r_dom*K*EXP(-r_dom*Q865)*_xlfn.NORM.S.DIST(Z865,1)+q*E865*EXP(-q*Q865)*_xlfn.NORM.S.DIST(Y865,1))/365)))</f>
        <v/>
      </c>
      <c r="Q865" s="83" t="str">
        <f t="shared" si="335"/>
        <v/>
      </c>
      <c r="R865" s="38"/>
      <c r="S865" s="68" t="str">
        <f t="shared" si="336"/>
        <v/>
      </c>
      <c r="T865" s="69" t="str">
        <f t="shared" si="337"/>
        <v/>
      </c>
      <c r="U865" s="70" t="str">
        <f t="shared" si="338"/>
        <v/>
      </c>
      <c r="V865" s="72" t="str">
        <f t="shared" si="339"/>
        <v/>
      </c>
      <c r="W865" s="2" t="str">
        <f t="shared" si="326"/>
        <v/>
      </c>
      <c r="X865" s="2" t="str">
        <f t="shared" si="321"/>
        <v/>
      </c>
      <c r="Y865" s="35" t="str">
        <f t="shared" ca="1" si="340"/>
        <v/>
      </c>
      <c r="Z865" s="36" t="str">
        <f t="shared" ca="1" si="341"/>
        <v/>
      </c>
      <c r="AA865" s="70" t="str">
        <f t="shared" si="342"/>
        <v/>
      </c>
      <c r="AB865" s="2"/>
      <c r="AC865" s="94" t="str">
        <f t="shared" si="322"/>
        <v/>
      </c>
      <c r="AD865" s="95" t="str">
        <f t="shared" si="323"/>
        <v/>
      </c>
      <c r="AE865" s="96" t="str">
        <f t="shared" si="324"/>
        <v/>
      </c>
      <c r="AF865" s="124" t="str">
        <f t="shared" si="325"/>
        <v/>
      </c>
      <c r="AG865" s="2"/>
      <c r="AH865" s="2"/>
      <c r="AI865" s="2"/>
      <c r="AJ865" s="2"/>
      <c r="AK865" s="2"/>
      <c r="AL865" s="2"/>
    </row>
    <row r="866" spans="1:38" x14ac:dyDescent="0.2">
      <c r="A866" s="45"/>
      <c r="B866" s="43" t="str">
        <f t="shared" si="328"/>
        <v/>
      </c>
      <c r="C866" s="96" t="str">
        <f t="shared" si="327"/>
        <v/>
      </c>
      <c r="D866" s="44" t="str">
        <f t="shared" si="329"/>
        <v/>
      </c>
      <c r="E866" s="52"/>
      <c r="F866" s="63" t="str">
        <f t="shared" si="330"/>
        <v/>
      </c>
      <c r="G866" s="56" t="str">
        <f t="shared" si="331"/>
        <v/>
      </c>
      <c r="H866" s="42"/>
      <c r="I866" s="2" t="str">
        <f t="shared" si="332"/>
        <v/>
      </c>
      <c r="J866" s="54" t="str">
        <f t="shared" si="319"/>
        <v/>
      </c>
      <c r="K866" s="55" t="str">
        <f t="shared" si="333"/>
        <v/>
      </c>
      <c r="L866" s="63" t="str">
        <f t="shared" si="334"/>
        <v/>
      </c>
      <c r="M866" s="96" t="str">
        <f t="shared" si="320"/>
        <v/>
      </c>
      <c r="N866" s="96" t="str">
        <f>IF(A866="","",IF(A866=Expiry,0,EXP(-q*Q866)*_xlfn.NORM.S.DIST(Y866,0)/(sigma*SQRT(Q866))*I866*Mult/100))</f>
        <v/>
      </c>
      <c r="O866" s="96" t="str">
        <f>IF(A866="","",IF(A866=Expiry,0,D866*E866*E866*EXP(-q*Q866)*_xlfn.NORM.S.DIST(Y866,0)*SQRT(Q866)/100))</f>
        <v/>
      </c>
      <c r="P866" s="69" t="str">
        <f>IF(A866="","",IF(A866=Expiry,0,AK866*I866*Mult*((-EXP(-q*Q866)*E866*_xlfn.NORM.S.DIST(Y866,0)*sigma/(2*SQRT(Q866))-r_dom*K*EXP(-r_dom*Q866)*_xlfn.NORM.S.DIST(Z866,1)+q*E866*EXP(-q*Q866)*_xlfn.NORM.S.DIST(Y866,1))/365)))</f>
        <v/>
      </c>
      <c r="Q866" s="83" t="str">
        <f t="shared" si="335"/>
        <v/>
      </c>
      <c r="R866" s="38"/>
      <c r="S866" s="68" t="str">
        <f t="shared" si="336"/>
        <v/>
      </c>
      <c r="T866" s="69" t="str">
        <f t="shared" si="337"/>
        <v/>
      </c>
      <c r="U866" s="70" t="str">
        <f t="shared" si="338"/>
        <v/>
      </c>
      <c r="V866" s="72" t="str">
        <f t="shared" si="339"/>
        <v/>
      </c>
      <c r="W866" s="2" t="str">
        <f t="shared" si="326"/>
        <v/>
      </c>
      <c r="X866" s="2" t="str">
        <f t="shared" si="321"/>
        <v/>
      </c>
      <c r="Y866" s="35" t="str">
        <f t="shared" ca="1" si="340"/>
        <v/>
      </c>
      <c r="Z866" s="36" t="str">
        <f t="shared" ca="1" si="341"/>
        <v/>
      </c>
      <c r="AA866" s="70" t="str">
        <f t="shared" si="342"/>
        <v/>
      </c>
      <c r="AB866" s="2"/>
      <c r="AC866" s="94" t="str">
        <f t="shared" si="322"/>
        <v/>
      </c>
      <c r="AD866" s="95" t="str">
        <f t="shared" si="323"/>
        <v/>
      </c>
      <c r="AE866" s="96" t="str">
        <f t="shared" si="324"/>
        <v/>
      </c>
      <c r="AF866" s="124" t="str">
        <f t="shared" si="325"/>
        <v/>
      </c>
      <c r="AG866" s="2"/>
      <c r="AH866" s="2"/>
      <c r="AI866" s="2"/>
      <c r="AJ866" s="2"/>
      <c r="AK866" s="2"/>
      <c r="AL866" s="2"/>
    </row>
    <row r="867" spans="1:38" x14ac:dyDescent="0.2">
      <c r="A867" s="45"/>
      <c r="B867" s="43" t="str">
        <f t="shared" si="328"/>
        <v/>
      </c>
      <c r="C867" s="96" t="str">
        <f t="shared" si="327"/>
        <v/>
      </c>
      <c r="D867" s="44" t="str">
        <f t="shared" si="329"/>
        <v/>
      </c>
      <c r="E867" s="52"/>
      <c r="F867" s="63" t="str">
        <f t="shared" si="330"/>
        <v/>
      </c>
      <c r="G867" s="56" t="str">
        <f t="shared" si="331"/>
        <v/>
      </c>
      <c r="H867" s="42"/>
      <c r="I867" s="2" t="str">
        <f t="shared" si="332"/>
        <v/>
      </c>
      <c r="J867" s="54" t="str">
        <f t="shared" si="319"/>
        <v/>
      </c>
      <c r="K867" s="55" t="str">
        <f t="shared" si="333"/>
        <v/>
      </c>
      <c r="L867" s="63" t="str">
        <f t="shared" si="334"/>
        <v/>
      </c>
      <c r="M867" s="96" t="str">
        <f t="shared" si="320"/>
        <v/>
      </c>
      <c r="N867" s="96" t="str">
        <f>IF(A867="","",IF(A867=Expiry,0,EXP(-q*Q867)*_xlfn.NORM.S.DIST(Y867,0)/(sigma*SQRT(Q867))*I867*Mult/100))</f>
        <v/>
      </c>
      <c r="O867" s="96" t="str">
        <f>IF(A867="","",IF(A867=Expiry,0,D867*E867*E867*EXP(-q*Q867)*_xlfn.NORM.S.DIST(Y867,0)*SQRT(Q867)/100))</f>
        <v/>
      </c>
      <c r="P867" s="69" t="str">
        <f>IF(A867="","",IF(A867=Expiry,0,AK867*I867*Mult*((-EXP(-q*Q867)*E867*_xlfn.NORM.S.DIST(Y867,0)*sigma/(2*SQRT(Q867))-r_dom*K*EXP(-r_dom*Q867)*_xlfn.NORM.S.DIST(Z867,1)+q*E867*EXP(-q*Q867)*_xlfn.NORM.S.DIST(Y867,1))/365)))</f>
        <v/>
      </c>
      <c r="Q867" s="83" t="str">
        <f t="shared" si="335"/>
        <v/>
      </c>
      <c r="R867" s="38"/>
      <c r="S867" s="68" t="str">
        <f t="shared" si="336"/>
        <v/>
      </c>
      <c r="T867" s="69" t="str">
        <f t="shared" si="337"/>
        <v/>
      </c>
      <c r="U867" s="70" t="str">
        <f t="shared" si="338"/>
        <v/>
      </c>
      <c r="V867" s="72" t="str">
        <f t="shared" si="339"/>
        <v/>
      </c>
      <c r="W867" s="2" t="str">
        <f t="shared" si="326"/>
        <v/>
      </c>
      <c r="X867" s="2" t="str">
        <f t="shared" si="321"/>
        <v/>
      </c>
      <c r="Y867" s="35" t="str">
        <f t="shared" ca="1" si="340"/>
        <v/>
      </c>
      <c r="Z867" s="36" t="str">
        <f t="shared" ca="1" si="341"/>
        <v/>
      </c>
      <c r="AA867" s="70" t="str">
        <f t="shared" si="342"/>
        <v/>
      </c>
      <c r="AB867" s="2"/>
      <c r="AC867" s="94" t="str">
        <f t="shared" si="322"/>
        <v/>
      </c>
      <c r="AD867" s="95" t="str">
        <f t="shared" si="323"/>
        <v/>
      </c>
      <c r="AE867" s="96" t="str">
        <f t="shared" si="324"/>
        <v/>
      </c>
      <c r="AF867" s="124" t="str">
        <f t="shared" si="325"/>
        <v/>
      </c>
      <c r="AG867" s="2"/>
      <c r="AH867" s="2"/>
      <c r="AI867" s="2"/>
      <c r="AJ867" s="2"/>
      <c r="AK867" s="2"/>
      <c r="AL867" s="2"/>
    </row>
    <row r="868" spans="1:38" x14ac:dyDescent="0.2">
      <c r="A868" s="45"/>
      <c r="B868" s="43" t="str">
        <f t="shared" si="328"/>
        <v/>
      </c>
      <c r="C868" s="96" t="str">
        <f t="shared" si="327"/>
        <v/>
      </c>
      <c r="D868" s="44" t="str">
        <f t="shared" si="329"/>
        <v/>
      </c>
      <c r="E868" s="52"/>
      <c r="F868" s="63" t="str">
        <f t="shared" si="330"/>
        <v/>
      </c>
      <c r="G868" s="56" t="str">
        <f t="shared" si="331"/>
        <v/>
      </c>
      <c r="H868" s="42"/>
      <c r="I868" s="2" t="str">
        <f t="shared" si="332"/>
        <v/>
      </c>
      <c r="J868" s="54" t="str">
        <f t="shared" ref="J868:J931" si="343">IF(CorP="C",AC868,AD868)</f>
        <v/>
      </c>
      <c r="K868" s="55" t="str">
        <f t="shared" si="333"/>
        <v/>
      </c>
      <c r="L868" s="63" t="str">
        <f t="shared" si="334"/>
        <v/>
      </c>
      <c r="M868" s="96" t="str">
        <f t="shared" ref="M868:M931" si="344">IF(CorP="C",AE868,AF868)</f>
        <v/>
      </c>
      <c r="N868" s="96" t="str">
        <f>IF(A868="","",IF(A868=Expiry,0,EXP(-q*Q868)*_xlfn.NORM.S.DIST(Y868,0)/(sigma*SQRT(Q868))*I868*Mult/100))</f>
        <v/>
      </c>
      <c r="O868" s="96" t="str">
        <f>IF(A868="","",IF(A868=Expiry,0,D868*E868*E868*EXP(-q*Q868)*_xlfn.NORM.S.DIST(Y868,0)*SQRT(Q868)/100))</f>
        <v/>
      </c>
      <c r="P868" s="69" t="str">
        <f>IF(A868="","",IF(A868=Expiry,0,AK868*I868*Mult*((-EXP(-q*Q868)*E868*_xlfn.NORM.S.DIST(Y868,0)*sigma/(2*SQRT(Q868))-r_dom*K*EXP(-r_dom*Q868)*_xlfn.NORM.S.DIST(Z868,1)+q*E868*EXP(-q*Q868)*_xlfn.NORM.S.DIST(Y868,1))/365)))</f>
        <v/>
      </c>
      <c r="Q868" s="83" t="str">
        <f t="shared" si="335"/>
        <v/>
      </c>
      <c r="R868" s="38"/>
      <c r="S868" s="68" t="str">
        <f t="shared" si="336"/>
        <v/>
      </c>
      <c r="T868" s="69" t="str">
        <f t="shared" si="337"/>
        <v/>
      </c>
      <c r="U868" s="70" t="str">
        <f t="shared" si="338"/>
        <v/>
      </c>
      <c r="V868" s="72" t="str">
        <f t="shared" si="339"/>
        <v/>
      </c>
      <c r="W868" s="2" t="str">
        <f t="shared" si="326"/>
        <v/>
      </c>
      <c r="X868" s="2" t="str">
        <f t="shared" ref="X868:X931" si="345">IF(A868="","",K)</f>
        <v/>
      </c>
      <c r="Y868" s="35" t="str">
        <f t="shared" ca="1" si="340"/>
        <v/>
      </c>
      <c r="Z868" s="36" t="str">
        <f t="shared" ca="1" si="341"/>
        <v/>
      </c>
      <c r="AA868" s="70" t="str">
        <f t="shared" si="342"/>
        <v/>
      </c>
      <c r="AB868" s="2"/>
      <c r="AC868" s="94" t="str">
        <f t="shared" ref="AC868:AC931" si="346">IF(A868="","",IF(A868=Expiry,MAX(E868-K,0),E868*EXP(-q*Q868)*_xlfn.NORM.S.DIST(Y868,1)-K*EXP(-r_dom*Q868)*_xlfn.NORM.S.DIST(Z868,1)))</f>
        <v/>
      </c>
      <c r="AD868" s="95" t="str">
        <f t="shared" ref="AD868:AD931" si="347">IF(A868="","",IF(A868=Expiry,MAX(K-E868,0),K*EXP(-r_dom*Q868)*_xlfn.NORM.S.DIST(-Z868,1)-E868*EXP(-q*Q868)*_xlfn.NORM.S.DIST(-Y868,1)))</f>
        <v/>
      </c>
      <c r="AE868" s="96" t="str">
        <f t="shared" ref="AE868:AE931" si="348">IF(A868="","",I868*Mult*IF(A868=Expiry,IF(E868&gt;K,1,0),EXP(-q*Q868)*_xlfn.NORM.S.DIST(Y868,1)))</f>
        <v/>
      </c>
      <c r="AF868" s="124" t="str">
        <f t="shared" ref="AF868:AF931" si="349">IF(A868="","",I868*Mult*IF(A868=Expiry,IF(E868&lt;K,-1,0),-EXP(-q*Q868)*_xlfn.NORM.S.DIST(-Y868,1)))</f>
        <v/>
      </c>
      <c r="AG868" s="2"/>
      <c r="AH868" s="2"/>
      <c r="AI868" s="2"/>
      <c r="AJ868" s="2"/>
      <c r="AK868" s="2"/>
      <c r="AL868" s="2"/>
    </row>
    <row r="869" spans="1:38" x14ac:dyDescent="0.2">
      <c r="A869" s="45"/>
      <c r="B869" s="43" t="str">
        <f t="shared" si="328"/>
        <v/>
      </c>
      <c r="C869" s="96" t="str">
        <f t="shared" si="327"/>
        <v/>
      </c>
      <c r="D869" s="44" t="str">
        <f t="shared" si="329"/>
        <v/>
      </c>
      <c r="E869" s="52"/>
      <c r="F869" s="63" t="str">
        <f t="shared" si="330"/>
        <v/>
      </c>
      <c r="G869" s="56" t="str">
        <f t="shared" si="331"/>
        <v/>
      </c>
      <c r="H869" s="42"/>
      <c r="I869" s="2" t="str">
        <f t="shared" si="332"/>
        <v/>
      </c>
      <c r="J869" s="54" t="str">
        <f t="shared" si="343"/>
        <v/>
      </c>
      <c r="K869" s="55" t="str">
        <f t="shared" si="333"/>
        <v/>
      </c>
      <c r="L869" s="63" t="str">
        <f t="shared" si="334"/>
        <v/>
      </c>
      <c r="M869" s="96" t="str">
        <f t="shared" si="344"/>
        <v/>
      </c>
      <c r="N869" s="96" t="str">
        <f>IF(A869="","",IF(A869=Expiry,0,EXP(-q*Q869)*_xlfn.NORM.S.DIST(Y869,0)/(sigma*SQRT(Q869))*I869*Mult/100))</f>
        <v/>
      </c>
      <c r="O869" s="96" t="str">
        <f>IF(A869="","",IF(A869=Expiry,0,D869*E869*E869*EXP(-q*Q869)*_xlfn.NORM.S.DIST(Y869,0)*SQRT(Q869)/100))</f>
        <v/>
      </c>
      <c r="P869" s="69" t="str">
        <f>IF(A869="","",IF(A869=Expiry,0,AK869*I869*Mult*((-EXP(-q*Q869)*E869*_xlfn.NORM.S.DIST(Y869,0)*sigma/(2*SQRT(Q869))-r_dom*K*EXP(-r_dom*Q869)*_xlfn.NORM.S.DIST(Z869,1)+q*E869*EXP(-q*Q869)*_xlfn.NORM.S.DIST(Y869,1))/365)))</f>
        <v/>
      </c>
      <c r="Q869" s="83" t="str">
        <f t="shared" si="335"/>
        <v/>
      </c>
      <c r="R869" s="38"/>
      <c r="S869" s="68" t="str">
        <f t="shared" si="336"/>
        <v/>
      </c>
      <c r="T869" s="69" t="str">
        <f t="shared" si="337"/>
        <v/>
      </c>
      <c r="U869" s="70" t="str">
        <f t="shared" si="338"/>
        <v/>
      </c>
      <c r="V869" s="72" t="str">
        <f t="shared" si="339"/>
        <v/>
      </c>
      <c r="W869" s="2" t="str">
        <f t="shared" ref="W869:W932" si="350">IF(A869="","",100)</f>
        <v/>
      </c>
      <c r="X869" s="2" t="str">
        <f t="shared" si="345"/>
        <v/>
      </c>
      <c r="Y869" s="35" t="str">
        <f t="shared" ca="1" si="340"/>
        <v/>
      </c>
      <c r="Z869" s="36" t="str">
        <f t="shared" ca="1" si="341"/>
        <v/>
      </c>
      <c r="AA869" s="70" t="str">
        <f t="shared" si="342"/>
        <v/>
      </c>
      <c r="AB869" s="2"/>
      <c r="AC869" s="94" t="str">
        <f t="shared" si="346"/>
        <v/>
      </c>
      <c r="AD869" s="95" t="str">
        <f t="shared" si="347"/>
        <v/>
      </c>
      <c r="AE869" s="96" t="str">
        <f t="shared" si="348"/>
        <v/>
      </c>
      <c r="AF869" s="124" t="str">
        <f t="shared" si="349"/>
        <v/>
      </c>
      <c r="AG869" s="2"/>
      <c r="AH869" s="2"/>
      <c r="AI869" s="2"/>
      <c r="AJ869" s="2"/>
      <c r="AK869" s="2"/>
      <c r="AL869" s="2"/>
    </row>
    <row r="870" spans="1:38" x14ac:dyDescent="0.2">
      <c r="A870" s="45"/>
      <c r="B870" s="43" t="str">
        <f t="shared" si="328"/>
        <v/>
      </c>
      <c r="C870" s="96" t="str">
        <f t="shared" ref="C870:C933" si="351">IF(A870="","",C869+B870)</f>
        <v/>
      </c>
      <c r="D870" s="44" t="str">
        <f t="shared" si="329"/>
        <v/>
      </c>
      <c r="E870" s="52"/>
      <c r="F870" s="63" t="str">
        <f t="shared" si="330"/>
        <v/>
      </c>
      <c r="G870" s="56" t="str">
        <f t="shared" si="331"/>
        <v/>
      </c>
      <c r="H870" s="42"/>
      <c r="I870" s="2" t="str">
        <f t="shared" si="332"/>
        <v/>
      </c>
      <c r="J870" s="54" t="str">
        <f t="shared" si="343"/>
        <v/>
      </c>
      <c r="K870" s="55" t="str">
        <f t="shared" si="333"/>
        <v/>
      </c>
      <c r="L870" s="63" t="str">
        <f t="shared" si="334"/>
        <v/>
      </c>
      <c r="M870" s="96" t="str">
        <f t="shared" si="344"/>
        <v/>
      </c>
      <c r="N870" s="96" t="str">
        <f>IF(A870="","",IF(A870=Expiry,0,EXP(-q*Q870)*_xlfn.NORM.S.DIST(Y870,0)/(sigma*SQRT(Q870))*I870*Mult/100))</f>
        <v/>
      </c>
      <c r="O870" s="96" t="str">
        <f>IF(A870="","",IF(A870=Expiry,0,D870*E870*E870*EXP(-q*Q870)*_xlfn.NORM.S.DIST(Y870,0)*SQRT(Q870)/100))</f>
        <v/>
      </c>
      <c r="P870" s="69" t="str">
        <f>IF(A870="","",IF(A870=Expiry,0,AK870*I870*Mult*((-EXP(-q*Q870)*E870*_xlfn.NORM.S.DIST(Y870,0)*sigma/(2*SQRT(Q870))-r_dom*K*EXP(-r_dom*Q870)*_xlfn.NORM.S.DIST(Z870,1)+q*E870*EXP(-q*Q870)*_xlfn.NORM.S.DIST(Y870,1))/365)))</f>
        <v/>
      </c>
      <c r="Q870" s="83" t="str">
        <f t="shared" si="335"/>
        <v/>
      </c>
      <c r="R870" s="38"/>
      <c r="S870" s="68" t="str">
        <f t="shared" si="336"/>
        <v/>
      </c>
      <c r="T870" s="69" t="str">
        <f t="shared" si="337"/>
        <v/>
      </c>
      <c r="U870" s="70" t="str">
        <f t="shared" si="338"/>
        <v/>
      </c>
      <c r="V870" s="72" t="str">
        <f t="shared" si="339"/>
        <v/>
      </c>
      <c r="W870" s="2" t="str">
        <f t="shared" si="350"/>
        <v/>
      </c>
      <c r="X870" s="2" t="str">
        <f t="shared" si="345"/>
        <v/>
      </c>
      <c r="Y870" s="35" t="str">
        <f t="shared" ca="1" si="340"/>
        <v/>
      </c>
      <c r="Z870" s="36" t="str">
        <f t="shared" ca="1" si="341"/>
        <v/>
      </c>
      <c r="AA870" s="70" t="str">
        <f t="shared" si="342"/>
        <v/>
      </c>
      <c r="AB870" s="2"/>
      <c r="AC870" s="94" t="str">
        <f t="shared" si="346"/>
        <v/>
      </c>
      <c r="AD870" s="95" t="str">
        <f t="shared" si="347"/>
        <v/>
      </c>
      <c r="AE870" s="96" t="str">
        <f t="shared" si="348"/>
        <v/>
      </c>
      <c r="AF870" s="124" t="str">
        <f t="shared" si="349"/>
        <v/>
      </c>
      <c r="AG870" s="2"/>
      <c r="AH870" s="2"/>
      <c r="AI870" s="2"/>
      <c r="AJ870" s="2"/>
      <c r="AK870" s="2"/>
      <c r="AL870" s="2"/>
    </row>
    <row r="871" spans="1:38" x14ac:dyDescent="0.2">
      <c r="A871" s="45"/>
      <c r="B871" s="43" t="str">
        <f t="shared" si="328"/>
        <v/>
      </c>
      <c r="C871" s="96" t="str">
        <f t="shared" si="351"/>
        <v/>
      </c>
      <c r="D871" s="44" t="str">
        <f t="shared" si="329"/>
        <v/>
      </c>
      <c r="E871" s="52"/>
      <c r="F871" s="63" t="str">
        <f t="shared" si="330"/>
        <v/>
      </c>
      <c r="G871" s="56" t="str">
        <f t="shared" si="331"/>
        <v/>
      </c>
      <c r="H871" s="42"/>
      <c r="I871" s="2" t="str">
        <f t="shared" si="332"/>
        <v/>
      </c>
      <c r="J871" s="54" t="str">
        <f t="shared" si="343"/>
        <v/>
      </c>
      <c r="K871" s="55" t="str">
        <f t="shared" si="333"/>
        <v/>
      </c>
      <c r="L871" s="63" t="str">
        <f t="shared" si="334"/>
        <v/>
      </c>
      <c r="M871" s="96" t="str">
        <f t="shared" si="344"/>
        <v/>
      </c>
      <c r="N871" s="96" t="str">
        <f>IF(A871="","",IF(A871=Expiry,0,EXP(-q*Q871)*_xlfn.NORM.S.DIST(Y871,0)/(sigma*SQRT(Q871))*I871*Mult/100))</f>
        <v/>
      </c>
      <c r="O871" s="96" t="str">
        <f>IF(A871="","",IF(A871=Expiry,0,D871*E871*E871*EXP(-q*Q871)*_xlfn.NORM.S.DIST(Y871,0)*SQRT(Q871)/100))</f>
        <v/>
      </c>
      <c r="P871" s="69" t="str">
        <f>IF(A871="","",IF(A871=Expiry,0,AK871*I871*Mult*((-EXP(-q*Q871)*E871*_xlfn.NORM.S.DIST(Y871,0)*sigma/(2*SQRT(Q871))-r_dom*K*EXP(-r_dom*Q871)*_xlfn.NORM.S.DIST(Z871,1)+q*E871*EXP(-q*Q871)*_xlfn.NORM.S.DIST(Y871,1))/365)))</f>
        <v/>
      </c>
      <c r="Q871" s="83" t="str">
        <f t="shared" si="335"/>
        <v/>
      </c>
      <c r="R871" s="38"/>
      <c r="S871" s="68" t="str">
        <f t="shared" si="336"/>
        <v/>
      </c>
      <c r="T871" s="69" t="str">
        <f t="shared" si="337"/>
        <v/>
      </c>
      <c r="U871" s="70" t="str">
        <f t="shared" si="338"/>
        <v/>
      </c>
      <c r="V871" s="72" t="str">
        <f t="shared" si="339"/>
        <v/>
      </c>
      <c r="W871" s="2" t="str">
        <f t="shared" si="350"/>
        <v/>
      </c>
      <c r="X871" s="2" t="str">
        <f t="shared" si="345"/>
        <v/>
      </c>
      <c r="Y871" s="35" t="str">
        <f t="shared" ca="1" si="340"/>
        <v/>
      </c>
      <c r="Z871" s="36" t="str">
        <f t="shared" ca="1" si="341"/>
        <v/>
      </c>
      <c r="AA871" s="70" t="str">
        <f t="shared" si="342"/>
        <v/>
      </c>
      <c r="AB871" s="2"/>
      <c r="AC871" s="94" t="str">
        <f t="shared" si="346"/>
        <v/>
      </c>
      <c r="AD871" s="95" t="str">
        <f t="shared" si="347"/>
        <v/>
      </c>
      <c r="AE871" s="96" t="str">
        <f t="shared" si="348"/>
        <v/>
      </c>
      <c r="AF871" s="124" t="str">
        <f t="shared" si="349"/>
        <v/>
      </c>
      <c r="AG871" s="2"/>
      <c r="AH871" s="2"/>
      <c r="AI871" s="2"/>
      <c r="AJ871" s="2"/>
      <c r="AK871" s="2"/>
      <c r="AL871" s="2"/>
    </row>
    <row r="872" spans="1:38" x14ac:dyDescent="0.2">
      <c r="A872" s="45"/>
      <c r="B872" s="43" t="str">
        <f t="shared" si="328"/>
        <v/>
      </c>
      <c r="C872" s="96" t="str">
        <f t="shared" si="351"/>
        <v/>
      </c>
      <c r="D872" s="44" t="str">
        <f t="shared" si="329"/>
        <v/>
      </c>
      <c r="E872" s="52"/>
      <c r="F872" s="63" t="str">
        <f t="shared" si="330"/>
        <v/>
      </c>
      <c r="G872" s="56" t="str">
        <f t="shared" si="331"/>
        <v/>
      </c>
      <c r="H872" s="42"/>
      <c r="I872" s="2" t="str">
        <f t="shared" si="332"/>
        <v/>
      </c>
      <c r="J872" s="54" t="str">
        <f t="shared" si="343"/>
        <v/>
      </c>
      <c r="K872" s="55" t="str">
        <f t="shared" si="333"/>
        <v/>
      </c>
      <c r="L872" s="63" t="str">
        <f t="shared" si="334"/>
        <v/>
      </c>
      <c r="M872" s="96" t="str">
        <f t="shared" si="344"/>
        <v/>
      </c>
      <c r="N872" s="96" t="str">
        <f>IF(A872="","",IF(A872=Expiry,0,EXP(-q*Q872)*_xlfn.NORM.S.DIST(Y872,0)/(sigma*SQRT(Q872))*I872*Mult/100))</f>
        <v/>
      </c>
      <c r="O872" s="96" t="str">
        <f>IF(A872="","",IF(A872=Expiry,0,D872*E872*E872*EXP(-q*Q872)*_xlfn.NORM.S.DIST(Y872,0)*SQRT(Q872)/100))</f>
        <v/>
      </c>
      <c r="P872" s="69" t="str">
        <f>IF(A872="","",IF(A872=Expiry,0,AK872*I872*Mult*((-EXP(-q*Q872)*E872*_xlfn.NORM.S.DIST(Y872,0)*sigma/(2*SQRT(Q872))-r_dom*K*EXP(-r_dom*Q872)*_xlfn.NORM.S.DIST(Z872,1)+q*E872*EXP(-q*Q872)*_xlfn.NORM.S.DIST(Y872,1))/365)))</f>
        <v/>
      </c>
      <c r="Q872" s="83" t="str">
        <f t="shared" si="335"/>
        <v/>
      </c>
      <c r="R872" s="38"/>
      <c r="S872" s="68" t="str">
        <f t="shared" si="336"/>
        <v/>
      </c>
      <c r="T872" s="69" t="str">
        <f t="shared" si="337"/>
        <v/>
      </c>
      <c r="U872" s="70" t="str">
        <f t="shared" si="338"/>
        <v/>
      </c>
      <c r="V872" s="72" t="str">
        <f t="shared" si="339"/>
        <v/>
      </c>
      <c r="W872" s="2" t="str">
        <f t="shared" si="350"/>
        <v/>
      </c>
      <c r="X872" s="2" t="str">
        <f t="shared" si="345"/>
        <v/>
      </c>
      <c r="Y872" s="35" t="str">
        <f t="shared" ca="1" si="340"/>
        <v/>
      </c>
      <c r="Z872" s="36" t="str">
        <f t="shared" ca="1" si="341"/>
        <v/>
      </c>
      <c r="AA872" s="70" t="str">
        <f t="shared" si="342"/>
        <v/>
      </c>
      <c r="AB872" s="2"/>
      <c r="AC872" s="94" t="str">
        <f t="shared" si="346"/>
        <v/>
      </c>
      <c r="AD872" s="95" t="str">
        <f t="shared" si="347"/>
        <v/>
      </c>
      <c r="AE872" s="96" t="str">
        <f t="shared" si="348"/>
        <v/>
      </c>
      <c r="AF872" s="124" t="str">
        <f t="shared" si="349"/>
        <v/>
      </c>
      <c r="AG872" s="2"/>
      <c r="AH872" s="2"/>
      <c r="AI872" s="2"/>
      <c r="AJ872" s="2"/>
      <c r="AK872" s="2"/>
      <c r="AL872" s="2"/>
    </row>
    <row r="873" spans="1:38" x14ac:dyDescent="0.2">
      <c r="A873" s="45"/>
      <c r="B873" s="43" t="str">
        <f t="shared" si="328"/>
        <v/>
      </c>
      <c r="C873" s="96" t="str">
        <f t="shared" si="351"/>
        <v/>
      </c>
      <c r="D873" s="44" t="str">
        <f t="shared" si="329"/>
        <v/>
      </c>
      <c r="E873" s="52"/>
      <c r="F873" s="63" t="str">
        <f t="shared" si="330"/>
        <v/>
      </c>
      <c r="G873" s="56" t="str">
        <f t="shared" si="331"/>
        <v/>
      </c>
      <c r="H873" s="42"/>
      <c r="I873" s="2" t="str">
        <f t="shared" si="332"/>
        <v/>
      </c>
      <c r="J873" s="54" t="str">
        <f t="shared" si="343"/>
        <v/>
      </c>
      <c r="K873" s="55" t="str">
        <f t="shared" si="333"/>
        <v/>
      </c>
      <c r="L873" s="63" t="str">
        <f t="shared" si="334"/>
        <v/>
      </c>
      <c r="M873" s="96" t="str">
        <f t="shared" si="344"/>
        <v/>
      </c>
      <c r="N873" s="96" t="str">
        <f>IF(A873="","",IF(A873=Expiry,0,EXP(-q*Q873)*_xlfn.NORM.S.DIST(Y873,0)/(sigma*SQRT(Q873))*I873*Mult/100))</f>
        <v/>
      </c>
      <c r="O873" s="96" t="str">
        <f>IF(A873="","",IF(A873=Expiry,0,D873*E873*E873*EXP(-q*Q873)*_xlfn.NORM.S.DIST(Y873,0)*SQRT(Q873)/100))</f>
        <v/>
      </c>
      <c r="P873" s="69" t="str">
        <f>IF(A873="","",IF(A873=Expiry,0,AK873*I873*Mult*((-EXP(-q*Q873)*E873*_xlfn.NORM.S.DIST(Y873,0)*sigma/(2*SQRT(Q873))-r_dom*K*EXP(-r_dom*Q873)*_xlfn.NORM.S.DIST(Z873,1)+q*E873*EXP(-q*Q873)*_xlfn.NORM.S.DIST(Y873,1))/365)))</f>
        <v/>
      </c>
      <c r="Q873" s="83" t="str">
        <f t="shared" si="335"/>
        <v/>
      </c>
      <c r="R873" s="38"/>
      <c r="S873" s="68" t="str">
        <f t="shared" si="336"/>
        <v/>
      </c>
      <c r="T873" s="69" t="str">
        <f t="shared" si="337"/>
        <v/>
      </c>
      <c r="U873" s="70" t="str">
        <f t="shared" si="338"/>
        <v/>
      </c>
      <c r="V873" s="72" t="str">
        <f t="shared" si="339"/>
        <v/>
      </c>
      <c r="W873" s="2" t="str">
        <f t="shared" si="350"/>
        <v/>
      </c>
      <c r="X873" s="2" t="str">
        <f t="shared" si="345"/>
        <v/>
      </c>
      <c r="Y873" s="35" t="str">
        <f t="shared" ca="1" si="340"/>
        <v/>
      </c>
      <c r="Z873" s="36" t="str">
        <f t="shared" ca="1" si="341"/>
        <v/>
      </c>
      <c r="AA873" s="70" t="str">
        <f t="shared" si="342"/>
        <v/>
      </c>
      <c r="AB873" s="2"/>
      <c r="AC873" s="94" t="str">
        <f t="shared" si="346"/>
        <v/>
      </c>
      <c r="AD873" s="95" t="str">
        <f t="shared" si="347"/>
        <v/>
      </c>
      <c r="AE873" s="96" t="str">
        <f t="shared" si="348"/>
        <v/>
      </c>
      <c r="AF873" s="124" t="str">
        <f t="shared" si="349"/>
        <v/>
      </c>
      <c r="AG873" s="2"/>
      <c r="AH873" s="2"/>
      <c r="AI873" s="2"/>
      <c r="AJ873" s="2"/>
      <c r="AK873" s="2"/>
      <c r="AL873" s="2"/>
    </row>
    <row r="874" spans="1:38" x14ac:dyDescent="0.2">
      <c r="A874" s="45"/>
      <c r="B874" s="43" t="str">
        <f t="shared" si="328"/>
        <v/>
      </c>
      <c r="C874" s="96" t="str">
        <f t="shared" si="351"/>
        <v/>
      </c>
      <c r="D874" s="44" t="str">
        <f t="shared" si="329"/>
        <v/>
      </c>
      <c r="E874" s="52"/>
      <c r="F874" s="63" t="str">
        <f t="shared" si="330"/>
        <v/>
      </c>
      <c r="G874" s="56" t="str">
        <f t="shared" si="331"/>
        <v/>
      </c>
      <c r="H874" s="42"/>
      <c r="I874" s="2" t="str">
        <f t="shared" si="332"/>
        <v/>
      </c>
      <c r="J874" s="54" t="str">
        <f t="shared" si="343"/>
        <v/>
      </c>
      <c r="K874" s="55" t="str">
        <f t="shared" si="333"/>
        <v/>
      </c>
      <c r="L874" s="63" t="str">
        <f t="shared" si="334"/>
        <v/>
      </c>
      <c r="M874" s="96" t="str">
        <f t="shared" si="344"/>
        <v/>
      </c>
      <c r="N874" s="96" t="str">
        <f>IF(A874="","",IF(A874=Expiry,0,EXP(-q*Q874)*_xlfn.NORM.S.DIST(Y874,0)/(sigma*SQRT(Q874))*I874*Mult/100))</f>
        <v/>
      </c>
      <c r="O874" s="96" t="str">
        <f>IF(A874="","",IF(A874=Expiry,0,D874*E874*E874*EXP(-q*Q874)*_xlfn.NORM.S.DIST(Y874,0)*SQRT(Q874)/100))</f>
        <v/>
      </c>
      <c r="P874" s="69" t="str">
        <f>IF(A874="","",IF(A874=Expiry,0,AK874*I874*Mult*((-EXP(-q*Q874)*E874*_xlfn.NORM.S.DIST(Y874,0)*sigma/(2*SQRT(Q874))-r_dom*K*EXP(-r_dom*Q874)*_xlfn.NORM.S.DIST(Z874,1)+q*E874*EXP(-q*Q874)*_xlfn.NORM.S.DIST(Y874,1))/365)))</f>
        <v/>
      </c>
      <c r="Q874" s="83" t="str">
        <f t="shared" si="335"/>
        <v/>
      </c>
      <c r="R874" s="38"/>
      <c r="S874" s="68" t="str">
        <f t="shared" si="336"/>
        <v/>
      </c>
      <c r="T874" s="69" t="str">
        <f t="shared" si="337"/>
        <v/>
      </c>
      <c r="U874" s="70" t="str">
        <f t="shared" si="338"/>
        <v/>
      </c>
      <c r="V874" s="72" t="str">
        <f t="shared" si="339"/>
        <v/>
      </c>
      <c r="W874" s="2" t="str">
        <f t="shared" si="350"/>
        <v/>
      </c>
      <c r="X874" s="2" t="str">
        <f t="shared" si="345"/>
        <v/>
      </c>
      <c r="Y874" s="35" t="str">
        <f t="shared" ca="1" si="340"/>
        <v/>
      </c>
      <c r="Z874" s="36" t="str">
        <f t="shared" ca="1" si="341"/>
        <v/>
      </c>
      <c r="AA874" s="70" t="str">
        <f t="shared" si="342"/>
        <v/>
      </c>
      <c r="AB874" s="2"/>
      <c r="AC874" s="94" t="str">
        <f t="shared" si="346"/>
        <v/>
      </c>
      <c r="AD874" s="95" t="str">
        <f t="shared" si="347"/>
        <v/>
      </c>
      <c r="AE874" s="96" t="str">
        <f t="shared" si="348"/>
        <v/>
      </c>
      <c r="AF874" s="124" t="str">
        <f t="shared" si="349"/>
        <v/>
      </c>
      <c r="AG874" s="2"/>
      <c r="AH874" s="2"/>
      <c r="AI874" s="2"/>
      <c r="AJ874" s="2"/>
      <c r="AK874" s="2"/>
      <c r="AL874" s="2"/>
    </row>
    <row r="875" spans="1:38" x14ac:dyDescent="0.2">
      <c r="A875" s="45"/>
      <c r="B875" s="43" t="str">
        <f t="shared" si="328"/>
        <v/>
      </c>
      <c r="C875" s="96" t="str">
        <f t="shared" si="351"/>
        <v/>
      </c>
      <c r="D875" s="44" t="str">
        <f t="shared" si="329"/>
        <v/>
      </c>
      <c r="E875" s="52"/>
      <c r="F875" s="63" t="str">
        <f t="shared" si="330"/>
        <v/>
      </c>
      <c r="G875" s="56" t="str">
        <f t="shared" si="331"/>
        <v/>
      </c>
      <c r="H875" s="42"/>
      <c r="I875" s="2" t="str">
        <f t="shared" si="332"/>
        <v/>
      </c>
      <c r="J875" s="54" t="str">
        <f t="shared" si="343"/>
        <v/>
      </c>
      <c r="K875" s="55" t="str">
        <f t="shared" si="333"/>
        <v/>
      </c>
      <c r="L875" s="63" t="str">
        <f t="shared" si="334"/>
        <v/>
      </c>
      <c r="M875" s="96" t="str">
        <f t="shared" si="344"/>
        <v/>
      </c>
      <c r="N875" s="96" t="str">
        <f>IF(A875="","",IF(A875=Expiry,0,EXP(-q*Q875)*_xlfn.NORM.S.DIST(Y875,0)/(sigma*SQRT(Q875))*I875*Mult/100))</f>
        <v/>
      </c>
      <c r="O875" s="96" t="str">
        <f>IF(A875="","",IF(A875=Expiry,0,D875*E875*E875*EXP(-q*Q875)*_xlfn.NORM.S.DIST(Y875,0)*SQRT(Q875)/100))</f>
        <v/>
      </c>
      <c r="P875" s="69" t="str">
        <f>IF(A875="","",IF(A875=Expiry,0,AK875*I875*Mult*((-EXP(-q*Q875)*E875*_xlfn.NORM.S.DIST(Y875,0)*sigma/(2*SQRT(Q875))-r_dom*K*EXP(-r_dom*Q875)*_xlfn.NORM.S.DIST(Z875,1)+q*E875*EXP(-q*Q875)*_xlfn.NORM.S.DIST(Y875,1))/365)))</f>
        <v/>
      </c>
      <c r="Q875" s="83" t="str">
        <f t="shared" si="335"/>
        <v/>
      </c>
      <c r="R875" s="38"/>
      <c r="S875" s="68" t="str">
        <f t="shared" si="336"/>
        <v/>
      </c>
      <c r="T875" s="69" t="str">
        <f t="shared" si="337"/>
        <v/>
      </c>
      <c r="U875" s="70" t="str">
        <f t="shared" si="338"/>
        <v/>
      </c>
      <c r="V875" s="72" t="str">
        <f t="shared" si="339"/>
        <v/>
      </c>
      <c r="W875" s="2" t="str">
        <f t="shared" si="350"/>
        <v/>
      </c>
      <c r="X875" s="2" t="str">
        <f t="shared" si="345"/>
        <v/>
      </c>
      <c r="Y875" s="35" t="str">
        <f t="shared" ca="1" si="340"/>
        <v/>
      </c>
      <c r="Z875" s="36" t="str">
        <f t="shared" ca="1" si="341"/>
        <v/>
      </c>
      <c r="AA875" s="70" t="str">
        <f t="shared" si="342"/>
        <v/>
      </c>
      <c r="AB875" s="2"/>
      <c r="AC875" s="94" t="str">
        <f t="shared" si="346"/>
        <v/>
      </c>
      <c r="AD875" s="95" t="str">
        <f t="shared" si="347"/>
        <v/>
      </c>
      <c r="AE875" s="96" t="str">
        <f t="shared" si="348"/>
        <v/>
      </c>
      <c r="AF875" s="124" t="str">
        <f t="shared" si="349"/>
        <v/>
      </c>
      <c r="AG875" s="2"/>
      <c r="AH875" s="2"/>
      <c r="AI875" s="2"/>
      <c r="AJ875" s="2"/>
      <c r="AK875" s="2"/>
      <c r="AL875" s="2"/>
    </row>
    <row r="876" spans="1:38" x14ac:dyDescent="0.2">
      <c r="A876" s="45"/>
      <c r="B876" s="43" t="str">
        <f t="shared" si="328"/>
        <v/>
      </c>
      <c r="C876" s="96" t="str">
        <f t="shared" si="351"/>
        <v/>
      </c>
      <c r="D876" s="44" t="str">
        <f t="shared" si="329"/>
        <v/>
      </c>
      <c r="E876" s="52"/>
      <c r="F876" s="63" t="str">
        <f t="shared" si="330"/>
        <v/>
      </c>
      <c r="G876" s="56" t="str">
        <f t="shared" si="331"/>
        <v/>
      </c>
      <c r="H876" s="42"/>
      <c r="I876" s="2" t="str">
        <f t="shared" si="332"/>
        <v/>
      </c>
      <c r="J876" s="54" t="str">
        <f t="shared" si="343"/>
        <v/>
      </c>
      <c r="K876" s="55" t="str">
        <f t="shared" si="333"/>
        <v/>
      </c>
      <c r="L876" s="63" t="str">
        <f t="shared" si="334"/>
        <v/>
      </c>
      <c r="M876" s="96" t="str">
        <f t="shared" si="344"/>
        <v/>
      </c>
      <c r="N876" s="96" t="str">
        <f>IF(A876="","",IF(A876=Expiry,0,EXP(-q*Q876)*_xlfn.NORM.S.DIST(Y876,0)/(sigma*SQRT(Q876))*I876*Mult/100))</f>
        <v/>
      </c>
      <c r="O876" s="96" t="str">
        <f>IF(A876="","",IF(A876=Expiry,0,D876*E876*E876*EXP(-q*Q876)*_xlfn.NORM.S.DIST(Y876,0)*SQRT(Q876)/100))</f>
        <v/>
      </c>
      <c r="P876" s="69" t="str">
        <f>IF(A876="","",IF(A876=Expiry,0,AK876*I876*Mult*((-EXP(-q*Q876)*E876*_xlfn.NORM.S.DIST(Y876,0)*sigma/(2*SQRT(Q876))-r_dom*K*EXP(-r_dom*Q876)*_xlfn.NORM.S.DIST(Z876,1)+q*E876*EXP(-q*Q876)*_xlfn.NORM.S.DIST(Y876,1))/365)))</f>
        <v/>
      </c>
      <c r="Q876" s="83" t="str">
        <f t="shared" si="335"/>
        <v/>
      </c>
      <c r="R876" s="38"/>
      <c r="S876" s="68" t="str">
        <f t="shared" si="336"/>
        <v/>
      </c>
      <c r="T876" s="69" t="str">
        <f t="shared" si="337"/>
        <v/>
      </c>
      <c r="U876" s="70" t="str">
        <f t="shared" si="338"/>
        <v/>
      </c>
      <c r="V876" s="72" t="str">
        <f t="shared" si="339"/>
        <v/>
      </c>
      <c r="W876" s="2" t="str">
        <f t="shared" si="350"/>
        <v/>
      </c>
      <c r="X876" s="2" t="str">
        <f t="shared" si="345"/>
        <v/>
      </c>
      <c r="Y876" s="35" t="str">
        <f t="shared" ca="1" si="340"/>
        <v/>
      </c>
      <c r="Z876" s="36" t="str">
        <f t="shared" ca="1" si="341"/>
        <v/>
      </c>
      <c r="AA876" s="70" t="str">
        <f t="shared" si="342"/>
        <v/>
      </c>
      <c r="AB876" s="2"/>
      <c r="AC876" s="94" t="str">
        <f t="shared" si="346"/>
        <v/>
      </c>
      <c r="AD876" s="95" t="str">
        <f t="shared" si="347"/>
        <v/>
      </c>
      <c r="AE876" s="96" t="str">
        <f t="shared" si="348"/>
        <v/>
      </c>
      <c r="AF876" s="124" t="str">
        <f t="shared" si="349"/>
        <v/>
      </c>
      <c r="AG876" s="2"/>
      <c r="AH876" s="2"/>
      <c r="AI876" s="2"/>
      <c r="AJ876" s="2"/>
      <c r="AK876" s="2"/>
      <c r="AL876" s="2"/>
    </row>
    <row r="877" spans="1:38" x14ac:dyDescent="0.2">
      <c r="A877" s="45"/>
      <c r="B877" s="43" t="str">
        <f t="shared" si="328"/>
        <v/>
      </c>
      <c r="C877" s="96" t="str">
        <f t="shared" si="351"/>
        <v/>
      </c>
      <c r="D877" s="44" t="str">
        <f t="shared" si="329"/>
        <v/>
      </c>
      <c r="E877" s="52"/>
      <c r="F877" s="63" t="str">
        <f t="shared" si="330"/>
        <v/>
      </c>
      <c r="G877" s="56" t="str">
        <f t="shared" si="331"/>
        <v/>
      </c>
      <c r="H877" s="42"/>
      <c r="I877" s="2" t="str">
        <f t="shared" si="332"/>
        <v/>
      </c>
      <c r="J877" s="54" t="str">
        <f t="shared" si="343"/>
        <v/>
      </c>
      <c r="K877" s="55" t="str">
        <f t="shared" si="333"/>
        <v/>
      </c>
      <c r="L877" s="63" t="str">
        <f t="shared" si="334"/>
        <v/>
      </c>
      <c r="M877" s="96" t="str">
        <f t="shared" si="344"/>
        <v/>
      </c>
      <c r="N877" s="96" t="str">
        <f>IF(A877="","",IF(A877=Expiry,0,EXP(-q*Q877)*_xlfn.NORM.S.DIST(Y877,0)/(sigma*SQRT(Q877))*I877*Mult/100))</f>
        <v/>
      </c>
      <c r="O877" s="96" t="str">
        <f>IF(A877="","",IF(A877=Expiry,0,D877*E877*E877*EXP(-q*Q877)*_xlfn.NORM.S.DIST(Y877,0)*SQRT(Q877)/100))</f>
        <v/>
      </c>
      <c r="P877" s="69" t="str">
        <f>IF(A877="","",IF(A877=Expiry,0,AK877*I877*Mult*((-EXP(-q*Q877)*E877*_xlfn.NORM.S.DIST(Y877,0)*sigma/(2*SQRT(Q877))-r_dom*K*EXP(-r_dom*Q877)*_xlfn.NORM.S.DIST(Z877,1)+q*E877*EXP(-q*Q877)*_xlfn.NORM.S.DIST(Y877,1))/365)))</f>
        <v/>
      </c>
      <c r="Q877" s="83" t="str">
        <f t="shared" si="335"/>
        <v/>
      </c>
      <c r="R877" s="38"/>
      <c r="S877" s="68" t="str">
        <f t="shared" si="336"/>
        <v/>
      </c>
      <c r="T877" s="69" t="str">
        <f t="shared" si="337"/>
        <v/>
      </c>
      <c r="U877" s="70" t="str">
        <f t="shared" si="338"/>
        <v/>
      </c>
      <c r="V877" s="72" t="str">
        <f t="shared" si="339"/>
        <v/>
      </c>
      <c r="W877" s="2" t="str">
        <f t="shared" si="350"/>
        <v/>
      </c>
      <c r="X877" s="2" t="str">
        <f t="shared" si="345"/>
        <v/>
      </c>
      <c r="Y877" s="35" t="str">
        <f t="shared" ca="1" si="340"/>
        <v/>
      </c>
      <c r="Z877" s="36" t="str">
        <f t="shared" ca="1" si="341"/>
        <v/>
      </c>
      <c r="AA877" s="70" t="str">
        <f t="shared" si="342"/>
        <v/>
      </c>
      <c r="AB877" s="2"/>
      <c r="AC877" s="94" t="str">
        <f t="shared" si="346"/>
        <v/>
      </c>
      <c r="AD877" s="95" t="str">
        <f t="shared" si="347"/>
        <v/>
      </c>
      <c r="AE877" s="96" t="str">
        <f t="shared" si="348"/>
        <v/>
      </c>
      <c r="AF877" s="124" t="str">
        <f t="shared" si="349"/>
        <v/>
      </c>
      <c r="AG877" s="2"/>
      <c r="AH877" s="2"/>
      <c r="AI877" s="2"/>
      <c r="AJ877" s="2"/>
      <c r="AK877" s="2"/>
      <c r="AL877" s="2"/>
    </row>
    <row r="878" spans="1:38" x14ac:dyDescent="0.2">
      <c r="A878" s="45"/>
      <c r="B878" s="43" t="str">
        <f t="shared" si="328"/>
        <v/>
      </c>
      <c r="C878" s="96" t="str">
        <f t="shared" si="351"/>
        <v/>
      </c>
      <c r="D878" s="44" t="str">
        <f t="shared" si="329"/>
        <v/>
      </c>
      <c r="E878" s="52"/>
      <c r="F878" s="63" t="str">
        <f t="shared" si="330"/>
        <v/>
      </c>
      <c r="G878" s="56" t="str">
        <f t="shared" si="331"/>
        <v/>
      </c>
      <c r="H878" s="42"/>
      <c r="I878" s="2" t="str">
        <f t="shared" si="332"/>
        <v/>
      </c>
      <c r="J878" s="54" t="str">
        <f t="shared" si="343"/>
        <v/>
      </c>
      <c r="K878" s="55" t="str">
        <f t="shared" si="333"/>
        <v/>
      </c>
      <c r="L878" s="63" t="str">
        <f t="shared" si="334"/>
        <v/>
      </c>
      <c r="M878" s="96" t="str">
        <f t="shared" si="344"/>
        <v/>
      </c>
      <c r="N878" s="96" t="str">
        <f>IF(A878="","",IF(A878=Expiry,0,EXP(-q*Q878)*_xlfn.NORM.S.DIST(Y878,0)/(sigma*SQRT(Q878))*I878*Mult/100))</f>
        <v/>
      </c>
      <c r="O878" s="96" t="str">
        <f>IF(A878="","",IF(A878=Expiry,0,D878*E878*E878*EXP(-q*Q878)*_xlfn.NORM.S.DIST(Y878,0)*SQRT(Q878)/100))</f>
        <v/>
      </c>
      <c r="P878" s="69" t="str">
        <f>IF(A878="","",IF(A878=Expiry,0,AK878*I878*Mult*((-EXP(-q*Q878)*E878*_xlfn.NORM.S.DIST(Y878,0)*sigma/(2*SQRT(Q878))-r_dom*K*EXP(-r_dom*Q878)*_xlfn.NORM.S.DIST(Z878,1)+q*E878*EXP(-q*Q878)*_xlfn.NORM.S.DIST(Y878,1))/365)))</f>
        <v/>
      </c>
      <c r="Q878" s="83" t="str">
        <f t="shared" si="335"/>
        <v/>
      </c>
      <c r="R878" s="38"/>
      <c r="S878" s="68" t="str">
        <f t="shared" si="336"/>
        <v/>
      </c>
      <c r="T878" s="69" t="str">
        <f t="shared" si="337"/>
        <v/>
      </c>
      <c r="U878" s="70" t="str">
        <f t="shared" si="338"/>
        <v/>
      </c>
      <c r="V878" s="72" t="str">
        <f t="shared" si="339"/>
        <v/>
      </c>
      <c r="W878" s="2" t="str">
        <f t="shared" si="350"/>
        <v/>
      </c>
      <c r="X878" s="2" t="str">
        <f t="shared" si="345"/>
        <v/>
      </c>
      <c r="Y878" s="35" t="str">
        <f t="shared" ca="1" si="340"/>
        <v/>
      </c>
      <c r="Z878" s="36" t="str">
        <f t="shared" ca="1" si="341"/>
        <v/>
      </c>
      <c r="AA878" s="70" t="str">
        <f t="shared" si="342"/>
        <v/>
      </c>
      <c r="AB878" s="2"/>
      <c r="AC878" s="94" t="str">
        <f t="shared" si="346"/>
        <v/>
      </c>
      <c r="AD878" s="95" t="str">
        <f t="shared" si="347"/>
        <v/>
      </c>
      <c r="AE878" s="96" t="str">
        <f t="shared" si="348"/>
        <v/>
      </c>
      <c r="AF878" s="124" t="str">
        <f t="shared" si="349"/>
        <v/>
      </c>
      <c r="AG878" s="2"/>
      <c r="AH878" s="2"/>
      <c r="AI878" s="2"/>
      <c r="AJ878" s="2"/>
      <c r="AK878" s="2"/>
      <c r="AL878" s="2"/>
    </row>
    <row r="879" spans="1:38" x14ac:dyDescent="0.2">
      <c r="A879" s="45"/>
      <c r="B879" s="43" t="str">
        <f t="shared" si="328"/>
        <v/>
      </c>
      <c r="C879" s="96" t="str">
        <f t="shared" si="351"/>
        <v/>
      </c>
      <c r="D879" s="44" t="str">
        <f t="shared" si="329"/>
        <v/>
      </c>
      <c r="E879" s="52"/>
      <c r="F879" s="63" t="str">
        <f t="shared" si="330"/>
        <v/>
      </c>
      <c r="G879" s="56" t="str">
        <f t="shared" si="331"/>
        <v/>
      </c>
      <c r="H879" s="42"/>
      <c r="I879" s="2" t="str">
        <f t="shared" si="332"/>
        <v/>
      </c>
      <c r="J879" s="54" t="str">
        <f t="shared" si="343"/>
        <v/>
      </c>
      <c r="K879" s="55" t="str">
        <f t="shared" si="333"/>
        <v/>
      </c>
      <c r="L879" s="63" t="str">
        <f t="shared" si="334"/>
        <v/>
      </c>
      <c r="M879" s="96" t="str">
        <f t="shared" si="344"/>
        <v/>
      </c>
      <c r="N879" s="96" t="str">
        <f>IF(A879="","",IF(A879=Expiry,0,EXP(-q*Q879)*_xlfn.NORM.S.DIST(Y879,0)/(sigma*SQRT(Q879))*I879*Mult/100))</f>
        <v/>
      </c>
      <c r="O879" s="96" t="str">
        <f>IF(A879="","",IF(A879=Expiry,0,D879*E879*E879*EXP(-q*Q879)*_xlfn.NORM.S.DIST(Y879,0)*SQRT(Q879)/100))</f>
        <v/>
      </c>
      <c r="P879" s="69" t="str">
        <f>IF(A879="","",IF(A879=Expiry,0,AK879*I879*Mult*((-EXP(-q*Q879)*E879*_xlfn.NORM.S.DIST(Y879,0)*sigma/(2*SQRT(Q879))-r_dom*K*EXP(-r_dom*Q879)*_xlfn.NORM.S.DIST(Z879,1)+q*E879*EXP(-q*Q879)*_xlfn.NORM.S.DIST(Y879,1))/365)))</f>
        <v/>
      </c>
      <c r="Q879" s="83" t="str">
        <f t="shared" si="335"/>
        <v/>
      </c>
      <c r="R879" s="38"/>
      <c r="S879" s="68" t="str">
        <f t="shared" si="336"/>
        <v/>
      </c>
      <c r="T879" s="69" t="str">
        <f t="shared" si="337"/>
        <v/>
      </c>
      <c r="U879" s="70" t="str">
        <f t="shared" si="338"/>
        <v/>
      </c>
      <c r="V879" s="72" t="str">
        <f t="shared" si="339"/>
        <v/>
      </c>
      <c r="W879" s="2" t="str">
        <f t="shared" si="350"/>
        <v/>
      </c>
      <c r="X879" s="2" t="str">
        <f t="shared" si="345"/>
        <v/>
      </c>
      <c r="Y879" s="35" t="str">
        <f t="shared" ca="1" si="340"/>
        <v/>
      </c>
      <c r="Z879" s="36" t="str">
        <f t="shared" ca="1" si="341"/>
        <v/>
      </c>
      <c r="AA879" s="70" t="str">
        <f t="shared" si="342"/>
        <v/>
      </c>
      <c r="AB879" s="2"/>
      <c r="AC879" s="94" t="str">
        <f t="shared" si="346"/>
        <v/>
      </c>
      <c r="AD879" s="95" t="str">
        <f t="shared" si="347"/>
        <v/>
      </c>
      <c r="AE879" s="96" t="str">
        <f t="shared" si="348"/>
        <v/>
      </c>
      <c r="AF879" s="124" t="str">
        <f t="shared" si="349"/>
        <v/>
      </c>
      <c r="AG879" s="2"/>
      <c r="AH879" s="2"/>
      <c r="AI879" s="2"/>
      <c r="AJ879" s="2"/>
      <c r="AK879" s="2"/>
      <c r="AL879" s="2"/>
    </row>
    <row r="880" spans="1:38" x14ac:dyDescent="0.2">
      <c r="A880" s="45"/>
      <c r="B880" s="43" t="str">
        <f t="shared" si="328"/>
        <v/>
      </c>
      <c r="C880" s="96" t="str">
        <f t="shared" si="351"/>
        <v/>
      </c>
      <c r="D880" s="44" t="str">
        <f t="shared" si="329"/>
        <v/>
      </c>
      <c r="E880" s="52"/>
      <c r="F880" s="63" t="str">
        <f t="shared" si="330"/>
        <v/>
      </c>
      <c r="G880" s="56" t="str">
        <f t="shared" si="331"/>
        <v/>
      </c>
      <c r="H880" s="42"/>
      <c r="I880" s="2" t="str">
        <f t="shared" si="332"/>
        <v/>
      </c>
      <c r="J880" s="54" t="str">
        <f t="shared" si="343"/>
        <v/>
      </c>
      <c r="K880" s="55" t="str">
        <f t="shared" si="333"/>
        <v/>
      </c>
      <c r="L880" s="63" t="str">
        <f t="shared" si="334"/>
        <v/>
      </c>
      <c r="M880" s="96" t="str">
        <f t="shared" si="344"/>
        <v/>
      </c>
      <c r="N880" s="96" t="str">
        <f>IF(A880="","",IF(A880=Expiry,0,EXP(-q*Q880)*_xlfn.NORM.S.DIST(Y880,0)/(sigma*SQRT(Q880))*I880*Mult/100))</f>
        <v/>
      </c>
      <c r="O880" s="96" t="str">
        <f>IF(A880="","",IF(A880=Expiry,0,D880*E880*E880*EXP(-q*Q880)*_xlfn.NORM.S.DIST(Y880,0)*SQRT(Q880)/100))</f>
        <v/>
      </c>
      <c r="P880" s="69" t="str">
        <f>IF(A880="","",IF(A880=Expiry,0,AK880*I880*Mult*((-EXP(-q*Q880)*E880*_xlfn.NORM.S.DIST(Y880,0)*sigma/(2*SQRT(Q880))-r_dom*K*EXP(-r_dom*Q880)*_xlfn.NORM.S.DIST(Z880,1)+q*E880*EXP(-q*Q880)*_xlfn.NORM.S.DIST(Y880,1))/365)))</f>
        <v/>
      </c>
      <c r="Q880" s="83" t="str">
        <f t="shared" si="335"/>
        <v/>
      </c>
      <c r="R880" s="38"/>
      <c r="S880" s="68" t="str">
        <f t="shared" si="336"/>
        <v/>
      </c>
      <c r="T880" s="69" t="str">
        <f t="shared" si="337"/>
        <v/>
      </c>
      <c r="U880" s="70" t="str">
        <f t="shared" si="338"/>
        <v/>
      </c>
      <c r="V880" s="72" t="str">
        <f t="shared" si="339"/>
        <v/>
      </c>
      <c r="W880" s="2" t="str">
        <f t="shared" si="350"/>
        <v/>
      </c>
      <c r="X880" s="2" t="str">
        <f t="shared" si="345"/>
        <v/>
      </c>
      <c r="Y880" s="35" t="str">
        <f t="shared" ca="1" si="340"/>
        <v/>
      </c>
      <c r="Z880" s="36" t="str">
        <f t="shared" ca="1" si="341"/>
        <v/>
      </c>
      <c r="AA880" s="70" t="str">
        <f t="shared" si="342"/>
        <v/>
      </c>
      <c r="AB880" s="2"/>
      <c r="AC880" s="94" t="str">
        <f t="shared" si="346"/>
        <v/>
      </c>
      <c r="AD880" s="95" t="str">
        <f t="shared" si="347"/>
        <v/>
      </c>
      <c r="AE880" s="96" t="str">
        <f t="shared" si="348"/>
        <v/>
      </c>
      <c r="AF880" s="124" t="str">
        <f t="shared" si="349"/>
        <v/>
      </c>
      <c r="AG880" s="2"/>
      <c r="AH880" s="2"/>
      <c r="AI880" s="2"/>
      <c r="AJ880" s="2"/>
      <c r="AK880" s="2"/>
      <c r="AL880" s="2"/>
    </row>
    <row r="881" spans="1:38" x14ac:dyDescent="0.2">
      <c r="A881" s="45"/>
      <c r="B881" s="43" t="str">
        <f t="shared" si="328"/>
        <v/>
      </c>
      <c r="C881" s="96" t="str">
        <f t="shared" si="351"/>
        <v/>
      </c>
      <c r="D881" s="44" t="str">
        <f t="shared" si="329"/>
        <v/>
      </c>
      <c r="E881" s="52"/>
      <c r="F881" s="63" t="str">
        <f t="shared" si="330"/>
        <v/>
      </c>
      <c r="G881" s="56" t="str">
        <f t="shared" si="331"/>
        <v/>
      </c>
      <c r="H881" s="42"/>
      <c r="I881" s="2" t="str">
        <f t="shared" si="332"/>
        <v/>
      </c>
      <c r="J881" s="54" t="str">
        <f t="shared" si="343"/>
        <v/>
      </c>
      <c r="K881" s="55" t="str">
        <f t="shared" si="333"/>
        <v/>
      </c>
      <c r="L881" s="63" t="str">
        <f t="shared" si="334"/>
        <v/>
      </c>
      <c r="M881" s="96" t="str">
        <f t="shared" si="344"/>
        <v/>
      </c>
      <c r="N881" s="96" t="str">
        <f>IF(A881="","",IF(A881=Expiry,0,EXP(-q*Q881)*_xlfn.NORM.S.DIST(Y881,0)/(sigma*SQRT(Q881))*I881*Mult/100))</f>
        <v/>
      </c>
      <c r="O881" s="96" t="str">
        <f>IF(A881="","",IF(A881=Expiry,0,D881*E881*E881*EXP(-q*Q881)*_xlfn.NORM.S.DIST(Y881,0)*SQRT(Q881)/100))</f>
        <v/>
      </c>
      <c r="P881" s="69" t="str">
        <f>IF(A881="","",IF(A881=Expiry,0,AK881*I881*Mult*((-EXP(-q*Q881)*E881*_xlfn.NORM.S.DIST(Y881,0)*sigma/(2*SQRT(Q881))-r_dom*K*EXP(-r_dom*Q881)*_xlfn.NORM.S.DIST(Z881,1)+q*E881*EXP(-q*Q881)*_xlfn.NORM.S.DIST(Y881,1))/365)))</f>
        <v/>
      </c>
      <c r="Q881" s="83" t="str">
        <f t="shared" si="335"/>
        <v/>
      </c>
      <c r="R881" s="38"/>
      <c r="S881" s="68" t="str">
        <f t="shared" si="336"/>
        <v/>
      </c>
      <c r="T881" s="69" t="str">
        <f t="shared" si="337"/>
        <v/>
      </c>
      <c r="U881" s="70" t="str">
        <f t="shared" si="338"/>
        <v/>
      </c>
      <c r="V881" s="72" t="str">
        <f t="shared" si="339"/>
        <v/>
      </c>
      <c r="W881" s="2" t="str">
        <f t="shared" si="350"/>
        <v/>
      </c>
      <c r="X881" s="2" t="str">
        <f t="shared" si="345"/>
        <v/>
      </c>
      <c r="Y881" s="35" t="str">
        <f t="shared" ca="1" si="340"/>
        <v/>
      </c>
      <c r="Z881" s="36" t="str">
        <f t="shared" ca="1" si="341"/>
        <v/>
      </c>
      <c r="AA881" s="70" t="str">
        <f t="shared" si="342"/>
        <v/>
      </c>
      <c r="AB881" s="2"/>
      <c r="AC881" s="94" t="str">
        <f t="shared" si="346"/>
        <v/>
      </c>
      <c r="AD881" s="95" t="str">
        <f t="shared" si="347"/>
        <v/>
      </c>
      <c r="AE881" s="96" t="str">
        <f t="shared" si="348"/>
        <v/>
      </c>
      <c r="AF881" s="124" t="str">
        <f t="shared" si="349"/>
        <v/>
      </c>
      <c r="AG881" s="2"/>
      <c r="AH881" s="2"/>
      <c r="AI881" s="2"/>
      <c r="AJ881" s="2"/>
      <c r="AK881" s="2"/>
      <c r="AL881" s="2"/>
    </row>
    <row r="882" spans="1:38" x14ac:dyDescent="0.2">
      <c r="A882" s="45"/>
      <c r="B882" s="43" t="str">
        <f t="shared" ref="B882:B945" si="352">IF(A882="","",-(M882+C881))</f>
        <v/>
      </c>
      <c r="C882" s="96" t="str">
        <f t="shared" si="351"/>
        <v/>
      </c>
      <c r="D882" s="44" t="str">
        <f t="shared" ref="D882:D945" si="353">IF(A882="","",C882*E882)</f>
        <v/>
      </c>
      <c r="E882" s="52"/>
      <c r="F882" s="63" t="str">
        <f t="shared" ref="F882:F945" si="354">IF(A882="","",C881*(E882-E881))</f>
        <v/>
      </c>
      <c r="G882" s="56" t="str">
        <f t="shared" ref="G882:G945" si="355">IF(H882="","",J882)</f>
        <v/>
      </c>
      <c r="H882" s="42"/>
      <c r="I882" s="2" t="str">
        <f t="shared" ref="I882:I945" si="356">IF(A882="","",I881+H882)</f>
        <v/>
      </c>
      <c r="J882" s="54" t="str">
        <f t="shared" si="343"/>
        <v/>
      </c>
      <c r="K882" s="55" t="str">
        <f t="shared" ref="K882:K945" si="357">IF(I882="","",I882*Mult*J882)</f>
        <v/>
      </c>
      <c r="L882" s="63" t="str">
        <f t="shared" ref="L882:L945" si="358">IF(A882="","",Mult*(IFERROR(0,H882*(G882-J882))+(I882-H882)*(J882-J881)))</f>
        <v/>
      </c>
      <c r="M882" s="96" t="str">
        <f t="shared" si="344"/>
        <v/>
      </c>
      <c r="N882" s="96" t="str">
        <f>IF(A882="","",IF(A882=Expiry,0,EXP(-q*Q882)*_xlfn.NORM.S.DIST(Y882,0)/(sigma*SQRT(Q882))*I882*Mult/100))</f>
        <v/>
      </c>
      <c r="O882" s="96" t="str">
        <f>IF(A882="","",IF(A882=Expiry,0,D882*E882*E882*EXP(-q*Q882)*_xlfn.NORM.S.DIST(Y882,0)*SQRT(Q882)/100))</f>
        <v/>
      </c>
      <c r="P882" s="69" t="str">
        <f>IF(A882="","",IF(A882=Expiry,0,AK882*I882*Mult*((-EXP(-q*Q882)*E882*_xlfn.NORM.S.DIST(Y882,0)*sigma/(2*SQRT(Q882))-r_dom*K*EXP(-r_dom*Q882)*_xlfn.NORM.S.DIST(Z882,1)+q*E882*EXP(-q*Q882)*_xlfn.NORM.S.DIST(Y882,1))/365)))</f>
        <v/>
      </c>
      <c r="Q882" s="83" t="str">
        <f t="shared" ref="Q882:Q945" si="359">IF(A882="","",IF(OR(A882="",Expiry&lt;=A882),0,(Expiry-A882)/365))</f>
        <v/>
      </c>
      <c r="R882" s="38"/>
      <c r="S882" s="68" t="str">
        <f t="shared" ref="S882:S945" si="360">IF(A882="","",F882+L882)</f>
        <v/>
      </c>
      <c r="T882" s="69" t="str">
        <f t="shared" ref="T882:T945" si="361">IF(A882="","",T881+S882)</f>
        <v/>
      </c>
      <c r="U882" s="70" t="str">
        <f t="shared" ref="U882:U945" si="362">IF(A882="","",LN(T882/T881))</f>
        <v/>
      </c>
      <c r="V882" s="72" t="str">
        <f t="shared" ref="V882:V945" si="363">IF(A882="","",V881*EXP(U882))</f>
        <v/>
      </c>
      <c r="W882" s="2" t="str">
        <f t="shared" si="350"/>
        <v/>
      </c>
      <c r="X882" s="2" t="str">
        <f t="shared" si="345"/>
        <v/>
      </c>
      <c r="Y882" s="35" t="str">
        <f t="shared" ref="Y882:Y945" ca="1" si="364">IF(OR(A882="",A882=Expiry),"",((LN(E882/K)+(r_dom-q+sigma^2/2)*Q882))/(sigma*SQRT(Q882)))</f>
        <v/>
      </c>
      <c r="Z882" s="36" t="str">
        <f t="shared" ref="Z882:Z945" ca="1" si="365">IF(OR(A882="",A882=Expiry),"",Y882-sigma*SQRT(Q882))</f>
        <v/>
      </c>
      <c r="AA882" s="70" t="str">
        <f t="shared" ref="AA882:AA945" si="366">IF(A882="","",LN(E882/E881))</f>
        <v/>
      </c>
      <c r="AB882" s="2"/>
      <c r="AC882" s="94" t="str">
        <f t="shared" si="346"/>
        <v/>
      </c>
      <c r="AD882" s="95" t="str">
        <f t="shared" si="347"/>
        <v/>
      </c>
      <c r="AE882" s="96" t="str">
        <f t="shared" si="348"/>
        <v/>
      </c>
      <c r="AF882" s="124" t="str">
        <f t="shared" si="349"/>
        <v/>
      </c>
      <c r="AG882" s="2"/>
      <c r="AH882" s="2"/>
      <c r="AI882" s="2"/>
      <c r="AJ882" s="2"/>
      <c r="AK882" s="2"/>
      <c r="AL882" s="2"/>
    </row>
    <row r="883" spans="1:38" x14ac:dyDescent="0.2">
      <c r="A883" s="45"/>
      <c r="B883" s="43" t="str">
        <f t="shared" si="352"/>
        <v/>
      </c>
      <c r="C883" s="96" t="str">
        <f t="shared" si="351"/>
        <v/>
      </c>
      <c r="D883" s="44" t="str">
        <f t="shared" si="353"/>
        <v/>
      </c>
      <c r="E883" s="52"/>
      <c r="F883" s="63" t="str">
        <f t="shared" si="354"/>
        <v/>
      </c>
      <c r="G883" s="56" t="str">
        <f t="shared" si="355"/>
        <v/>
      </c>
      <c r="H883" s="42"/>
      <c r="I883" s="2" t="str">
        <f t="shared" si="356"/>
        <v/>
      </c>
      <c r="J883" s="54" t="str">
        <f t="shared" si="343"/>
        <v/>
      </c>
      <c r="K883" s="55" t="str">
        <f t="shared" si="357"/>
        <v/>
      </c>
      <c r="L883" s="63" t="str">
        <f t="shared" si="358"/>
        <v/>
      </c>
      <c r="M883" s="96" t="str">
        <f t="shared" si="344"/>
        <v/>
      </c>
      <c r="N883" s="96" t="str">
        <f>IF(A883="","",IF(A883=Expiry,0,EXP(-q*Q883)*_xlfn.NORM.S.DIST(Y883,0)/(sigma*SQRT(Q883))*I883*Mult/100))</f>
        <v/>
      </c>
      <c r="O883" s="96" t="str">
        <f>IF(A883="","",IF(A883=Expiry,0,D883*E883*E883*EXP(-q*Q883)*_xlfn.NORM.S.DIST(Y883,0)*SQRT(Q883)/100))</f>
        <v/>
      </c>
      <c r="P883" s="69" t="str">
        <f>IF(A883="","",IF(A883=Expiry,0,AK883*I883*Mult*((-EXP(-q*Q883)*E883*_xlfn.NORM.S.DIST(Y883,0)*sigma/(2*SQRT(Q883))-r_dom*K*EXP(-r_dom*Q883)*_xlfn.NORM.S.DIST(Z883,1)+q*E883*EXP(-q*Q883)*_xlfn.NORM.S.DIST(Y883,1))/365)))</f>
        <v/>
      </c>
      <c r="Q883" s="83" t="str">
        <f t="shared" si="359"/>
        <v/>
      </c>
      <c r="R883" s="38"/>
      <c r="S883" s="68" t="str">
        <f t="shared" si="360"/>
        <v/>
      </c>
      <c r="T883" s="69" t="str">
        <f t="shared" si="361"/>
        <v/>
      </c>
      <c r="U883" s="70" t="str">
        <f t="shared" si="362"/>
        <v/>
      </c>
      <c r="V883" s="72" t="str">
        <f t="shared" si="363"/>
        <v/>
      </c>
      <c r="W883" s="2" t="str">
        <f t="shared" si="350"/>
        <v/>
      </c>
      <c r="X883" s="2" t="str">
        <f t="shared" si="345"/>
        <v/>
      </c>
      <c r="Y883" s="35" t="str">
        <f t="shared" ca="1" si="364"/>
        <v/>
      </c>
      <c r="Z883" s="36" t="str">
        <f t="shared" ca="1" si="365"/>
        <v/>
      </c>
      <c r="AA883" s="70" t="str">
        <f t="shared" si="366"/>
        <v/>
      </c>
      <c r="AB883" s="2"/>
      <c r="AC883" s="94" t="str">
        <f t="shared" si="346"/>
        <v/>
      </c>
      <c r="AD883" s="95" t="str">
        <f t="shared" si="347"/>
        <v/>
      </c>
      <c r="AE883" s="96" t="str">
        <f t="shared" si="348"/>
        <v/>
      </c>
      <c r="AF883" s="124" t="str">
        <f t="shared" si="349"/>
        <v/>
      </c>
      <c r="AG883" s="2"/>
      <c r="AH883" s="2"/>
      <c r="AI883" s="2"/>
      <c r="AJ883" s="2"/>
      <c r="AK883" s="2"/>
      <c r="AL883" s="2"/>
    </row>
    <row r="884" spans="1:38" x14ac:dyDescent="0.2">
      <c r="A884" s="45"/>
      <c r="B884" s="43" t="str">
        <f t="shared" si="352"/>
        <v/>
      </c>
      <c r="C884" s="96" t="str">
        <f t="shared" si="351"/>
        <v/>
      </c>
      <c r="D884" s="44" t="str">
        <f t="shared" si="353"/>
        <v/>
      </c>
      <c r="E884" s="52"/>
      <c r="F884" s="63" t="str">
        <f t="shared" si="354"/>
        <v/>
      </c>
      <c r="G884" s="56" t="str">
        <f t="shared" si="355"/>
        <v/>
      </c>
      <c r="H884" s="42"/>
      <c r="I884" s="2" t="str">
        <f t="shared" si="356"/>
        <v/>
      </c>
      <c r="J884" s="54" t="str">
        <f t="shared" si="343"/>
        <v/>
      </c>
      <c r="K884" s="55" t="str">
        <f t="shared" si="357"/>
        <v/>
      </c>
      <c r="L884" s="63" t="str">
        <f t="shared" si="358"/>
        <v/>
      </c>
      <c r="M884" s="96" t="str">
        <f t="shared" si="344"/>
        <v/>
      </c>
      <c r="N884" s="96" t="str">
        <f>IF(A884="","",IF(A884=Expiry,0,EXP(-q*Q884)*_xlfn.NORM.S.DIST(Y884,0)/(sigma*SQRT(Q884))*I884*Mult/100))</f>
        <v/>
      </c>
      <c r="O884" s="96" t="str">
        <f>IF(A884="","",IF(A884=Expiry,0,D884*E884*E884*EXP(-q*Q884)*_xlfn.NORM.S.DIST(Y884,0)*SQRT(Q884)/100))</f>
        <v/>
      </c>
      <c r="P884" s="69" t="str">
        <f>IF(A884="","",IF(A884=Expiry,0,AK884*I884*Mult*((-EXP(-q*Q884)*E884*_xlfn.NORM.S.DIST(Y884,0)*sigma/(2*SQRT(Q884))-r_dom*K*EXP(-r_dom*Q884)*_xlfn.NORM.S.DIST(Z884,1)+q*E884*EXP(-q*Q884)*_xlfn.NORM.S.DIST(Y884,1))/365)))</f>
        <v/>
      </c>
      <c r="Q884" s="83" t="str">
        <f t="shared" si="359"/>
        <v/>
      </c>
      <c r="R884" s="38"/>
      <c r="S884" s="68" t="str">
        <f t="shared" si="360"/>
        <v/>
      </c>
      <c r="T884" s="69" t="str">
        <f t="shared" si="361"/>
        <v/>
      </c>
      <c r="U884" s="70" t="str">
        <f t="shared" si="362"/>
        <v/>
      </c>
      <c r="V884" s="72" t="str">
        <f t="shared" si="363"/>
        <v/>
      </c>
      <c r="W884" s="2" t="str">
        <f t="shared" si="350"/>
        <v/>
      </c>
      <c r="X884" s="2" t="str">
        <f t="shared" si="345"/>
        <v/>
      </c>
      <c r="Y884" s="35" t="str">
        <f t="shared" ca="1" si="364"/>
        <v/>
      </c>
      <c r="Z884" s="36" t="str">
        <f t="shared" ca="1" si="365"/>
        <v/>
      </c>
      <c r="AA884" s="70" t="str">
        <f t="shared" si="366"/>
        <v/>
      </c>
      <c r="AB884" s="2"/>
      <c r="AC884" s="94" t="str">
        <f t="shared" si="346"/>
        <v/>
      </c>
      <c r="AD884" s="95" t="str">
        <f t="shared" si="347"/>
        <v/>
      </c>
      <c r="AE884" s="96" t="str">
        <f t="shared" si="348"/>
        <v/>
      </c>
      <c r="AF884" s="124" t="str">
        <f t="shared" si="349"/>
        <v/>
      </c>
      <c r="AG884" s="2"/>
      <c r="AH884" s="2"/>
      <c r="AI884" s="2"/>
      <c r="AJ884" s="2"/>
      <c r="AK884" s="2"/>
      <c r="AL884" s="2"/>
    </row>
    <row r="885" spans="1:38" x14ac:dyDescent="0.2">
      <c r="A885" s="45"/>
      <c r="B885" s="43" t="str">
        <f t="shared" si="352"/>
        <v/>
      </c>
      <c r="C885" s="96" t="str">
        <f t="shared" si="351"/>
        <v/>
      </c>
      <c r="D885" s="44" t="str">
        <f t="shared" si="353"/>
        <v/>
      </c>
      <c r="E885" s="52"/>
      <c r="F885" s="63" t="str">
        <f t="shared" si="354"/>
        <v/>
      </c>
      <c r="G885" s="56" t="str">
        <f t="shared" si="355"/>
        <v/>
      </c>
      <c r="H885" s="42"/>
      <c r="I885" s="2" t="str">
        <f t="shared" si="356"/>
        <v/>
      </c>
      <c r="J885" s="54" t="str">
        <f t="shared" si="343"/>
        <v/>
      </c>
      <c r="K885" s="55" t="str">
        <f t="shared" si="357"/>
        <v/>
      </c>
      <c r="L885" s="63" t="str">
        <f t="shared" si="358"/>
        <v/>
      </c>
      <c r="M885" s="96" t="str">
        <f t="shared" si="344"/>
        <v/>
      </c>
      <c r="N885" s="96" t="str">
        <f>IF(A885="","",IF(A885=Expiry,0,EXP(-q*Q885)*_xlfn.NORM.S.DIST(Y885,0)/(sigma*SQRT(Q885))*I885*Mult/100))</f>
        <v/>
      </c>
      <c r="O885" s="96" t="str">
        <f>IF(A885="","",IF(A885=Expiry,0,D885*E885*E885*EXP(-q*Q885)*_xlfn.NORM.S.DIST(Y885,0)*SQRT(Q885)/100))</f>
        <v/>
      </c>
      <c r="P885" s="69" t="str">
        <f>IF(A885="","",IF(A885=Expiry,0,AK885*I885*Mult*((-EXP(-q*Q885)*E885*_xlfn.NORM.S.DIST(Y885,0)*sigma/(2*SQRT(Q885))-r_dom*K*EXP(-r_dom*Q885)*_xlfn.NORM.S.DIST(Z885,1)+q*E885*EXP(-q*Q885)*_xlfn.NORM.S.DIST(Y885,1))/365)))</f>
        <v/>
      </c>
      <c r="Q885" s="83" t="str">
        <f t="shared" si="359"/>
        <v/>
      </c>
      <c r="R885" s="38"/>
      <c r="S885" s="68" t="str">
        <f t="shared" si="360"/>
        <v/>
      </c>
      <c r="T885" s="69" t="str">
        <f t="shared" si="361"/>
        <v/>
      </c>
      <c r="U885" s="70" t="str">
        <f t="shared" si="362"/>
        <v/>
      </c>
      <c r="V885" s="72" t="str">
        <f t="shared" si="363"/>
        <v/>
      </c>
      <c r="W885" s="2" t="str">
        <f t="shared" si="350"/>
        <v/>
      </c>
      <c r="X885" s="2" t="str">
        <f t="shared" si="345"/>
        <v/>
      </c>
      <c r="Y885" s="35" t="str">
        <f t="shared" ca="1" si="364"/>
        <v/>
      </c>
      <c r="Z885" s="36" t="str">
        <f t="shared" ca="1" si="365"/>
        <v/>
      </c>
      <c r="AA885" s="70" t="str">
        <f t="shared" si="366"/>
        <v/>
      </c>
      <c r="AB885" s="2"/>
      <c r="AC885" s="94" t="str">
        <f t="shared" si="346"/>
        <v/>
      </c>
      <c r="AD885" s="95" t="str">
        <f t="shared" si="347"/>
        <v/>
      </c>
      <c r="AE885" s="96" t="str">
        <f t="shared" si="348"/>
        <v/>
      </c>
      <c r="AF885" s="124" t="str">
        <f t="shared" si="349"/>
        <v/>
      </c>
      <c r="AG885" s="2"/>
      <c r="AH885" s="2"/>
      <c r="AI885" s="2"/>
      <c r="AJ885" s="2"/>
      <c r="AK885" s="2"/>
      <c r="AL885" s="2"/>
    </row>
    <row r="886" spans="1:38" x14ac:dyDescent="0.2">
      <c r="A886" s="45"/>
      <c r="B886" s="43" t="str">
        <f t="shared" si="352"/>
        <v/>
      </c>
      <c r="C886" s="96" t="str">
        <f t="shared" si="351"/>
        <v/>
      </c>
      <c r="D886" s="44" t="str">
        <f t="shared" si="353"/>
        <v/>
      </c>
      <c r="E886" s="52"/>
      <c r="F886" s="63" t="str">
        <f t="shared" si="354"/>
        <v/>
      </c>
      <c r="G886" s="56" t="str">
        <f t="shared" si="355"/>
        <v/>
      </c>
      <c r="H886" s="42"/>
      <c r="I886" s="2" t="str">
        <f t="shared" si="356"/>
        <v/>
      </c>
      <c r="J886" s="54" t="str">
        <f t="shared" si="343"/>
        <v/>
      </c>
      <c r="K886" s="55" t="str">
        <f t="shared" si="357"/>
        <v/>
      </c>
      <c r="L886" s="63" t="str">
        <f t="shared" si="358"/>
        <v/>
      </c>
      <c r="M886" s="96" t="str">
        <f t="shared" si="344"/>
        <v/>
      </c>
      <c r="N886" s="96" t="str">
        <f>IF(A886="","",IF(A886=Expiry,0,EXP(-q*Q886)*_xlfn.NORM.S.DIST(Y886,0)/(sigma*SQRT(Q886))*I886*Mult/100))</f>
        <v/>
      </c>
      <c r="O886" s="96" t="str">
        <f>IF(A886="","",IF(A886=Expiry,0,D886*E886*E886*EXP(-q*Q886)*_xlfn.NORM.S.DIST(Y886,0)*SQRT(Q886)/100))</f>
        <v/>
      </c>
      <c r="P886" s="69" t="str">
        <f>IF(A886="","",IF(A886=Expiry,0,AK886*I886*Mult*((-EXP(-q*Q886)*E886*_xlfn.NORM.S.DIST(Y886,0)*sigma/(2*SQRT(Q886))-r_dom*K*EXP(-r_dom*Q886)*_xlfn.NORM.S.DIST(Z886,1)+q*E886*EXP(-q*Q886)*_xlfn.NORM.S.DIST(Y886,1))/365)))</f>
        <v/>
      </c>
      <c r="Q886" s="83" t="str">
        <f t="shared" si="359"/>
        <v/>
      </c>
      <c r="R886" s="38"/>
      <c r="S886" s="68" t="str">
        <f t="shared" si="360"/>
        <v/>
      </c>
      <c r="T886" s="69" t="str">
        <f t="shared" si="361"/>
        <v/>
      </c>
      <c r="U886" s="70" t="str">
        <f t="shared" si="362"/>
        <v/>
      </c>
      <c r="V886" s="72" t="str">
        <f t="shared" si="363"/>
        <v/>
      </c>
      <c r="W886" s="2" t="str">
        <f t="shared" si="350"/>
        <v/>
      </c>
      <c r="X886" s="2" t="str">
        <f t="shared" si="345"/>
        <v/>
      </c>
      <c r="Y886" s="35" t="str">
        <f t="shared" ca="1" si="364"/>
        <v/>
      </c>
      <c r="Z886" s="36" t="str">
        <f t="shared" ca="1" si="365"/>
        <v/>
      </c>
      <c r="AA886" s="70" t="str">
        <f t="shared" si="366"/>
        <v/>
      </c>
      <c r="AB886" s="2"/>
      <c r="AC886" s="94" t="str">
        <f t="shared" si="346"/>
        <v/>
      </c>
      <c r="AD886" s="95" t="str">
        <f t="shared" si="347"/>
        <v/>
      </c>
      <c r="AE886" s="96" t="str">
        <f t="shared" si="348"/>
        <v/>
      </c>
      <c r="AF886" s="124" t="str">
        <f t="shared" si="349"/>
        <v/>
      </c>
      <c r="AG886" s="2"/>
      <c r="AH886" s="2"/>
      <c r="AI886" s="2"/>
      <c r="AJ886" s="2"/>
      <c r="AK886" s="2"/>
      <c r="AL886" s="2"/>
    </row>
    <row r="887" spans="1:38" x14ac:dyDescent="0.2">
      <c r="A887" s="45"/>
      <c r="B887" s="43" t="str">
        <f t="shared" si="352"/>
        <v/>
      </c>
      <c r="C887" s="96" t="str">
        <f t="shared" si="351"/>
        <v/>
      </c>
      <c r="D887" s="44" t="str">
        <f t="shared" si="353"/>
        <v/>
      </c>
      <c r="E887" s="52"/>
      <c r="F887" s="63" t="str">
        <f t="shared" si="354"/>
        <v/>
      </c>
      <c r="G887" s="56" t="str">
        <f t="shared" si="355"/>
        <v/>
      </c>
      <c r="H887" s="42"/>
      <c r="I887" s="2" t="str">
        <f t="shared" si="356"/>
        <v/>
      </c>
      <c r="J887" s="54" t="str">
        <f t="shared" si="343"/>
        <v/>
      </c>
      <c r="K887" s="55" t="str">
        <f t="shared" si="357"/>
        <v/>
      </c>
      <c r="L887" s="63" t="str">
        <f t="shared" si="358"/>
        <v/>
      </c>
      <c r="M887" s="96" t="str">
        <f t="shared" si="344"/>
        <v/>
      </c>
      <c r="N887" s="96" t="str">
        <f>IF(A887="","",IF(A887=Expiry,0,EXP(-q*Q887)*_xlfn.NORM.S.DIST(Y887,0)/(sigma*SQRT(Q887))*I887*Mult/100))</f>
        <v/>
      </c>
      <c r="O887" s="96" t="str">
        <f>IF(A887="","",IF(A887=Expiry,0,D887*E887*E887*EXP(-q*Q887)*_xlfn.NORM.S.DIST(Y887,0)*SQRT(Q887)/100))</f>
        <v/>
      </c>
      <c r="P887" s="69" t="str">
        <f>IF(A887="","",IF(A887=Expiry,0,AK887*I887*Mult*((-EXP(-q*Q887)*E887*_xlfn.NORM.S.DIST(Y887,0)*sigma/(2*SQRT(Q887))-r_dom*K*EXP(-r_dom*Q887)*_xlfn.NORM.S.DIST(Z887,1)+q*E887*EXP(-q*Q887)*_xlfn.NORM.S.DIST(Y887,1))/365)))</f>
        <v/>
      </c>
      <c r="Q887" s="83" t="str">
        <f t="shared" si="359"/>
        <v/>
      </c>
      <c r="R887" s="38"/>
      <c r="S887" s="68" t="str">
        <f t="shared" si="360"/>
        <v/>
      </c>
      <c r="T887" s="69" t="str">
        <f t="shared" si="361"/>
        <v/>
      </c>
      <c r="U887" s="70" t="str">
        <f t="shared" si="362"/>
        <v/>
      </c>
      <c r="V887" s="72" t="str">
        <f t="shared" si="363"/>
        <v/>
      </c>
      <c r="W887" s="2" t="str">
        <f t="shared" si="350"/>
        <v/>
      </c>
      <c r="X887" s="2" t="str">
        <f t="shared" si="345"/>
        <v/>
      </c>
      <c r="Y887" s="35" t="str">
        <f t="shared" ca="1" si="364"/>
        <v/>
      </c>
      <c r="Z887" s="36" t="str">
        <f t="shared" ca="1" si="365"/>
        <v/>
      </c>
      <c r="AA887" s="70" t="str">
        <f t="shared" si="366"/>
        <v/>
      </c>
      <c r="AB887" s="2"/>
      <c r="AC887" s="94" t="str">
        <f t="shared" si="346"/>
        <v/>
      </c>
      <c r="AD887" s="95" t="str">
        <f t="shared" si="347"/>
        <v/>
      </c>
      <c r="AE887" s="96" t="str">
        <f t="shared" si="348"/>
        <v/>
      </c>
      <c r="AF887" s="124" t="str">
        <f t="shared" si="349"/>
        <v/>
      </c>
      <c r="AG887" s="2"/>
      <c r="AH887" s="2"/>
      <c r="AI887" s="2"/>
      <c r="AJ887" s="2"/>
      <c r="AK887" s="2"/>
      <c r="AL887" s="2"/>
    </row>
    <row r="888" spans="1:38" x14ac:dyDescent="0.2">
      <c r="A888" s="45"/>
      <c r="B888" s="43" t="str">
        <f t="shared" si="352"/>
        <v/>
      </c>
      <c r="C888" s="96" t="str">
        <f t="shared" si="351"/>
        <v/>
      </c>
      <c r="D888" s="44" t="str">
        <f t="shared" si="353"/>
        <v/>
      </c>
      <c r="E888" s="52"/>
      <c r="F888" s="63" t="str">
        <f t="shared" si="354"/>
        <v/>
      </c>
      <c r="G888" s="56" t="str">
        <f t="shared" si="355"/>
        <v/>
      </c>
      <c r="H888" s="42"/>
      <c r="I888" s="2" t="str">
        <f t="shared" si="356"/>
        <v/>
      </c>
      <c r="J888" s="54" t="str">
        <f t="shared" si="343"/>
        <v/>
      </c>
      <c r="K888" s="55" t="str">
        <f t="shared" si="357"/>
        <v/>
      </c>
      <c r="L888" s="63" t="str">
        <f t="shared" si="358"/>
        <v/>
      </c>
      <c r="M888" s="96" t="str">
        <f t="shared" si="344"/>
        <v/>
      </c>
      <c r="N888" s="96" t="str">
        <f>IF(A888="","",IF(A888=Expiry,0,EXP(-q*Q888)*_xlfn.NORM.S.DIST(Y888,0)/(sigma*SQRT(Q888))*I888*Mult/100))</f>
        <v/>
      </c>
      <c r="O888" s="96" t="str">
        <f>IF(A888="","",IF(A888=Expiry,0,D888*E888*E888*EXP(-q*Q888)*_xlfn.NORM.S.DIST(Y888,0)*SQRT(Q888)/100))</f>
        <v/>
      </c>
      <c r="P888" s="69" t="str">
        <f>IF(A888="","",IF(A888=Expiry,0,AK888*I888*Mult*((-EXP(-q*Q888)*E888*_xlfn.NORM.S.DIST(Y888,0)*sigma/(2*SQRT(Q888))-r_dom*K*EXP(-r_dom*Q888)*_xlfn.NORM.S.DIST(Z888,1)+q*E888*EXP(-q*Q888)*_xlfn.NORM.S.DIST(Y888,1))/365)))</f>
        <v/>
      </c>
      <c r="Q888" s="83" t="str">
        <f t="shared" si="359"/>
        <v/>
      </c>
      <c r="R888" s="38"/>
      <c r="S888" s="68" t="str">
        <f t="shared" si="360"/>
        <v/>
      </c>
      <c r="T888" s="69" t="str">
        <f t="shared" si="361"/>
        <v/>
      </c>
      <c r="U888" s="70" t="str">
        <f t="shared" si="362"/>
        <v/>
      </c>
      <c r="V888" s="72" t="str">
        <f t="shared" si="363"/>
        <v/>
      </c>
      <c r="W888" s="2" t="str">
        <f t="shared" si="350"/>
        <v/>
      </c>
      <c r="X888" s="2" t="str">
        <f t="shared" si="345"/>
        <v/>
      </c>
      <c r="Y888" s="35" t="str">
        <f t="shared" ca="1" si="364"/>
        <v/>
      </c>
      <c r="Z888" s="36" t="str">
        <f t="shared" ca="1" si="365"/>
        <v/>
      </c>
      <c r="AA888" s="70" t="str">
        <f t="shared" si="366"/>
        <v/>
      </c>
      <c r="AB888" s="2"/>
      <c r="AC888" s="94" t="str">
        <f t="shared" si="346"/>
        <v/>
      </c>
      <c r="AD888" s="95" t="str">
        <f t="shared" si="347"/>
        <v/>
      </c>
      <c r="AE888" s="96" t="str">
        <f t="shared" si="348"/>
        <v/>
      </c>
      <c r="AF888" s="124" t="str">
        <f t="shared" si="349"/>
        <v/>
      </c>
      <c r="AG888" s="2"/>
      <c r="AH888" s="2"/>
      <c r="AI888" s="2"/>
      <c r="AJ888" s="2"/>
      <c r="AK888" s="2"/>
      <c r="AL888" s="2"/>
    </row>
    <row r="889" spans="1:38" x14ac:dyDescent="0.2">
      <c r="A889" s="45"/>
      <c r="B889" s="43" t="str">
        <f t="shared" si="352"/>
        <v/>
      </c>
      <c r="C889" s="96" t="str">
        <f t="shared" si="351"/>
        <v/>
      </c>
      <c r="D889" s="44" t="str">
        <f t="shared" si="353"/>
        <v/>
      </c>
      <c r="E889" s="52"/>
      <c r="F889" s="63" t="str">
        <f t="shared" si="354"/>
        <v/>
      </c>
      <c r="G889" s="56" t="str">
        <f t="shared" si="355"/>
        <v/>
      </c>
      <c r="H889" s="42"/>
      <c r="I889" s="2" t="str">
        <f t="shared" si="356"/>
        <v/>
      </c>
      <c r="J889" s="54" t="str">
        <f t="shared" si="343"/>
        <v/>
      </c>
      <c r="K889" s="55" t="str">
        <f t="shared" si="357"/>
        <v/>
      </c>
      <c r="L889" s="63" t="str">
        <f t="shared" si="358"/>
        <v/>
      </c>
      <c r="M889" s="96" t="str">
        <f t="shared" si="344"/>
        <v/>
      </c>
      <c r="N889" s="96" t="str">
        <f>IF(A889="","",IF(A889=Expiry,0,EXP(-q*Q889)*_xlfn.NORM.S.DIST(Y889,0)/(sigma*SQRT(Q889))*I889*Mult/100))</f>
        <v/>
      </c>
      <c r="O889" s="96" t="str">
        <f>IF(A889="","",IF(A889=Expiry,0,D889*E889*E889*EXP(-q*Q889)*_xlfn.NORM.S.DIST(Y889,0)*SQRT(Q889)/100))</f>
        <v/>
      </c>
      <c r="P889" s="69" t="str">
        <f>IF(A889="","",IF(A889=Expiry,0,AK889*I889*Mult*((-EXP(-q*Q889)*E889*_xlfn.NORM.S.DIST(Y889,0)*sigma/(2*SQRT(Q889))-r_dom*K*EXP(-r_dom*Q889)*_xlfn.NORM.S.DIST(Z889,1)+q*E889*EXP(-q*Q889)*_xlfn.NORM.S.DIST(Y889,1))/365)))</f>
        <v/>
      </c>
      <c r="Q889" s="83" t="str">
        <f t="shared" si="359"/>
        <v/>
      </c>
      <c r="R889" s="38"/>
      <c r="S889" s="68" t="str">
        <f t="shared" si="360"/>
        <v/>
      </c>
      <c r="T889" s="69" t="str">
        <f t="shared" si="361"/>
        <v/>
      </c>
      <c r="U889" s="70" t="str">
        <f t="shared" si="362"/>
        <v/>
      </c>
      <c r="V889" s="72" t="str">
        <f t="shared" si="363"/>
        <v/>
      </c>
      <c r="W889" s="2" t="str">
        <f t="shared" si="350"/>
        <v/>
      </c>
      <c r="X889" s="2" t="str">
        <f t="shared" si="345"/>
        <v/>
      </c>
      <c r="Y889" s="35" t="str">
        <f t="shared" ca="1" si="364"/>
        <v/>
      </c>
      <c r="Z889" s="36" t="str">
        <f t="shared" ca="1" si="365"/>
        <v/>
      </c>
      <c r="AA889" s="70" t="str">
        <f t="shared" si="366"/>
        <v/>
      </c>
      <c r="AB889" s="2"/>
      <c r="AC889" s="94" t="str">
        <f t="shared" si="346"/>
        <v/>
      </c>
      <c r="AD889" s="95" t="str">
        <f t="shared" si="347"/>
        <v/>
      </c>
      <c r="AE889" s="96" t="str">
        <f t="shared" si="348"/>
        <v/>
      </c>
      <c r="AF889" s="124" t="str">
        <f t="shared" si="349"/>
        <v/>
      </c>
      <c r="AG889" s="2"/>
      <c r="AH889" s="2"/>
      <c r="AI889" s="2"/>
      <c r="AJ889" s="2"/>
      <c r="AK889" s="2"/>
      <c r="AL889" s="2"/>
    </row>
    <row r="890" spans="1:38" x14ac:dyDescent="0.2">
      <c r="A890" s="45"/>
      <c r="B890" s="43" t="str">
        <f t="shared" si="352"/>
        <v/>
      </c>
      <c r="C890" s="96" t="str">
        <f t="shared" si="351"/>
        <v/>
      </c>
      <c r="D890" s="44" t="str">
        <f t="shared" si="353"/>
        <v/>
      </c>
      <c r="E890" s="52"/>
      <c r="F890" s="63" t="str">
        <f t="shared" si="354"/>
        <v/>
      </c>
      <c r="G890" s="56" t="str">
        <f t="shared" si="355"/>
        <v/>
      </c>
      <c r="H890" s="42"/>
      <c r="I890" s="2" t="str">
        <f t="shared" si="356"/>
        <v/>
      </c>
      <c r="J890" s="54" t="str">
        <f t="shared" si="343"/>
        <v/>
      </c>
      <c r="K890" s="55" t="str">
        <f t="shared" si="357"/>
        <v/>
      </c>
      <c r="L890" s="63" t="str">
        <f t="shared" si="358"/>
        <v/>
      </c>
      <c r="M890" s="96" t="str">
        <f t="shared" si="344"/>
        <v/>
      </c>
      <c r="N890" s="96" t="str">
        <f>IF(A890="","",IF(A890=Expiry,0,EXP(-q*Q890)*_xlfn.NORM.S.DIST(Y890,0)/(sigma*SQRT(Q890))*I890*Mult/100))</f>
        <v/>
      </c>
      <c r="O890" s="96" t="str">
        <f>IF(A890="","",IF(A890=Expiry,0,D890*E890*E890*EXP(-q*Q890)*_xlfn.NORM.S.DIST(Y890,0)*SQRT(Q890)/100))</f>
        <v/>
      </c>
      <c r="P890" s="69" t="str">
        <f>IF(A890="","",IF(A890=Expiry,0,AK890*I890*Mult*((-EXP(-q*Q890)*E890*_xlfn.NORM.S.DIST(Y890,0)*sigma/(2*SQRT(Q890))-r_dom*K*EXP(-r_dom*Q890)*_xlfn.NORM.S.DIST(Z890,1)+q*E890*EXP(-q*Q890)*_xlfn.NORM.S.DIST(Y890,1))/365)))</f>
        <v/>
      </c>
      <c r="Q890" s="83" t="str">
        <f t="shared" si="359"/>
        <v/>
      </c>
      <c r="R890" s="38"/>
      <c r="S890" s="68" t="str">
        <f t="shared" si="360"/>
        <v/>
      </c>
      <c r="T890" s="69" t="str">
        <f t="shared" si="361"/>
        <v/>
      </c>
      <c r="U890" s="70" t="str">
        <f t="shared" si="362"/>
        <v/>
      </c>
      <c r="V890" s="72" t="str">
        <f t="shared" si="363"/>
        <v/>
      </c>
      <c r="W890" s="2" t="str">
        <f t="shared" si="350"/>
        <v/>
      </c>
      <c r="X890" s="2" t="str">
        <f t="shared" si="345"/>
        <v/>
      </c>
      <c r="Y890" s="35" t="str">
        <f t="shared" ca="1" si="364"/>
        <v/>
      </c>
      <c r="Z890" s="36" t="str">
        <f t="shared" ca="1" si="365"/>
        <v/>
      </c>
      <c r="AA890" s="70" t="str">
        <f t="shared" si="366"/>
        <v/>
      </c>
      <c r="AB890" s="2"/>
      <c r="AC890" s="94" t="str">
        <f t="shared" si="346"/>
        <v/>
      </c>
      <c r="AD890" s="95" t="str">
        <f t="shared" si="347"/>
        <v/>
      </c>
      <c r="AE890" s="96" t="str">
        <f t="shared" si="348"/>
        <v/>
      </c>
      <c r="AF890" s="124" t="str">
        <f t="shared" si="349"/>
        <v/>
      </c>
      <c r="AG890" s="2"/>
      <c r="AH890" s="2"/>
      <c r="AI890" s="2"/>
      <c r="AJ890" s="2"/>
      <c r="AK890" s="2"/>
      <c r="AL890" s="2"/>
    </row>
    <row r="891" spans="1:38" x14ac:dyDescent="0.2">
      <c r="A891" s="45"/>
      <c r="B891" s="43" t="str">
        <f t="shared" si="352"/>
        <v/>
      </c>
      <c r="C891" s="96" t="str">
        <f t="shared" si="351"/>
        <v/>
      </c>
      <c r="D891" s="44" t="str">
        <f t="shared" si="353"/>
        <v/>
      </c>
      <c r="E891" s="52"/>
      <c r="F891" s="63" t="str">
        <f t="shared" si="354"/>
        <v/>
      </c>
      <c r="G891" s="56" t="str">
        <f t="shared" si="355"/>
        <v/>
      </c>
      <c r="H891" s="42"/>
      <c r="I891" s="2" t="str">
        <f t="shared" si="356"/>
        <v/>
      </c>
      <c r="J891" s="54" t="str">
        <f t="shared" si="343"/>
        <v/>
      </c>
      <c r="K891" s="55" t="str">
        <f t="shared" si="357"/>
        <v/>
      </c>
      <c r="L891" s="63" t="str">
        <f t="shared" si="358"/>
        <v/>
      </c>
      <c r="M891" s="96" t="str">
        <f t="shared" si="344"/>
        <v/>
      </c>
      <c r="N891" s="96" t="str">
        <f>IF(A891="","",IF(A891=Expiry,0,EXP(-q*Q891)*_xlfn.NORM.S.DIST(Y891,0)/(sigma*SQRT(Q891))*I891*Mult/100))</f>
        <v/>
      </c>
      <c r="O891" s="96" t="str">
        <f>IF(A891="","",IF(A891=Expiry,0,D891*E891*E891*EXP(-q*Q891)*_xlfn.NORM.S.DIST(Y891,0)*SQRT(Q891)/100))</f>
        <v/>
      </c>
      <c r="P891" s="69" t="str">
        <f>IF(A891="","",IF(A891=Expiry,0,AK891*I891*Mult*((-EXP(-q*Q891)*E891*_xlfn.NORM.S.DIST(Y891,0)*sigma/(2*SQRT(Q891))-r_dom*K*EXP(-r_dom*Q891)*_xlfn.NORM.S.DIST(Z891,1)+q*E891*EXP(-q*Q891)*_xlfn.NORM.S.DIST(Y891,1))/365)))</f>
        <v/>
      </c>
      <c r="Q891" s="83" t="str">
        <f t="shared" si="359"/>
        <v/>
      </c>
      <c r="R891" s="38"/>
      <c r="S891" s="68" t="str">
        <f t="shared" si="360"/>
        <v/>
      </c>
      <c r="T891" s="69" t="str">
        <f t="shared" si="361"/>
        <v/>
      </c>
      <c r="U891" s="70" t="str">
        <f t="shared" si="362"/>
        <v/>
      </c>
      <c r="V891" s="72" t="str">
        <f t="shared" si="363"/>
        <v/>
      </c>
      <c r="W891" s="2" t="str">
        <f t="shared" si="350"/>
        <v/>
      </c>
      <c r="X891" s="2" t="str">
        <f t="shared" si="345"/>
        <v/>
      </c>
      <c r="Y891" s="35" t="str">
        <f t="shared" ca="1" si="364"/>
        <v/>
      </c>
      <c r="Z891" s="36" t="str">
        <f t="shared" ca="1" si="365"/>
        <v/>
      </c>
      <c r="AA891" s="70" t="str">
        <f t="shared" si="366"/>
        <v/>
      </c>
      <c r="AB891" s="2"/>
      <c r="AC891" s="94" t="str">
        <f t="shared" si="346"/>
        <v/>
      </c>
      <c r="AD891" s="95" t="str">
        <f t="shared" si="347"/>
        <v/>
      </c>
      <c r="AE891" s="96" t="str">
        <f t="shared" si="348"/>
        <v/>
      </c>
      <c r="AF891" s="124" t="str">
        <f t="shared" si="349"/>
        <v/>
      </c>
      <c r="AG891" s="2"/>
      <c r="AH891" s="2"/>
      <c r="AI891" s="2"/>
      <c r="AJ891" s="2"/>
      <c r="AK891" s="2"/>
      <c r="AL891" s="2"/>
    </row>
    <row r="892" spans="1:38" x14ac:dyDescent="0.2">
      <c r="A892" s="45"/>
      <c r="B892" s="43" t="str">
        <f t="shared" si="352"/>
        <v/>
      </c>
      <c r="C892" s="96" t="str">
        <f t="shared" si="351"/>
        <v/>
      </c>
      <c r="D892" s="44" t="str">
        <f t="shared" si="353"/>
        <v/>
      </c>
      <c r="E892" s="52"/>
      <c r="F892" s="63" t="str">
        <f t="shared" si="354"/>
        <v/>
      </c>
      <c r="G892" s="56" t="str">
        <f t="shared" si="355"/>
        <v/>
      </c>
      <c r="H892" s="42"/>
      <c r="I892" s="2" t="str">
        <f t="shared" si="356"/>
        <v/>
      </c>
      <c r="J892" s="54" t="str">
        <f t="shared" si="343"/>
        <v/>
      </c>
      <c r="K892" s="55" t="str">
        <f t="shared" si="357"/>
        <v/>
      </c>
      <c r="L892" s="63" t="str">
        <f t="shared" si="358"/>
        <v/>
      </c>
      <c r="M892" s="96" t="str">
        <f t="shared" si="344"/>
        <v/>
      </c>
      <c r="N892" s="96" t="str">
        <f>IF(A892="","",IF(A892=Expiry,0,EXP(-q*Q892)*_xlfn.NORM.S.DIST(Y892,0)/(sigma*SQRT(Q892))*I892*Mult/100))</f>
        <v/>
      </c>
      <c r="O892" s="96" t="str">
        <f>IF(A892="","",IF(A892=Expiry,0,D892*E892*E892*EXP(-q*Q892)*_xlfn.NORM.S.DIST(Y892,0)*SQRT(Q892)/100))</f>
        <v/>
      </c>
      <c r="P892" s="69" t="str">
        <f>IF(A892="","",IF(A892=Expiry,0,AK892*I892*Mult*((-EXP(-q*Q892)*E892*_xlfn.NORM.S.DIST(Y892,0)*sigma/(2*SQRT(Q892))-r_dom*K*EXP(-r_dom*Q892)*_xlfn.NORM.S.DIST(Z892,1)+q*E892*EXP(-q*Q892)*_xlfn.NORM.S.DIST(Y892,1))/365)))</f>
        <v/>
      </c>
      <c r="Q892" s="83" t="str">
        <f t="shared" si="359"/>
        <v/>
      </c>
      <c r="R892" s="38"/>
      <c r="S892" s="68" t="str">
        <f t="shared" si="360"/>
        <v/>
      </c>
      <c r="T892" s="69" t="str">
        <f t="shared" si="361"/>
        <v/>
      </c>
      <c r="U892" s="70" t="str">
        <f t="shared" si="362"/>
        <v/>
      </c>
      <c r="V892" s="72" t="str">
        <f t="shared" si="363"/>
        <v/>
      </c>
      <c r="W892" s="2" t="str">
        <f t="shared" si="350"/>
        <v/>
      </c>
      <c r="X892" s="2" t="str">
        <f t="shared" si="345"/>
        <v/>
      </c>
      <c r="Y892" s="35" t="str">
        <f t="shared" ca="1" si="364"/>
        <v/>
      </c>
      <c r="Z892" s="36" t="str">
        <f t="shared" ca="1" si="365"/>
        <v/>
      </c>
      <c r="AA892" s="70" t="str">
        <f t="shared" si="366"/>
        <v/>
      </c>
      <c r="AB892" s="2"/>
      <c r="AC892" s="94" t="str">
        <f t="shared" si="346"/>
        <v/>
      </c>
      <c r="AD892" s="95" t="str">
        <f t="shared" si="347"/>
        <v/>
      </c>
      <c r="AE892" s="96" t="str">
        <f t="shared" si="348"/>
        <v/>
      </c>
      <c r="AF892" s="124" t="str">
        <f t="shared" si="349"/>
        <v/>
      </c>
      <c r="AG892" s="2"/>
      <c r="AH892" s="2"/>
      <c r="AI892" s="2"/>
      <c r="AJ892" s="2"/>
      <c r="AK892" s="2"/>
      <c r="AL892" s="2"/>
    </row>
    <row r="893" spans="1:38" x14ac:dyDescent="0.2">
      <c r="A893" s="45"/>
      <c r="B893" s="43" t="str">
        <f t="shared" si="352"/>
        <v/>
      </c>
      <c r="C893" s="96" t="str">
        <f t="shared" si="351"/>
        <v/>
      </c>
      <c r="D893" s="44" t="str">
        <f t="shared" si="353"/>
        <v/>
      </c>
      <c r="E893" s="52"/>
      <c r="F893" s="63" t="str">
        <f t="shared" si="354"/>
        <v/>
      </c>
      <c r="G893" s="56" t="str">
        <f t="shared" si="355"/>
        <v/>
      </c>
      <c r="H893" s="42"/>
      <c r="I893" s="2" t="str">
        <f t="shared" si="356"/>
        <v/>
      </c>
      <c r="J893" s="54" t="str">
        <f t="shared" si="343"/>
        <v/>
      </c>
      <c r="K893" s="55" t="str">
        <f t="shared" si="357"/>
        <v/>
      </c>
      <c r="L893" s="63" t="str">
        <f t="shared" si="358"/>
        <v/>
      </c>
      <c r="M893" s="96" t="str">
        <f t="shared" si="344"/>
        <v/>
      </c>
      <c r="N893" s="96" t="str">
        <f>IF(A893="","",IF(A893=Expiry,0,EXP(-q*Q893)*_xlfn.NORM.S.DIST(Y893,0)/(sigma*SQRT(Q893))*I893*Mult/100))</f>
        <v/>
      </c>
      <c r="O893" s="96" t="str">
        <f>IF(A893="","",IF(A893=Expiry,0,D893*E893*E893*EXP(-q*Q893)*_xlfn.NORM.S.DIST(Y893,0)*SQRT(Q893)/100))</f>
        <v/>
      </c>
      <c r="P893" s="69" t="str">
        <f>IF(A893="","",IF(A893=Expiry,0,AK893*I893*Mult*((-EXP(-q*Q893)*E893*_xlfn.NORM.S.DIST(Y893,0)*sigma/(2*SQRT(Q893))-r_dom*K*EXP(-r_dom*Q893)*_xlfn.NORM.S.DIST(Z893,1)+q*E893*EXP(-q*Q893)*_xlfn.NORM.S.DIST(Y893,1))/365)))</f>
        <v/>
      </c>
      <c r="Q893" s="83" t="str">
        <f t="shared" si="359"/>
        <v/>
      </c>
      <c r="R893" s="38"/>
      <c r="S893" s="68" t="str">
        <f t="shared" si="360"/>
        <v/>
      </c>
      <c r="T893" s="69" t="str">
        <f t="shared" si="361"/>
        <v/>
      </c>
      <c r="U893" s="70" t="str">
        <f t="shared" si="362"/>
        <v/>
      </c>
      <c r="V893" s="72" t="str">
        <f t="shared" si="363"/>
        <v/>
      </c>
      <c r="W893" s="2" t="str">
        <f t="shared" si="350"/>
        <v/>
      </c>
      <c r="X893" s="2" t="str">
        <f t="shared" si="345"/>
        <v/>
      </c>
      <c r="Y893" s="35" t="str">
        <f t="shared" ca="1" si="364"/>
        <v/>
      </c>
      <c r="Z893" s="36" t="str">
        <f t="shared" ca="1" si="365"/>
        <v/>
      </c>
      <c r="AA893" s="70" t="str">
        <f t="shared" si="366"/>
        <v/>
      </c>
      <c r="AB893" s="2"/>
      <c r="AC893" s="94" t="str">
        <f t="shared" si="346"/>
        <v/>
      </c>
      <c r="AD893" s="95" t="str">
        <f t="shared" si="347"/>
        <v/>
      </c>
      <c r="AE893" s="96" t="str">
        <f t="shared" si="348"/>
        <v/>
      </c>
      <c r="AF893" s="124" t="str">
        <f t="shared" si="349"/>
        <v/>
      </c>
      <c r="AG893" s="2"/>
      <c r="AH893" s="2"/>
      <c r="AI893" s="2"/>
      <c r="AJ893" s="2"/>
      <c r="AK893" s="2"/>
      <c r="AL893" s="2"/>
    </row>
    <row r="894" spans="1:38" x14ac:dyDescent="0.2">
      <c r="A894" s="45"/>
      <c r="B894" s="43" t="str">
        <f t="shared" si="352"/>
        <v/>
      </c>
      <c r="C894" s="96" t="str">
        <f t="shared" si="351"/>
        <v/>
      </c>
      <c r="D894" s="44" t="str">
        <f t="shared" si="353"/>
        <v/>
      </c>
      <c r="E894" s="52"/>
      <c r="F894" s="63" t="str">
        <f t="shared" si="354"/>
        <v/>
      </c>
      <c r="G894" s="56" t="str">
        <f t="shared" si="355"/>
        <v/>
      </c>
      <c r="H894" s="42"/>
      <c r="I894" s="2" t="str">
        <f t="shared" si="356"/>
        <v/>
      </c>
      <c r="J894" s="54" t="str">
        <f t="shared" si="343"/>
        <v/>
      </c>
      <c r="K894" s="55" t="str">
        <f t="shared" si="357"/>
        <v/>
      </c>
      <c r="L894" s="63" t="str">
        <f t="shared" si="358"/>
        <v/>
      </c>
      <c r="M894" s="96" t="str">
        <f t="shared" si="344"/>
        <v/>
      </c>
      <c r="N894" s="96" t="str">
        <f>IF(A894="","",IF(A894=Expiry,0,EXP(-q*Q894)*_xlfn.NORM.S.DIST(Y894,0)/(sigma*SQRT(Q894))*I894*Mult/100))</f>
        <v/>
      </c>
      <c r="O894" s="96" t="str">
        <f>IF(A894="","",IF(A894=Expiry,0,D894*E894*E894*EXP(-q*Q894)*_xlfn.NORM.S.DIST(Y894,0)*SQRT(Q894)/100))</f>
        <v/>
      </c>
      <c r="P894" s="69" t="str">
        <f>IF(A894="","",IF(A894=Expiry,0,AK894*I894*Mult*((-EXP(-q*Q894)*E894*_xlfn.NORM.S.DIST(Y894,0)*sigma/(2*SQRT(Q894))-r_dom*K*EXP(-r_dom*Q894)*_xlfn.NORM.S.DIST(Z894,1)+q*E894*EXP(-q*Q894)*_xlfn.NORM.S.DIST(Y894,1))/365)))</f>
        <v/>
      </c>
      <c r="Q894" s="83" t="str">
        <f t="shared" si="359"/>
        <v/>
      </c>
      <c r="R894" s="38"/>
      <c r="S894" s="68" t="str">
        <f t="shared" si="360"/>
        <v/>
      </c>
      <c r="T894" s="69" t="str">
        <f t="shared" si="361"/>
        <v/>
      </c>
      <c r="U894" s="70" t="str">
        <f t="shared" si="362"/>
        <v/>
      </c>
      <c r="V894" s="72" t="str">
        <f t="shared" si="363"/>
        <v/>
      </c>
      <c r="W894" s="2" t="str">
        <f t="shared" si="350"/>
        <v/>
      </c>
      <c r="X894" s="2" t="str">
        <f t="shared" si="345"/>
        <v/>
      </c>
      <c r="Y894" s="35" t="str">
        <f t="shared" ca="1" si="364"/>
        <v/>
      </c>
      <c r="Z894" s="36" t="str">
        <f t="shared" ca="1" si="365"/>
        <v/>
      </c>
      <c r="AA894" s="70" t="str">
        <f t="shared" si="366"/>
        <v/>
      </c>
      <c r="AB894" s="2"/>
      <c r="AC894" s="94" t="str">
        <f t="shared" si="346"/>
        <v/>
      </c>
      <c r="AD894" s="95" t="str">
        <f t="shared" si="347"/>
        <v/>
      </c>
      <c r="AE894" s="96" t="str">
        <f t="shared" si="348"/>
        <v/>
      </c>
      <c r="AF894" s="124" t="str">
        <f t="shared" si="349"/>
        <v/>
      </c>
      <c r="AG894" s="2"/>
      <c r="AH894" s="2"/>
      <c r="AI894" s="2"/>
      <c r="AJ894" s="2"/>
      <c r="AK894" s="2"/>
      <c r="AL894" s="2"/>
    </row>
    <row r="895" spans="1:38" x14ac:dyDescent="0.2">
      <c r="A895" s="45"/>
      <c r="B895" s="43" t="str">
        <f t="shared" si="352"/>
        <v/>
      </c>
      <c r="C895" s="96" t="str">
        <f t="shared" si="351"/>
        <v/>
      </c>
      <c r="D895" s="44" t="str">
        <f t="shared" si="353"/>
        <v/>
      </c>
      <c r="E895" s="52"/>
      <c r="F895" s="63" t="str">
        <f t="shared" si="354"/>
        <v/>
      </c>
      <c r="G895" s="56" t="str">
        <f t="shared" si="355"/>
        <v/>
      </c>
      <c r="H895" s="42"/>
      <c r="I895" s="2" t="str">
        <f t="shared" si="356"/>
        <v/>
      </c>
      <c r="J895" s="54" t="str">
        <f t="shared" si="343"/>
        <v/>
      </c>
      <c r="K895" s="55" t="str">
        <f t="shared" si="357"/>
        <v/>
      </c>
      <c r="L895" s="63" t="str">
        <f t="shared" si="358"/>
        <v/>
      </c>
      <c r="M895" s="96" t="str">
        <f t="shared" si="344"/>
        <v/>
      </c>
      <c r="N895" s="96" t="str">
        <f>IF(A895="","",IF(A895=Expiry,0,EXP(-q*Q895)*_xlfn.NORM.S.DIST(Y895,0)/(sigma*SQRT(Q895))*I895*Mult/100))</f>
        <v/>
      </c>
      <c r="O895" s="96" t="str">
        <f>IF(A895="","",IF(A895=Expiry,0,D895*E895*E895*EXP(-q*Q895)*_xlfn.NORM.S.DIST(Y895,0)*SQRT(Q895)/100))</f>
        <v/>
      </c>
      <c r="P895" s="69" t="str">
        <f>IF(A895="","",IF(A895=Expiry,0,AK895*I895*Mult*((-EXP(-q*Q895)*E895*_xlfn.NORM.S.DIST(Y895,0)*sigma/(2*SQRT(Q895))-r_dom*K*EXP(-r_dom*Q895)*_xlfn.NORM.S.DIST(Z895,1)+q*E895*EXP(-q*Q895)*_xlfn.NORM.S.DIST(Y895,1))/365)))</f>
        <v/>
      </c>
      <c r="Q895" s="83" t="str">
        <f t="shared" si="359"/>
        <v/>
      </c>
      <c r="R895" s="38"/>
      <c r="S895" s="68" t="str">
        <f t="shared" si="360"/>
        <v/>
      </c>
      <c r="T895" s="69" t="str">
        <f t="shared" si="361"/>
        <v/>
      </c>
      <c r="U895" s="70" t="str">
        <f t="shared" si="362"/>
        <v/>
      </c>
      <c r="V895" s="72" t="str">
        <f t="shared" si="363"/>
        <v/>
      </c>
      <c r="W895" s="2" t="str">
        <f t="shared" si="350"/>
        <v/>
      </c>
      <c r="X895" s="2" t="str">
        <f t="shared" si="345"/>
        <v/>
      </c>
      <c r="Y895" s="35" t="str">
        <f t="shared" ca="1" si="364"/>
        <v/>
      </c>
      <c r="Z895" s="36" t="str">
        <f t="shared" ca="1" si="365"/>
        <v/>
      </c>
      <c r="AA895" s="70" t="str">
        <f t="shared" si="366"/>
        <v/>
      </c>
      <c r="AB895" s="2"/>
      <c r="AC895" s="94" t="str">
        <f t="shared" si="346"/>
        <v/>
      </c>
      <c r="AD895" s="95" t="str">
        <f t="shared" si="347"/>
        <v/>
      </c>
      <c r="AE895" s="96" t="str">
        <f t="shared" si="348"/>
        <v/>
      </c>
      <c r="AF895" s="124" t="str">
        <f t="shared" si="349"/>
        <v/>
      </c>
      <c r="AG895" s="2"/>
      <c r="AH895" s="2"/>
      <c r="AI895" s="2"/>
      <c r="AJ895" s="2"/>
      <c r="AK895" s="2"/>
      <c r="AL895" s="2"/>
    </row>
    <row r="896" spans="1:38" x14ac:dyDescent="0.2">
      <c r="A896" s="45"/>
      <c r="B896" s="43" t="str">
        <f t="shared" si="352"/>
        <v/>
      </c>
      <c r="C896" s="96" t="str">
        <f t="shared" si="351"/>
        <v/>
      </c>
      <c r="D896" s="44" t="str">
        <f t="shared" si="353"/>
        <v/>
      </c>
      <c r="E896" s="52"/>
      <c r="F896" s="63" t="str">
        <f t="shared" si="354"/>
        <v/>
      </c>
      <c r="G896" s="56" t="str">
        <f t="shared" si="355"/>
        <v/>
      </c>
      <c r="H896" s="42"/>
      <c r="I896" s="2" t="str">
        <f t="shared" si="356"/>
        <v/>
      </c>
      <c r="J896" s="54" t="str">
        <f t="shared" si="343"/>
        <v/>
      </c>
      <c r="K896" s="55" t="str">
        <f t="shared" si="357"/>
        <v/>
      </c>
      <c r="L896" s="63" t="str">
        <f t="shared" si="358"/>
        <v/>
      </c>
      <c r="M896" s="96" t="str">
        <f t="shared" si="344"/>
        <v/>
      </c>
      <c r="N896" s="96" t="str">
        <f>IF(A896="","",IF(A896=Expiry,0,EXP(-q*Q896)*_xlfn.NORM.S.DIST(Y896,0)/(sigma*SQRT(Q896))*I896*Mult/100))</f>
        <v/>
      </c>
      <c r="O896" s="96" t="str">
        <f>IF(A896="","",IF(A896=Expiry,0,D896*E896*E896*EXP(-q*Q896)*_xlfn.NORM.S.DIST(Y896,0)*SQRT(Q896)/100))</f>
        <v/>
      </c>
      <c r="P896" s="69" t="str">
        <f>IF(A896="","",IF(A896=Expiry,0,AK896*I896*Mult*((-EXP(-q*Q896)*E896*_xlfn.NORM.S.DIST(Y896,0)*sigma/(2*SQRT(Q896))-r_dom*K*EXP(-r_dom*Q896)*_xlfn.NORM.S.DIST(Z896,1)+q*E896*EXP(-q*Q896)*_xlfn.NORM.S.DIST(Y896,1))/365)))</f>
        <v/>
      </c>
      <c r="Q896" s="83" t="str">
        <f t="shared" si="359"/>
        <v/>
      </c>
      <c r="R896" s="38"/>
      <c r="S896" s="68" t="str">
        <f t="shared" si="360"/>
        <v/>
      </c>
      <c r="T896" s="69" t="str">
        <f t="shared" si="361"/>
        <v/>
      </c>
      <c r="U896" s="70" t="str">
        <f t="shared" si="362"/>
        <v/>
      </c>
      <c r="V896" s="72" t="str">
        <f t="shared" si="363"/>
        <v/>
      </c>
      <c r="W896" s="2" t="str">
        <f t="shared" si="350"/>
        <v/>
      </c>
      <c r="X896" s="2" t="str">
        <f t="shared" si="345"/>
        <v/>
      </c>
      <c r="Y896" s="35" t="str">
        <f t="shared" ca="1" si="364"/>
        <v/>
      </c>
      <c r="Z896" s="36" t="str">
        <f t="shared" ca="1" si="365"/>
        <v/>
      </c>
      <c r="AA896" s="70" t="str">
        <f t="shared" si="366"/>
        <v/>
      </c>
      <c r="AB896" s="2"/>
      <c r="AC896" s="94" t="str">
        <f t="shared" si="346"/>
        <v/>
      </c>
      <c r="AD896" s="95" t="str">
        <f t="shared" si="347"/>
        <v/>
      </c>
      <c r="AE896" s="96" t="str">
        <f t="shared" si="348"/>
        <v/>
      </c>
      <c r="AF896" s="124" t="str">
        <f t="shared" si="349"/>
        <v/>
      </c>
      <c r="AG896" s="2"/>
      <c r="AH896" s="2"/>
      <c r="AI896" s="2"/>
      <c r="AJ896" s="2"/>
      <c r="AK896" s="2"/>
      <c r="AL896" s="2"/>
    </row>
    <row r="897" spans="1:38" x14ac:dyDescent="0.2">
      <c r="A897" s="45"/>
      <c r="B897" s="43" t="str">
        <f t="shared" si="352"/>
        <v/>
      </c>
      <c r="C897" s="96" t="str">
        <f t="shared" si="351"/>
        <v/>
      </c>
      <c r="D897" s="44" t="str">
        <f t="shared" si="353"/>
        <v/>
      </c>
      <c r="E897" s="52"/>
      <c r="F897" s="63" t="str">
        <f t="shared" si="354"/>
        <v/>
      </c>
      <c r="G897" s="56" t="str">
        <f t="shared" si="355"/>
        <v/>
      </c>
      <c r="H897" s="42"/>
      <c r="I897" s="2" t="str">
        <f t="shared" si="356"/>
        <v/>
      </c>
      <c r="J897" s="54" t="str">
        <f t="shared" si="343"/>
        <v/>
      </c>
      <c r="K897" s="55" t="str">
        <f t="shared" si="357"/>
        <v/>
      </c>
      <c r="L897" s="63" t="str">
        <f t="shared" si="358"/>
        <v/>
      </c>
      <c r="M897" s="96" t="str">
        <f t="shared" si="344"/>
        <v/>
      </c>
      <c r="N897" s="96" t="str">
        <f>IF(A897="","",IF(A897=Expiry,0,EXP(-q*Q897)*_xlfn.NORM.S.DIST(Y897,0)/(sigma*SQRT(Q897))*I897*Mult/100))</f>
        <v/>
      </c>
      <c r="O897" s="96" t="str">
        <f>IF(A897="","",IF(A897=Expiry,0,D897*E897*E897*EXP(-q*Q897)*_xlfn.NORM.S.DIST(Y897,0)*SQRT(Q897)/100))</f>
        <v/>
      </c>
      <c r="P897" s="69" t="str">
        <f>IF(A897="","",IF(A897=Expiry,0,AK897*I897*Mult*((-EXP(-q*Q897)*E897*_xlfn.NORM.S.DIST(Y897,0)*sigma/(2*SQRT(Q897))-r_dom*K*EXP(-r_dom*Q897)*_xlfn.NORM.S.DIST(Z897,1)+q*E897*EXP(-q*Q897)*_xlfn.NORM.S.DIST(Y897,1))/365)))</f>
        <v/>
      </c>
      <c r="Q897" s="83" t="str">
        <f t="shared" si="359"/>
        <v/>
      </c>
      <c r="R897" s="38"/>
      <c r="S897" s="68" t="str">
        <f t="shared" si="360"/>
        <v/>
      </c>
      <c r="T897" s="69" t="str">
        <f t="shared" si="361"/>
        <v/>
      </c>
      <c r="U897" s="70" t="str">
        <f t="shared" si="362"/>
        <v/>
      </c>
      <c r="V897" s="72" t="str">
        <f t="shared" si="363"/>
        <v/>
      </c>
      <c r="W897" s="2" t="str">
        <f t="shared" si="350"/>
        <v/>
      </c>
      <c r="X897" s="2" t="str">
        <f t="shared" si="345"/>
        <v/>
      </c>
      <c r="Y897" s="35" t="str">
        <f t="shared" ca="1" si="364"/>
        <v/>
      </c>
      <c r="Z897" s="36" t="str">
        <f t="shared" ca="1" si="365"/>
        <v/>
      </c>
      <c r="AA897" s="70" t="str">
        <f t="shared" si="366"/>
        <v/>
      </c>
      <c r="AB897" s="2"/>
      <c r="AC897" s="94" t="str">
        <f t="shared" si="346"/>
        <v/>
      </c>
      <c r="AD897" s="95" t="str">
        <f t="shared" si="347"/>
        <v/>
      </c>
      <c r="AE897" s="96" t="str">
        <f t="shared" si="348"/>
        <v/>
      </c>
      <c r="AF897" s="124" t="str">
        <f t="shared" si="349"/>
        <v/>
      </c>
      <c r="AG897" s="2"/>
      <c r="AH897" s="2"/>
      <c r="AI897" s="2"/>
      <c r="AJ897" s="2"/>
      <c r="AK897" s="2"/>
      <c r="AL897" s="2"/>
    </row>
    <row r="898" spans="1:38" x14ac:dyDescent="0.2">
      <c r="A898" s="45"/>
      <c r="B898" s="43" t="str">
        <f t="shared" si="352"/>
        <v/>
      </c>
      <c r="C898" s="96" t="str">
        <f t="shared" si="351"/>
        <v/>
      </c>
      <c r="D898" s="44" t="str">
        <f t="shared" si="353"/>
        <v/>
      </c>
      <c r="E898" s="52"/>
      <c r="F898" s="63" t="str">
        <f t="shared" si="354"/>
        <v/>
      </c>
      <c r="G898" s="56" t="str">
        <f t="shared" si="355"/>
        <v/>
      </c>
      <c r="H898" s="42"/>
      <c r="I898" s="2" t="str">
        <f t="shared" si="356"/>
        <v/>
      </c>
      <c r="J898" s="54" t="str">
        <f t="shared" si="343"/>
        <v/>
      </c>
      <c r="K898" s="55" t="str">
        <f t="shared" si="357"/>
        <v/>
      </c>
      <c r="L898" s="63" t="str">
        <f t="shared" si="358"/>
        <v/>
      </c>
      <c r="M898" s="96" t="str">
        <f t="shared" si="344"/>
        <v/>
      </c>
      <c r="N898" s="96" t="str">
        <f>IF(A898="","",IF(A898=Expiry,0,EXP(-q*Q898)*_xlfn.NORM.S.DIST(Y898,0)/(sigma*SQRT(Q898))*I898*Mult/100))</f>
        <v/>
      </c>
      <c r="O898" s="96" t="str">
        <f>IF(A898="","",IF(A898=Expiry,0,D898*E898*E898*EXP(-q*Q898)*_xlfn.NORM.S.DIST(Y898,0)*SQRT(Q898)/100))</f>
        <v/>
      </c>
      <c r="P898" s="69" t="str">
        <f>IF(A898="","",IF(A898=Expiry,0,AK898*I898*Mult*((-EXP(-q*Q898)*E898*_xlfn.NORM.S.DIST(Y898,0)*sigma/(2*SQRT(Q898))-r_dom*K*EXP(-r_dom*Q898)*_xlfn.NORM.S.DIST(Z898,1)+q*E898*EXP(-q*Q898)*_xlfn.NORM.S.DIST(Y898,1))/365)))</f>
        <v/>
      </c>
      <c r="Q898" s="83" t="str">
        <f t="shared" si="359"/>
        <v/>
      </c>
      <c r="R898" s="38"/>
      <c r="S898" s="68" t="str">
        <f t="shared" si="360"/>
        <v/>
      </c>
      <c r="T898" s="69" t="str">
        <f t="shared" si="361"/>
        <v/>
      </c>
      <c r="U898" s="70" t="str">
        <f t="shared" si="362"/>
        <v/>
      </c>
      <c r="V898" s="72" t="str">
        <f t="shared" si="363"/>
        <v/>
      </c>
      <c r="W898" s="2" t="str">
        <f t="shared" si="350"/>
        <v/>
      </c>
      <c r="X898" s="2" t="str">
        <f t="shared" si="345"/>
        <v/>
      </c>
      <c r="Y898" s="35" t="str">
        <f t="shared" ca="1" si="364"/>
        <v/>
      </c>
      <c r="Z898" s="36" t="str">
        <f t="shared" ca="1" si="365"/>
        <v/>
      </c>
      <c r="AA898" s="70" t="str">
        <f t="shared" si="366"/>
        <v/>
      </c>
      <c r="AB898" s="2"/>
      <c r="AC898" s="94" t="str">
        <f t="shared" si="346"/>
        <v/>
      </c>
      <c r="AD898" s="95" t="str">
        <f t="shared" si="347"/>
        <v/>
      </c>
      <c r="AE898" s="96" t="str">
        <f t="shared" si="348"/>
        <v/>
      </c>
      <c r="AF898" s="124" t="str">
        <f t="shared" si="349"/>
        <v/>
      </c>
      <c r="AG898" s="2"/>
      <c r="AH898" s="2"/>
      <c r="AI898" s="2"/>
      <c r="AJ898" s="2"/>
      <c r="AK898" s="2"/>
      <c r="AL898" s="2"/>
    </row>
    <row r="899" spans="1:38" x14ac:dyDescent="0.2">
      <c r="A899" s="45"/>
      <c r="B899" s="43" t="str">
        <f t="shared" si="352"/>
        <v/>
      </c>
      <c r="C899" s="96" t="str">
        <f t="shared" si="351"/>
        <v/>
      </c>
      <c r="D899" s="44" t="str">
        <f t="shared" si="353"/>
        <v/>
      </c>
      <c r="E899" s="52"/>
      <c r="F899" s="63" t="str">
        <f t="shared" si="354"/>
        <v/>
      </c>
      <c r="G899" s="56" t="str">
        <f t="shared" si="355"/>
        <v/>
      </c>
      <c r="H899" s="42"/>
      <c r="I899" s="2" t="str">
        <f t="shared" si="356"/>
        <v/>
      </c>
      <c r="J899" s="54" t="str">
        <f t="shared" si="343"/>
        <v/>
      </c>
      <c r="K899" s="55" t="str">
        <f t="shared" si="357"/>
        <v/>
      </c>
      <c r="L899" s="63" t="str">
        <f t="shared" si="358"/>
        <v/>
      </c>
      <c r="M899" s="96" t="str">
        <f t="shared" si="344"/>
        <v/>
      </c>
      <c r="N899" s="96" t="str">
        <f>IF(A899="","",IF(A899=Expiry,0,EXP(-q*Q899)*_xlfn.NORM.S.DIST(Y899,0)/(sigma*SQRT(Q899))*I899*Mult/100))</f>
        <v/>
      </c>
      <c r="O899" s="96" t="str">
        <f>IF(A899="","",IF(A899=Expiry,0,D899*E899*E899*EXP(-q*Q899)*_xlfn.NORM.S.DIST(Y899,0)*SQRT(Q899)/100))</f>
        <v/>
      </c>
      <c r="P899" s="69" t="str">
        <f>IF(A899="","",IF(A899=Expiry,0,AK899*I899*Mult*((-EXP(-q*Q899)*E899*_xlfn.NORM.S.DIST(Y899,0)*sigma/(2*SQRT(Q899))-r_dom*K*EXP(-r_dom*Q899)*_xlfn.NORM.S.DIST(Z899,1)+q*E899*EXP(-q*Q899)*_xlfn.NORM.S.DIST(Y899,1))/365)))</f>
        <v/>
      </c>
      <c r="Q899" s="83" t="str">
        <f t="shared" si="359"/>
        <v/>
      </c>
      <c r="R899" s="38"/>
      <c r="S899" s="68" t="str">
        <f t="shared" si="360"/>
        <v/>
      </c>
      <c r="T899" s="69" t="str">
        <f t="shared" si="361"/>
        <v/>
      </c>
      <c r="U899" s="70" t="str">
        <f t="shared" si="362"/>
        <v/>
      </c>
      <c r="V899" s="72" t="str">
        <f t="shared" si="363"/>
        <v/>
      </c>
      <c r="W899" s="2" t="str">
        <f t="shared" si="350"/>
        <v/>
      </c>
      <c r="X899" s="2" t="str">
        <f t="shared" si="345"/>
        <v/>
      </c>
      <c r="Y899" s="35" t="str">
        <f t="shared" ca="1" si="364"/>
        <v/>
      </c>
      <c r="Z899" s="36" t="str">
        <f t="shared" ca="1" si="365"/>
        <v/>
      </c>
      <c r="AA899" s="70" t="str">
        <f t="shared" si="366"/>
        <v/>
      </c>
      <c r="AB899" s="2"/>
      <c r="AC899" s="94" t="str">
        <f t="shared" si="346"/>
        <v/>
      </c>
      <c r="AD899" s="95" t="str">
        <f t="shared" si="347"/>
        <v/>
      </c>
      <c r="AE899" s="96" t="str">
        <f t="shared" si="348"/>
        <v/>
      </c>
      <c r="AF899" s="124" t="str">
        <f t="shared" si="349"/>
        <v/>
      </c>
      <c r="AG899" s="2"/>
      <c r="AH899" s="2"/>
      <c r="AI899" s="2"/>
      <c r="AJ899" s="2"/>
      <c r="AK899" s="2"/>
      <c r="AL899" s="2"/>
    </row>
    <row r="900" spans="1:38" x14ac:dyDescent="0.2">
      <c r="A900" s="45"/>
      <c r="B900" s="43" t="str">
        <f t="shared" si="352"/>
        <v/>
      </c>
      <c r="C900" s="96" t="str">
        <f t="shared" si="351"/>
        <v/>
      </c>
      <c r="D900" s="44" t="str">
        <f t="shared" si="353"/>
        <v/>
      </c>
      <c r="E900" s="52"/>
      <c r="F900" s="63" t="str">
        <f t="shared" si="354"/>
        <v/>
      </c>
      <c r="G900" s="56" t="str">
        <f t="shared" si="355"/>
        <v/>
      </c>
      <c r="H900" s="42"/>
      <c r="I900" s="2" t="str">
        <f t="shared" si="356"/>
        <v/>
      </c>
      <c r="J900" s="54" t="str">
        <f t="shared" si="343"/>
        <v/>
      </c>
      <c r="K900" s="55" t="str">
        <f t="shared" si="357"/>
        <v/>
      </c>
      <c r="L900" s="63" t="str">
        <f t="shared" si="358"/>
        <v/>
      </c>
      <c r="M900" s="96" t="str">
        <f t="shared" si="344"/>
        <v/>
      </c>
      <c r="N900" s="96" t="str">
        <f>IF(A900="","",IF(A900=Expiry,0,EXP(-q*Q900)*_xlfn.NORM.S.DIST(Y900,0)/(sigma*SQRT(Q900))*I900*Mult/100))</f>
        <v/>
      </c>
      <c r="O900" s="96" t="str">
        <f>IF(A900="","",IF(A900=Expiry,0,D900*E900*E900*EXP(-q*Q900)*_xlfn.NORM.S.DIST(Y900,0)*SQRT(Q900)/100))</f>
        <v/>
      </c>
      <c r="P900" s="69" t="str">
        <f>IF(A900="","",IF(A900=Expiry,0,AK900*I900*Mult*((-EXP(-q*Q900)*E900*_xlfn.NORM.S.DIST(Y900,0)*sigma/(2*SQRT(Q900))-r_dom*K*EXP(-r_dom*Q900)*_xlfn.NORM.S.DIST(Z900,1)+q*E900*EXP(-q*Q900)*_xlfn.NORM.S.DIST(Y900,1))/365)))</f>
        <v/>
      </c>
      <c r="Q900" s="83" t="str">
        <f t="shared" si="359"/>
        <v/>
      </c>
      <c r="R900" s="38"/>
      <c r="S900" s="68" t="str">
        <f t="shared" si="360"/>
        <v/>
      </c>
      <c r="T900" s="69" t="str">
        <f t="shared" si="361"/>
        <v/>
      </c>
      <c r="U900" s="70" t="str">
        <f t="shared" si="362"/>
        <v/>
      </c>
      <c r="V900" s="72" t="str">
        <f t="shared" si="363"/>
        <v/>
      </c>
      <c r="W900" s="2" t="str">
        <f t="shared" si="350"/>
        <v/>
      </c>
      <c r="X900" s="2" t="str">
        <f t="shared" si="345"/>
        <v/>
      </c>
      <c r="Y900" s="35" t="str">
        <f t="shared" ca="1" si="364"/>
        <v/>
      </c>
      <c r="Z900" s="36" t="str">
        <f t="shared" ca="1" si="365"/>
        <v/>
      </c>
      <c r="AA900" s="70" t="str">
        <f t="shared" si="366"/>
        <v/>
      </c>
      <c r="AB900" s="2"/>
      <c r="AC900" s="94" t="str">
        <f t="shared" si="346"/>
        <v/>
      </c>
      <c r="AD900" s="95" t="str">
        <f t="shared" si="347"/>
        <v/>
      </c>
      <c r="AE900" s="96" t="str">
        <f t="shared" si="348"/>
        <v/>
      </c>
      <c r="AF900" s="124" t="str">
        <f t="shared" si="349"/>
        <v/>
      </c>
      <c r="AG900" s="2"/>
      <c r="AH900" s="2"/>
      <c r="AI900" s="2"/>
      <c r="AJ900" s="2"/>
      <c r="AK900" s="2"/>
      <c r="AL900" s="2"/>
    </row>
    <row r="901" spans="1:38" x14ac:dyDescent="0.2">
      <c r="A901" s="45"/>
      <c r="B901" s="43" t="str">
        <f t="shared" si="352"/>
        <v/>
      </c>
      <c r="C901" s="96" t="str">
        <f t="shared" si="351"/>
        <v/>
      </c>
      <c r="D901" s="44" t="str">
        <f t="shared" si="353"/>
        <v/>
      </c>
      <c r="E901" s="52"/>
      <c r="F901" s="63" t="str">
        <f t="shared" si="354"/>
        <v/>
      </c>
      <c r="G901" s="56" t="str">
        <f t="shared" si="355"/>
        <v/>
      </c>
      <c r="H901" s="42"/>
      <c r="I901" s="2" t="str">
        <f t="shared" si="356"/>
        <v/>
      </c>
      <c r="J901" s="54" t="str">
        <f t="shared" si="343"/>
        <v/>
      </c>
      <c r="K901" s="55" t="str">
        <f t="shared" si="357"/>
        <v/>
      </c>
      <c r="L901" s="63" t="str">
        <f t="shared" si="358"/>
        <v/>
      </c>
      <c r="M901" s="96" t="str">
        <f t="shared" si="344"/>
        <v/>
      </c>
      <c r="N901" s="96" t="str">
        <f>IF(A901="","",IF(A901=Expiry,0,EXP(-q*Q901)*_xlfn.NORM.S.DIST(Y901,0)/(sigma*SQRT(Q901))*I901*Mult/100))</f>
        <v/>
      </c>
      <c r="O901" s="96" t="str">
        <f>IF(A901="","",IF(A901=Expiry,0,D901*E901*E901*EXP(-q*Q901)*_xlfn.NORM.S.DIST(Y901,0)*SQRT(Q901)/100))</f>
        <v/>
      </c>
      <c r="P901" s="69" t="str">
        <f>IF(A901="","",IF(A901=Expiry,0,AK901*I901*Mult*((-EXP(-q*Q901)*E901*_xlfn.NORM.S.DIST(Y901,0)*sigma/(2*SQRT(Q901))-r_dom*K*EXP(-r_dom*Q901)*_xlfn.NORM.S.DIST(Z901,1)+q*E901*EXP(-q*Q901)*_xlfn.NORM.S.DIST(Y901,1))/365)))</f>
        <v/>
      </c>
      <c r="Q901" s="83" t="str">
        <f t="shared" si="359"/>
        <v/>
      </c>
      <c r="R901" s="38"/>
      <c r="S901" s="68" t="str">
        <f t="shared" si="360"/>
        <v/>
      </c>
      <c r="T901" s="69" t="str">
        <f t="shared" si="361"/>
        <v/>
      </c>
      <c r="U901" s="70" t="str">
        <f t="shared" si="362"/>
        <v/>
      </c>
      <c r="V901" s="72" t="str">
        <f t="shared" si="363"/>
        <v/>
      </c>
      <c r="W901" s="2" t="str">
        <f t="shared" si="350"/>
        <v/>
      </c>
      <c r="X901" s="2" t="str">
        <f t="shared" si="345"/>
        <v/>
      </c>
      <c r="Y901" s="35" t="str">
        <f t="shared" ca="1" si="364"/>
        <v/>
      </c>
      <c r="Z901" s="36" t="str">
        <f t="shared" ca="1" si="365"/>
        <v/>
      </c>
      <c r="AA901" s="70" t="str">
        <f t="shared" si="366"/>
        <v/>
      </c>
      <c r="AB901" s="2"/>
      <c r="AC901" s="94" t="str">
        <f t="shared" si="346"/>
        <v/>
      </c>
      <c r="AD901" s="95" t="str">
        <f t="shared" si="347"/>
        <v/>
      </c>
      <c r="AE901" s="96" t="str">
        <f t="shared" si="348"/>
        <v/>
      </c>
      <c r="AF901" s="124" t="str">
        <f t="shared" si="349"/>
        <v/>
      </c>
      <c r="AG901" s="2"/>
      <c r="AH901" s="2"/>
      <c r="AI901" s="2"/>
      <c r="AJ901" s="2"/>
      <c r="AK901" s="2"/>
      <c r="AL901" s="2"/>
    </row>
    <row r="902" spans="1:38" x14ac:dyDescent="0.2">
      <c r="A902" s="45"/>
      <c r="B902" s="43" t="str">
        <f t="shared" si="352"/>
        <v/>
      </c>
      <c r="C902" s="96" t="str">
        <f t="shared" si="351"/>
        <v/>
      </c>
      <c r="D902" s="44" t="str">
        <f t="shared" si="353"/>
        <v/>
      </c>
      <c r="E902" s="52"/>
      <c r="F902" s="63" t="str">
        <f t="shared" si="354"/>
        <v/>
      </c>
      <c r="G902" s="56" t="str">
        <f t="shared" si="355"/>
        <v/>
      </c>
      <c r="H902" s="42"/>
      <c r="I902" s="2" t="str">
        <f t="shared" si="356"/>
        <v/>
      </c>
      <c r="J902" s="54" t="str">
        <f t="shared" si="343"/>
        <v/>
      </c>
      <c r="K902" s="55" t="str">
        <f t="shared" si="357"/>
        <v/>
      </c>
      <c r="L902" s="63" t="str">
        <f t="shared" si="358"/>
        <v/>
      </c>
      <c r="M902" s="96" t="str">
        <f t="shared" si="344"/>
        <v/>
      </c>
      <c r="N902" s="96" t="str">
        <f>IF(A902="","",IF(A902=Expiry,0,EXP(-q*Q902)*_xlfn.NORM.S.DIST(Y902,0)/(sigma*SQRT(Q902))*I902*Mult/100))</f>
        <v/>
      </c>
      <c r="O902" s="96" t="str">
        <f>IF(A902="","",IF(A902=Expiry,0,D902*E902*E902*EXP(-q*Q902)*_xlfn.NORM.S.DIST(Y902,0)*SQRT(Q902)/100))</f>
        <v/>
      </c>
      <c r="P902" s="69" t="str">
        <f>IF(A902="","",IF(A902=Expiry,0,AK902*I902*Mult*((-EXP(-q*Q902)*E902*_xlfn.NORM.S.DIST(Y902,0)*sigma/(2*SQRT(Q902))-r_dom*K*EXP(-r_dom*Q902)*_xlfn.NORM.S.DIST(Z902,1)+q*E902*EXP(-q*Q902)*_xlfn.NORM.S.DIST(Y902,1))/365)))</f>
        <v/>
      </c>
      <c r="Q902" s="83" t="str">
        <f t="shared" si="359"/>
        <v/>
      </c>
      <c r="R902" s="38"/>
      <c r="S902" s="68" t="str">
        <f t="shared" si="360"/>
        <v/>
      </c>
      <c r="T902" s="69" t="str">
        <f t="shared" si="361"/>
        <v/>
      </c>
      <c r="U902" s="70" t="str">
        <f t="shared" si="362"/>
        <v/>
      </c>
      <c r="V902" s="72" t="str">
        <f t="shared" si="363"/>
        <v/>
      </c>
      <c r="W902" s="2" t="str">
        <f t="shared" si="350"/>
        <v/>
      </c>
      <c r="X902" s="2" t="str">
        <f t="shared" si="345"/>
        <v/>
      </c>
      <c r="Y902" s="35" t="str">
        <f t="shared" ca="1" si="364"/>
        <v/>
      </c>
      <c r="Z902" s="36" t="str">
        <f t="shared" ca="1" si="365"/>
        <v/>
      </c>
      <c r="AA902" s="70" t="str">
        <f t="shared" si="366"/>
        <v/>
      </c>
      <c r="AB902" s="2"/>
      <c r="AC902" s="94" t="str">
        <f t="shared" si="346"/>
        <v/>
      </c>
      <c r="AD902" s="95" t="str">
        <f t="shared" si="347"/>
        <v/>
      </c>
      <c r="AE902" s="96" t="str">
        <f t="shared" si="348"/>
        <v/>
      </c>
      <c r="AF902" s="124" t="str">
        <f t="shared" si="349"/>
        <v/>
      </c>
      <c r="AG902" s="2"/>
      <c r="AH902" s="2"/>
      <c r="AI902" s="2"/>
      <c r="AJ902" s="2"/>
      <c r="AK902" s="2"/>
      <c r="AL902" s="2"/>
    </row>
    <row r="903" spans="1:38" x14ac:dyDescent="0.2">
      <c r="A903" s="45"/>
      <c r="B903" s="43" t="str">
        <f t="shared" si="352"/>
        <v/>
      </c>
      <c r="C903" s="96" t="str">
        <f t="shared" si="351"/>
        <v/>
      </c>
      <c r="D903" s="44" t="str">
        <f t="shared" si="353"/>
        <v/>
      </c>
      <c r="E903" s="52"/>
      <c r="F903" s="63" t="str">
        <f t="shared" si="354"/>
        <v/>
      </c>
      <c r="G903" s="56" t="str">
        <f t="shared" si="355"/>
        <v/>
      </c>
      <c r="H903" s="42"/>
      <c r="I903" s="2" t="str">
        <f t="shared" si="356"/>
        <v/>
      </c>
      <c r="J903" s="54" t="str">
        <f t="shared" si="343"/>
        <v/>
      </c>
      <c r="K903" s="55" t="str">
        <f t="shared" si="357"/>
        <v/>
      </c>
      <c r="L903" s="63" t="str">
        <f t="shared" si="358"/>
        <v/>
      </c>
      <c r="M903" s="96" t="str">
        <f t="shared" si="344"/>
        <v/>
      </c>
      <c r="N903" s="96" t="str">
        <f>IF(A903="","",IF(A903=Expiry,0,EXP(-q*Q903)*_xlfn.NORM.S.DIST(Y903,0)/(sigma*SQRT(Q903))*I903*Mult/100))</f>
        <v/>
      </c>
      <c r="O903" s="96" t="str">
        <f>IF(A903="","",IF(A903=Expiry,0,D903*E903*E903*EXP(-q*Q903)*_xlfn.NORM.S.DIST(Y903,0)*SQRT(Q903)/100))</f>
        <v/>
      </c>
      <c r="P903" s="69" t="str">
        <f>IF(A903="","",IF(A903=Expiry,0,AK903*I903*Mult*((-EXP(-q*Q903)*E903*_xlfn.NORM.S.DIST(Y903,0)*sigma/(2*SQRT(Q903))-r_dom*K*EXP(-r_dom*Q903)*_xlfn.NORM.S.DIST(Z903,1)+q*E903*EXP(-q*Q903)*_xlfn.NORM.S.DIST(Y903,1))/365)))</f>
        <v/>
      </c>
      <c r="Q903" s="83" t="str">
        <f t="shared" si="359"/>
        <v/>
      </c>
      <c r="R903" s="38"/>
      <c r="S903" s="68" t="str">
        <f t="shared" si="360"/>
        <v/>
      </c>
      <c r="T903" s="69" t="str">
        <f t="shared" si="361"/>
        <v/>
      </c>
      <c r="U903" s="70" t="str">
        <f t="shared" si="362"/>
        <v/>
      </c>
      <c r="V903" s="72" t="str">
        <f t="shared" si="363"/>
        <v/>
      </c>
      <c r="W903" s="2" t="str">
        <f t="shared" si="350"/>
        <v/>
      </c>
      <c r="X903" s="2" t="str">
        <f t="shared" si="345"/>
        <v/>
      </c>
      <c r="Y903" s="35" t="str">
        <f t="shared" ca="1" si="364"/>
        <v/>
      </c>
      <c r="Z903" s="36" t="str">
        <f t="shared" ca="1" si="365"/>
        <v/>
      </c>
      <c r="AA903" s="70" t="str">
        <f t="shared" si="366"/>
        <v/>
      </c>
      <c r="AB903" s="2"/>
      <c r="AC903" s="94" t="str">
        <f t="shared" si="346"/>
        <v/>
      </c>
      <c r="AD903" s="95" t="str">
        <f t="shared" si="347"/>
        <v/>
      </c>
      <c r="AE903" s="96" t="str">
        <f t="shared" si="348"/>
        <v/>
      </c>
      <c r="AF903" s="124" t="str">
        <f t="shared" si="349"/>
        <v/>
      </c>
      <c r="AG903" s="2"/>
      <c r="AH903" s="2"/>
      <c r="AI903" s="2"/>
      <c r="AJ903" s="2"/>
      <c r="AK903" s="2"/>
      <c r="AL903" s="2"/>
    </row>
    <row r="904" spans="1:38" x14ac:dyDescent="0.2">
      <c r="A904" s="45"/>
      <c r="B904" s="43" t="str">
        <f t="shared" si="352"/>
        <v/>
      </c>
      <c r="C904" s="96" t="str">
        <f t="shared" si="351"/>
        <v/>
      </c>
      <c r="D904" s="44" t="str">
        <f t="shared" si="353"/>
        <v/>
      </c>
      <c r="E904" s="52"/>
      <c r="F904" s="63" t="str">
        <f t="shared" si="354"/>
        <v/>
      </c>
      <c r="G904" s="56" t="str">
        <f t="shared" si="355"/>
        <v/>
      </c>
      <c r="H904" s="42"/>
      <c r="I904" s="2" t="str">
        <f t="shared" si="356"/>
        <v/>
      </c>
      <c r="J904" s="54" t="str">
        <f t="shared" si="343"/>
        <v/>
      </c>
      <c r="K904" s="55" t="str">
        <f t="shared" si="357"/>
        <v/>
      </c>
      <c r="L904" s="63" t="str">
        <f t="shared" si="358"/>
        <v/>
      </c>
      <c r="M904" s="96" t="str">
        <f t="shared" si="344"/>
        <v/>
      </c>
      <c r="N904" s="96" t="str">
        <f>IF(A904="","",IF(A904=Expiry,0,EXP(-q*Q904)*_xlfn.NORM.S.DIST(Y904,0)/(sigma*SQRT(Q904))*I904*Mult/100))</f>
        <v/>
      </c>
      <c r="O904" s="96" t="str">
        <f>IF(A904="","",IF(A904=Expiry,0,D904*E904*E904*EXP(-q*Q904)*_xlfn.NORM.S.DIST(Y904,0)*SQRT(Q904)/100))</f>
        <v/>
      </c>
      <c r="P904" s="69" t="str">
        <f>IF(A904="","",IF(A904=Expiry,0,AK904*I904*Mult*((-EXP(-q*Q904)*E904*_xlfn.NORM.S.DIST(Y904,0)*sigma/(2*SQRT(Q904))-r_dom*K*EXP(-r_dom*Q904)*_xlfn.NORM.S.DIST(Z904,1)+q*E904*EXP(-q*Q904)*_xlfn.NORM.S.DIST(Y904,1))/365)))</f>
        <v/>
      </c>
      <c r="Q904" s="83" t="str">
        <f t="shared" si="359"/>
        <v/>
      </c>
      <c r="R904" s="38"/>
      <c r="S904" s="68" t="str">
        <f t="shared" si="360"/>
        <v/>
      </c>
      <c r="T904" s="69" t="str">
        <f t="shared" si="361"/>
        <v/>
      </c>
      <c r="U904" s="70" t="str">
        <f t="shared" si="362"/>
        <v/>
      </c>
      <c r="V904" s="72" t="str">
        <f t="shared" si="363"/>
        <v/>
      </c>
      <c r="W904" s="2" t="str">
        <f t="shared" si="350"/>
        <v/>
      </c>
      <c r="X904" s="2" t="str">
        <f t="shared" si="345"/>
        <v/>
      </c>
      <c r="Y904" s="35" t="str">
        <f t="shared" ca="1" si="364"/>
        <v/>
      </c>
      <c r="Z904" s="36" t="str">
        <f t="shared" ca="1" si="365"/>
        <v/>
      </c>
      <c r="AA904" s="70" t="str">
        <f t="shared" si="366"/>
        <v/>
      </c>
      <c r="AB904" s="2"/>
      <c r="AC904" s="94" t="str">
        <f t="shared" si="346"/>
        <v/>
      </c>
      <c r="AD904" s="95" t="str">
        <f t="shared" si="347"/>
        <v/>
      </c>
      <c r="AE904" s="96" t="str">
        <f t="shared" si="348"/>
        <v/>
      </c>
      <c r="AF904" s="124" t="str">
        <f t="shared" si="349"/>
        <v/>
      </c>
      <c r="AG904" s="2"/>
      <c r="AH904" s="2"/>
      <c r="AI904" s="2"/>
      <c r="AJ904" s="2"/>
      <c r="AK904" s="2"/>
      <c r="AL904" s="2"/>
    </row>
    <row r="905" spans="1:38" x14ac:dyDescent="0.2">
      <c r="A905" s="45"/>
      <c r="B905" s="43" t="str">
        <f t="shared" si="352"/>
        <v/>
      </c>
      <c r="C905" s="96" t="str">
        <f t="shared" si="351"/>
        <v/>
      </c>
      <c r="D905" s="44" t="str">
        <f t="shared" si="353"/>
        <v/>
      </c>
      <c r="E905" s="52"/>
      <c r="F905" s="63" t="str">
        <f t="shared" si="354"/>
        <v/>
      </c>
      <c r="G905" s="56" t="str">
        <f t="shared" si="355"/>
        <v/>
      </c>
      <c r="H905" s="42"/>
      <c r="I905" s="2" t="str">
        <f t="shared" si="356"/>
        <v/>
      </c>
      <c r="J905" s="54" t="str">
        <f t="shared" si="343"/>
        <v/>
      </c>
      <c r="K905" s="55" t="str">
        <f t="shared" si="357"/>
        <v/>
      </c>
      <c r="L905" s="63" t="str">
        <f t="shared" si="358"/>
        <v/>
      </c>
      <c r="M905" s="96" t="str">
        <f t="shared" si="344"/>
        <v/>
      </c>
      <c r="N905" s="96" t="str">
        <f>IF(A905="","",IF(A905=Expiry,0,EXP(-q*Q905)*_xlfn.NORM.S.DIST(Y905,0)/(sigma*SQRT(Q905))*I905*Mult/100))</f>
        <v/>
      </c>
      <c r="O905" s="96" t="str">
        <f>IF(A905="","",IF(A905=Expiry,0,D905*E905*E905*EXP(-q*Q905)*_xlfn.NORM.S.DIST(Y905,0)*SQRT(Q905)/100))</f>
        <v/>
      </c>
      <c r="P905" s="69" t="str">
        <f>IF(A905="","",IF(A905=Expiry,0,AK905*I905*Mult*((-EXP(-q*Q905)*E905*_xlfn.NORM.S.DIST(Y905,0)*sigma/(2*SQRT(Q905))-r_dom*K*EXP(-r_dom*Q905)*_xlfn.NORM.S.DIST(Z905,1)+q*E905*EXP(-q*Q905)*_xlfn.NORM.S.DIST(Y905,1))/365)))</f>
        <v/>
      </c>
      <c r="Q905" s="83" t="str">
        <f t="shared" si="359"/>
        <v/>
      </c>
      <c r="R905" s="38"/>
      <c r="S905" s="68" t="str">
        <f t="shared" si="360"/>
        <v/>
      </c>
      <c r="T905" s="69" t="str">
        <f t="shared" si="361"/>
        <v/>
      </c>
      <c r="U905" s="70" t="str">
        <f t="shared" si="362"/>
        <v/>
      </c>
      <c r="V905" s="72" t="str">
        <f t="shared" si="363"/>
        <v/>
      </c>
      <c r="W905" s="2" t="str">
        <f t="shared" si="350"/>
        <v/>
      </c>
      <c r="X905" s="2" t="str">
        <f t="shared" si="345"/>
        <v/>
      </c>
      <c r="Y905" s="35" t="str">
        <f t="shared" ca="1" si="364"/>
        <v/>
      </c>
      <c r="Z905" s="36" t="str">
        <f t="shared" ca="1" si="365"/>
        <v/>
      </c>
      <c r="AA905" s="70" t="str">
        <f t="shared" si="366"/>
        <v/>
      </c>
      <c r="AB905" s="2"/>
      <c r="AC905" s="94" t="str">
        <f t="shared" si="346"/>
        <v/>
      </c>
      <c r="AD905" s="95" t="str">
        <f t="shared" si="347"/>
        <v/>
      </c>
      <c r="AE905" s="96" t="str">
        <f t="shared" si="348"/>
        <v/>
      </c>
      <c r="AF905" s="124" t="str">
        <f t="shared" si="349"/>
        <v/>
      </c>
      <c r="AG905" s="2"/>
      <c r="AH905" s="2"/>
      <c r="AI905" s="2"/>
      <c r="AJ905" s="2"/>
      <c r="AK905" s="2"/>
      <c r="AL905" s="2"/>
    </row>
    <row r="906" spans="1:38" x14ac:dyDescent="0.2">
      <c r="A906" s="45"/>
      <c r="B906" s="43" t="str">
        <f t="shared" si="352"/>
        <v/>
      </c>
      <c r="C906" s="96" t="str">
        <f t="shared" si="351"/>
        <v/>
      </c>
      <c r="D906" s="44" t="str">
        <f t="shared" si="353"/>
        <v/>
      </c>
      <c r="E906" s="52"/>
      <c r="F906" s="63" t="str">
        <f t="shared" si="354"/>
        <v/>
      </c>
      <c r="G906" s="56" t="str">
        <f t="shared" si="355"/>
        <v/>
      </c>
      <c r="H906" s="42"/>
      <c r="I906" s="2" t="str">
        <f t="shared" si="356"/>
        <v/>
      </c>
      <c r="J906" s="54" t="str">
        <f t="shared" si="343"/>
        <v/>
      </c>
      <c r="K906" s="55" t="str">
        <f t="shared" si="357"/>
        <v/>
      </c>
      <c r="L906" s="63" t="str">
        <f t="shared" si="358"/>
        <v/>
      </c>
      <c r="M906" s="96" t="str">
        <f t="shared" si="344"/>
        <v/>
      </c>
      <c r="N906" s="96" t="str">
        <f>IF(A906="","",IF(A906=Expiry,0,EXP(-q*Q906)*_xlfn.NORM.S.DIST(Y906,0)/(sigma*SQRT(Q906))*I906*Mult/100))</f>
        <v/>
      </c>
      <c r="O906" s="96" t="str">
        <f>IF(A906="","",IF(A906=Expiry,0,D906*E906*E906*EXP(-q*Q906)*_xlfn.NORM.S.DIST(Y906,0)*SQRT(Q906)/100))</f>
        <v/>
      </c>
      <c r="P906" s="69" t="str">
        <f>IF(A906="","",IF(A906=Expiry,0,AK906*I906*Mult*((-EXP(-q*Q906)*E906*_xlfn.NORM.S.DIST(Y906,0)*sigma/(2*SQRT(Q906))-r_dom*K*EXP(-r_dom*Q906)*_xlfn.NORM.S.DIST(Z906,1)+q*E906*EXP(-q*Q906)*_xlfn.NORM.S.DIST(Y906,1))/365)))</f>
        <v/>
      </c>
      <c r="Q906" s="83" t="str">
        <f t="shared" si="359"/>
        <v/>
      </c>
      <c r="R906" s="38"/>
      <c r="S906" s="68" t="str">
        <f t="shared" si="360"/>
        <v/>
      </c>
      <c r="T906" s="69" t="str">
        <f t="shared" si="361"/>
        <v/>
      </c>
      <c r="U906" s="70" t="str">
        <f t="shared" si="362"/>
        <v/>
      </c>
      <c r="V906" s="72" t="str">
        <f t="shared" si="363"/>
        <v/>
      </c>
      <c r="W906" s="2" t="str">
        <f t="shared" si="350"/>
        <v/>
      </c>
      <c r="X906" s="2" t="str">
        <f t="shared" si="345"/>
        <v/>
      </c>
      <c r="Y906" s="35" t="str">
        <f t="shared" ca="1" si="364"/>
        <v/>
      </c>
      <c r="Z906" s="36" t="str">
        <f t="shared" ca="1" si="365"/>
        <v/>
      </c>
      <c r="AA906" s="70" t="str">
        <f t="shared" si="366"/>
        <v/>
      </c>
      <c r="AB906" s="2"/>
      <c r="AC906" s="94" t="str">
        <f t="shared" si="346"/>
        <v/>
      </c>
      <c r="AD906" s="95" t="str">
        <f t="shared" si="347"/>
        <v/>
      </c>
      <c r="AE906" s="96" t="str">
        <f t="shared" si="348"/>
        <v/>
      </c>
      <c r="AF906" s="124" t="str">
        <f t="shared" si="349"/>
        <v/>
      </c>
      <c r="AG906" s="2"/>
      <c r="AH906" s="2"/>
      <c r="AI906" s="2"/>
      <c r="AJ906" s="2"/>
      <c r="AK906" s="2"/>
      <c r="AL906" s="2"/>
    </row>
    <row r="907" spans="1:38" x14ac:dyDescent="0.2">
      <c r="A907" s="45"/>
      <c r="B907" s="43" t="str">
        <f t="shared" si="352"/>
        <v/>
      </c>
      <c r="C907" s="96" t="str">
        <f t="shared" si="351"/>
        <v/>
      </c>
      <c r="D907" s="44" t="str">
        <f t="shared" si="353"/>
        <v/>
      </c>
      <c r="E907" s="52"/>
      <c r="F907" s="63" t="str">
        <f t="shared" si="354"/>
        <v/>
      </c>
      <c r="G907" s="56" t="str">
        <f t="shared" si="355"/>
        <v/>
      </c>
      <c r="H907" s="42"/>
      <c r="I907" s="2" t="str">
        <f t="shared" si="356"/>
        <v/>
      </c>
      <c r="J907" s="54" t="str">
        <f t="shared" si="343"/>
        <v/>
      </c>
      <c r="K907" s="55" t="str">
        <f t="shared" si="357"/>
        <v/>
      </c>
      <c r="L907" s="63" t="str">
        <f t="shared" si="358"/>
        <v/>
      </c>
      <c r="M907" s="96" t="str">
        <f t="shared" si="344"/>
        <v/>
      </c>
      <c r="N907" s="96" t="str">
        <f>IF(A907="","",IF(A907=Expiry,0,EXP(-q*Q907)*_xlfn.NORM.S.DIST(Y907,0)/(sigma*SQRT(Q907))*I907*Mult/100))</f>
        <v/>
      </c>
      <c r="O907" s="96" t="str">
        <f>IF(A907="","",IF(A907=Expiry,0,D907*E907*E907*EXP(-q*Q907)*_xlfn.NORM.S.DIST(Y907,0)*SQRT(Q907)/100))</f>
        <v/>
      </c>
      <c r="P907" s="69" t="str">
        <f>IF(A907="","",IF(A907=Expiry,0,AK907*I907*Mult*((-EXP(-q*Q907)*E907*_xlfn.NORM.S.DIST(Y907,0)*sigma/(2*SQRT(Q907))-r_dom*K*EXP(-r_dom*Q907)*_xlfn.NORM.S.DIST(Z907,1)+q*E907*EXP(-q*Q907)*_xlfn.NORM.S.DIST(Y907,1))/365)))</f>
        <v/>
      </c>
      <c r="Q907" s="83" t="str">
        <f t="shared" si="359"/>
        <v/>
      </c>
      <c r="R907" s="38"/>
      <c r="S907" s="68" t="str">
        <f t="shared" si="360"/>
        <v/>
      </c>
      <c r="T907" s="69" t="str">
        <f t="shared" si="361"/>
        <v/>
      </c>
      <c r="U907" s="70" t="str">
        <f t="shared" si="362"/>
        <v/>
      </c>
      <c r="V907" s="72" t="str">
        <f t="shared" si="363"/>
        <v/>
      </c>
      <c r="W907" s="2" t="str">
        <f t="shared" si="350"/>
        <v/>
      </c>
      <c r="X907" s="2" t="str">
        <f t="shared" si="345"/>
        <v/>
      </c>
      <c r="Y907" s="35" t="str">
        <f t="shared" ca="1" si="364"/>
        <v/>
      </c>
      <c r="Z907" s="36" t="str">
        <f t="shared" ca="1" si="365"/>
        <v/>
      </c>
      <c r="AA907" s="70" t="str">
        <f t="shared" si="366"/>
        <v/>
      </c>
      <c r="AB907" s="2"/>
      <c r="AC907" s="94" t="str">
        <f t="shared" si="346"/>
        <v/>
      </c>
      <c r="AD907" s="95" t="str">
        <f t="shared" si="347"/>
        <v/>
      </c>
      <c r="AE907" s="96" t="str">
        <f t="shared" si="348"/>
        <v/>
      </c>
      <c r="AF907" s="124" t="str">
        <f t="shared" si="349"/>
        <v/>
      </c>
      <c r="AG907" s="2"/>
      <c r="AH907" s="2"/>
      <c r="AI907" s="2"/>
      <c r="AJ907" s="2"/>
      <c r="AK907" s="2"/>
      <c r="AL907" s="2"/>
    </row>
    <row r="908" spans="1:38" x14ac:dyDescent="0.2">
      <c r="A908" s="45"/>
      <c r="B908" s="43" t="str">
        <f t="shared" si="352"/>
        <v/>
      </c>
      <c r="C908" s="96" t="str">
        <f t="shared" si="351"/>
        <v/>
      </c>
      <c r="D908" s="44" t="str">
        <f t="shared" si="353"/>
        <v/>
      </c>
      <c r="E908" s="52"/>
      <c r="F908" s="63" t="str">
        <f t="shared" si="354"/>
        <v/>
      </c>
      <c r="G908" s="56" t="str">
        <f t="shared" si="355"/>
        <v/>
      </c>
      <c r="H908" s="42"/>
      <c r="I908" s="2" t="str">
        <f t="shared" si="356"/>
        <v/>
      </c>
      <c r="J908" s="54" t="str">
        <f t="shared" si="343"/>
        <v/>
      </c>
      <c r="K908" s="55" t="str">
        <f t="shared" si="357"/>
        <v/>
      </c>
      <c r="L908" s="63" t="str">
        <f t="shared" si="358"/>
        <v/>
      </c>
      <c r="M908" s="96" t="str">
        <f t="shared" si="344"/>
        <v/>
      </c>
      <c r="N908" s="96" t="str">
        <f>IF(A908="","",IF(A908=Expiry,0,EXP(-q*Q908)*_xlfn.NORM.S.DIST(Y908,0)/(sigma*SQRT(Q908))*I908*Mult/100))</f>
        <v/>
      </c>
      <c r="O908" s="96" t="str">
        <f>IF(A908="","",IF(A908=Expiry,0,D908*E908*E908*EXP(-q*Q908)*_xlfn.NORM.S.DIST(Y908,0)*SQRT(Q908)/100))</f>
        <v/>
      </c>
      <c r="P908" s="69" t="str">
        <f>IF(A908="","",IF(A908=Expiry,0,AK908*I908*Mult*((-EXP(-q*Q908)*E908*_xlfn.NORM.S.DIST(Y908,0)*sigma/(2*SQRT(Q908))-r_dom*K*EXP(-r_dom*Q908)*_xlfn.NORM.S.DIST(Z908,1)+q*E908*EXP(-q*Q908)*_xlfn.NORM.S.DIST(Y908,1))/365)))</f>
        <v/>
      </c>
      <c r="Q908" s="83" t="str">
        <f t="shared" si="359"/>
        <v/>
      </c>
      <c r="R908" s="38"/>
      <c r="S908" s="68" t="str">
        <f t="shared" si="360"/>
        <v/>
      </c>
      <c r="T908" s="69" t="str">
        <f t="shared" si="361"/>
        <v/>
      </c>
      <c r="U908" s="70" t="str">
        <f t="shared" si="362"/>
        <v/>
      </c>
      <c r="V908" s="72" t="str">
        <f t="shared" si="363"/>
        <v/>
      </c>
      <c r="W908" s="2" t="str">
        <f t="shared" si="350"/>
        <v/>
      </c>
      <c r="X908" s="2" t="str">
        <f t="shared" si="345"/>
        <v/>
      </c>
      <c r="Y908" s="35" t="str">
        <f t="shared" ca="1" si="364"/>
        <v/>
      </c>
      <c r="Z908" s="36" t="str">
        <f t="shared" ca="1" si="365"/>
        <v/>
      </c>
      <c r="AA908" s="70" t="str">
        <f t="shared" si="366"/>
        <v/>
      </c>
      <c r="AB908" s="2"/>
      <c r="AC908" s="94" t="str">
        <f t="shared" si="346"/>
        <v/>
      </c>
      <c r="AD908" s="95" t="str">
        <f t="shared" si="347"/>
        <v/>
      </c>
      <c r="AE908" s="96" t="str">
        <f t="shared" si="348"/>
        <v/>
      </c>
      <c r="AF908" s="124" t="str">
        <f t="shared" si="349"/>
        <v/>
      </c>
      <c r="AG908" s="2"/>
      <c r="AH908" s="2"/>
      <c r="AI908" s="2"/>
      <c r="AJ908" s="2"/>
      <c r="AK908" s="2"/>
      <c r="AL908" s="2"/>
    </row>
    <row r="909" spans="1:38" x14ac:dyDescent="0.2">
      <c r="A909" s="45"/>
      <c r="B909" s="43" t="str">
        <f t="shared" si="352"/>
        <v/>
      </c>
      <c r="C909" s="96" t="str">
        <f t="shared" si="351"/>
        <v/>
      </c>
      <c r="D909" s="44" t="str">
        <f t="shared" si="353"/>
        <v/>
      </c>
      <c r="E909" s="52"/>
      <c r="F909" s="63" t="str">
        <f t="shared" si="354"/>
        <v/>
      </c>
      <c r="G909" s="56" t="str">
        <f t="shared" si="355"/>
        <v/>
      </c>
      <c r="H909" s="42"/>
      <c r="I909" s="2" t="str">
        <f t="shared" si="356"/>
        <v/>
      </c>
      <c r="J909" s="54" t="str">
        <f t="shared" si="343"/>
        <v/>
      </c>
      <c r="K909" s="55" t="str">
        <f t="shared" si="357"/>
        <v/>
      </c>
      <c r="L909" s="63" t="str">
        <f t="shared" si="358"/>
        <v/>
      </c>
      <c r="M909" s="96" t="str">
        <f t="shared" si="344"/>
        <v/>
      </c>
      <c r="N909" s="96" t="str">
        <f>IF(A909="","",IF(A909=Expiry,0,EXP(-q*Q909)*_xlfn.NORM.S.DIST(Y909,0)/(sigma*SQRT(Q909))*I909*Mult/100))</f>
        <v/>
      </c>
      <c r="O909" s="96" t="str">
        <f>IF(A909="","",IF(A909=Expiry,0,D909*E909*E909*EXP(-q*Q909)*_xlfn.NORM.S.DIST(Y909,0)*SQRT(Q909)/100))</f>
        <v/>
      </c>
      <c r="P909" s="69" t="str">
        <f>IF(A909="","",IF(A909=Expiry,0,AK909*I909*Mult*((-EXP(-q*Q909)*E909*_xlfn.NORM.S.DIST(Y909,0)*sigma/(2*SQRT(Q909))-r_dom*K*EXP(-r_dom*Q909)*_xlfn.NORM.S.DIST(Z909,1)+q*E909*EXP(-q*Q909)*_xlfn.NORM.S.DIST(Y909,1))/365)))</f>
        <v/>
      </c>
      <c r="Q909" s="83" t="str">
        <f t="shared" si="359"/>
        <v/>
      </c>
      <c r="R909" s="38"/>
      <c r="S909" s="68" t="str">
        <f t="shared" si="360"/>
        <v/>
      </c>
      <c r="T909" s="69" t="str">
        <f t="shared" si="361"/>
        <v/>
      </c>
      <c r="U909" s="70" t="str">
        <f t="shared" si="362"/>
        <v/>
      </c>
      <c r="V909" s="72" t="str">
        <f t="shared" si="363"/>
        <v/>
      </c>
      <c r="W909" s="2" t="str">
        <f t="shared" si="350"/>
        <v/>
      </c>
      <c r="X909" s="2" t="str">
        <f t="shared" si="345"/>
        <v/>
      </c>
      <c r="Y909" s="35" t="str">
        <f t="shared" ca="1" si="364"/>
        <v/>
      </c>
      <c r="Z909" s="36" t="str">
        <f t="shared" ca="1" si="365"/>
        <v/>
      </c>
      <c r="AA909" s="70" t="str">
        <f t="shared" si="366"/>
        <v/>
      </c>
      <c r="AB909" s="2"/>
      <c r="AC909" s="94" t="str">
        <f t="shared" si="346"/>
        <v/>
      </c>
      <c r="AD909" s="95" t="str">
        <f t="shared" si="347"/>
        <v/>
      </c>
      <c r="AE909" s="96" t="str">
        <f t="shared" si="348"/>
        <v/>
      </c>
      <c r="AF909" s="124" t="str">
        <f t="shared" si="349"/>
        <v/>
      </c>
      <c r="AG909" s="2"/>
      <c r="AH909" s="2"/>
      <c r="AI909" s="2"/>
      <c r="AJ909" s="2"/>
      <c r="AK909" s="2"/>
      <c r="AL909" s="2"/>
    </row>
    <row r="910" spans="1:38" x14ac:dyDescent="0.2">
      <c r="A910" s="45"/>
      <c r="B910" s="43" t="str">
        <f t="shared" si="352"/>
        <v/>
      </c>
      <c r="C910" s="96" t="str">
        <f t="shared" si="351"/>
        <v/>
      </c>
      <c r="D910" s="44" t="str">
        <f t="shared" si="353"/>
        <v/>
      </c>
      <c r="E910" s="52"/>
      <c r="F910" s="63" t="str">
        <f t="shared" si="354"/>
        <v/>
      </c>
      <c r="G910" s="56" t="str">
        <f t="shared" si="355"/>
        <v/>
      </c>
      <c r="H910" s="42"/>
      <c r="I910" s="2" t="str">
        <f t="shared" si="356"/>
        <v/>
      </c>
      <c r="J910" s="54" t="str">
        <f t="shared" si="343"/>
        <v/>
      </c>
      <c r="K910" s="55" t="str">
        <f t="shared" si="357"/>
        <v/>
      </c>
      <c r="L910" s="63" t="str">
        <f t="shared" si="358"/>
        <v/>
      </c>
      <c r="M910" s="96" t="str">
        <f t="shared" si="344"/>
        <v/>
      </c>
      <c r="N910" s="96" t="str">
        <f>IF(A910="","",IF(A910=Expiry,0,EXP(-q*Q910)*_xlfn.NORM.S.DIST(Y910,0)/(sigma*SQRT(Q910))*I910*Mult/100))</f>
        <v/>
      </c>
      <c r="O910" s="96" t="str">
        <f>IF(A910="","",IF(A910=Expiry,0,D910*E910*E910*EXP(-q*Q910)*_xlfn.NORM.S.DIST(Y910,0)*SQRT(Q910)/100))</f>
        <v/>
      </c>
      <c r="P910" s="69" t="str">
        <f>IF(A910="","",IF(A910=Expiry,0,AK910*I910*Mult*((-EXP(-q*Q910)*E910*_xlfn.NORM.S.DIST(Y910,0)*sigma/(2*SQRT(Q910))-r_dom*K*EXP(-r_dom*Q910)*_xlfn.NORM.S.DIST(Z910,1)+q*E910*EXP(-q*Q910)*_xlfn.NORM.S.DIST(Y910,1))/365)))</f>
        <v/>
      </c>
      <c r="Q910" s="83" t="str">
        <f t="shared" si="359"/>
        <v/>
      </c>
      <c r="R910" s="38"/>
      <c r="S910" s="68" t="str">
        <f t="shared" si="360"/>
        <v/>
      </c>
      <c r="T910" s="69" t="str">
        <f t="shared" si="361"/>
        <v/>
      </c>
      <c r="U910" s="70" t="str">
        <f t="shared" si="362"/>
        <v/>
      </c>
      <c r="V910" s="72" t="str">
        <f t="shared" si="363"/>
        <v/>
      </c>
      <c r="W910" s="2" t="str">
        <f t="shared" si="350"/>
        <v/>
      </c>
      <c r="X910" s="2" t="str">
        <f t="shared" si="345"/>
        <v/>
      </c>
      <c r="Y910" s="35" t="str">
        <f t="shared" ca="1" si="364"/>
        <v/>
      </c>
      <c r="Z910" s="36" t="str">
        <f t="shared" ca="1" si="365"/>
        <v/>
      </c>
      <c r="AA910" s="70" t="str">
        <f t="shared" si="366"/>
        <v/>
      </c>
      <c r="AB910" s="2"/>
      <c r="AC910" s="94" t="str">
        <f t="shared" si="346"/>
        <v/>
      </c>
      <c r="AD910" s="95" t="str">
        <f t="shared" si="347"/>
        <v/>
      </c>
      <c r="AE910" s="96" t="str">
        <f t="shared" si="348"/>
        <v/>
      </c>
      <c r="AF910" s="124" t="str">
        <f t="shared" si="349"/>
        <v/>
      </c>
      <c r="AG910" s="2"/>
      <c r="AH910" s="2"/>
      <c r="AI910" s="2"/>
      <c r="AJ910" s="2"/>
      <c r="AK910" s="2"/>
      <c r="AL910" s="2"/>
    </row>
    <row r="911" spans="1:38" x14ac:dyDescent="0.2">
      <c r="A911" s="45"/>
      <c r="B911" s="43" t="str">
        <f t="shared" si="352"/>
        <v/>
      </c>
      <c r="C911" s="96" t="str">
        <f t="shared" si="351"/>
        <v/>
      </c>
      <c r="D911" s="44" t="str">
        <f t="shared" si="353"/>
        <v/>
      </c>
      <c r="E911" s="52"/>
      <c r="F911" s="63" t="str">
        <f t="shared" si="354"/>
        <v/>
      </c>
      <c r="G911" s="56" t="str">
        <f t="shared" si="355"/>
        <v/>
      </c>
      <c r="H911" s="42"/>
      <c r="I911" s="2" t="str">
        <f t="shared" si="356"/>
        <v/>
      </c>
      <c r="J911" s="54" t="str">
        <f t="shared" si="343"/>
        <v/>
      </c>
      <c r="K911" s="55" t="str">
        <f t="shared" si="357"/>
        <v/>
      </c>
      <c r="L911" s="63" t="str">
        <f t="shared" si="358"/>
        <v/>
      </c>
      <c r="M911" s="96" t="str">
        <f t="shared" si="344"/>
        <v/>
      </c>
      <c r="N911" s="96" t="str">
        <f>IF(A911="","",IF(A911=Expiry,0,EXP(-q*Q911)*_xlfn.NORM.S.DIST(Y911,0)/(sigma*SQRT(Q911))*I911*Mult/100))</f>
        <v/>
      </c>
      <c r="O911" s="96" t="str">
        <f>IF(A911="","",IF(A911=Expiry,0,D911*E911*E911*EXP(-q*Q911)*_xlfn.NORM.S.DIST(Y911,0)*SQRT(Q911)/100))</f>
        <v/>
      </c>
      <c r="P911" s="69" t="str">
        <f>IF(A911="","",IF(A911=Expiry,0,AK911*I911*Mult*((-EXP(-q*Q911)*E911*_xlfn.NORM.S.DIST(Y911,0)*sigma/(2*SQRT(Q911))-r_dom*K*EXP(-r_dom*Q911)*_xlfn.NORM.S.DIST(Z911,1)+q*E911*EXP(-q*Q911)*_xlfn.NORM.S.DIST(Y911,1))/365)))</f>
        <v/>
      </c>
      <c r="Q911" s="83" t="str">
        <f t="shared" si="359"/>
        <v/>
      </c>
      <c r="R911" s="38"/>
      <c r="S911" s="68" t="str">
        <f t="shared" si="360"/>
        <v/>
      </c>
      <c r="T911" s="69" t="str">
        <f t="shared" si="361"/>
        <v/>
      </c>
      <c r="U911" s="70" t="str">
        <f t="shared" si="362"/>
        <v/>
      </c>
      <c r="V911" s="72" t="str">
        <f t="shared" si="363"/>
        <v/>
      </c>
      <c r="W911" s="2" t="str">
        <f t="shared" si="350"/>
        <v/>
      </c>
      <c r="X911" s="2" t="str">
        <f t="shared" si="345"/>
        <v/>
      </c>
      <c r="Y911" s="35" t="str">
        <f t="shared" ca="1" si="364"/>
        <v/>
      </c>
      <c r="Z911" s="36" t="str">
        <f t="shared" ca="1" si="365"/>
        <v/>
      </c>
      <c r="AA911" s="70" t="str">
        <f t="shared" si="366"/>
        <v/>
      </c>
      <c r="AB911" s="2"/>
      <c r="AC911" s="94" t="str">
        <f t="shared" si="346"/>
        <v/>
      </c>
      <c r="AD911" s="95" t="str">
        <f t="shared" si="347"/>
        <v/>
      </c>
      <c r="AE911" s="96" t="str">
        <f t="shared" si="348"/>
        <v/>
      </c>
      <c r="AF911" s="124" t="str">
        <f t="shared" si="349"/>
        <v/>
      </c>
      <c r="AG911" s="2"/>
      <c r="AH911" s="2"/>
      <c r="AI911" s="2"/>
      <c r="AJ911" s="2"/>
      <c r="AK911" s="2"/>
      <c r="AL911" s="2"/>
    </row>
    <row r="912" spans="1:38" x14ac:dyDescent="0.2">
      <c r="A912" s="45"/>
      <c r="B912" s="43" t="str">
        <f t="shared" si="352"/>
        <v/>
      </c>
      <c r="C912" s="96" t="str">
        <f t="shared" si="351"/>
        <v/>
      </c>
      <c r="D912" s="44" t="str">
        <f t="shared" si="353"/>
        <v/>
      </c>
      <c r="E912" s="52"/>
      <c r="F912" s="63" t="str">
        <f t="shared" si="354"/>
        <v/>
      </c>
      <c r="G912" s="56" t="str">
        <f t="shared" si="355"/>
        <v/>
      </c>
      <c r="H912" s="42"/>
      <c r="I912" s="2" t="str">
        <f t="shared" si="356"/>
        <v/>
      </c>
      <c r="J912" s="54" t="str">
        <f t="shared" si="343"/>
        <v/>
      </c>
      <c r="K912" s="55" t="str">
        <f t="shared" si="357"/>
        <v/>
      </c>
      <c r="L912" s="63" t="str">
        <f t="shared" si="358"/>
        <v/>
      </c>
      <c r="M912" s="96" t="str">
        <f t="shared" si="344"/>
        <v/>
      </c>
      <c r="N912" s="96" t="str">
        <f>IF(A912="","",IF(A912=Expiry,0,EXP(-q*Q912)*_xlfn.NORM.S.DIST(Y912,0)/(sigma*SQRT(Q912))*I912*Mult/100))</f>
        <v/>
      </c>
      <c r="O912" s="96" t="str">
        <f>IF(A912="","",IF(A912=Expiry,0,D912*E912*E912*EXP(-q*Q912)*_xlfn.NORM.S.DIST(Y912,0)*SQRT(Q912)/100))</f>
        <v/>
      </c>
      <c r="P912" s="69" t="str">
        <f>IF(A912="","",IF(A912=Expiry,0,AK912*I912*Mult*((-EXP(-q*Q912)*E912*_xlfn.NORM.S.DIST(Y912,0)*sigma/(2*SQRT(Q912))-r_dom*K*EXP(-r_dom*Q912)*_xlfn.NORM.S.DIST(Z912,1)+q*E912*EXP(-q*Q912)*_xlfn.NORM.S.DIST(Y912,1))/365)))</f>
        <v/>
      </c>
      <c r="Q912" s="83" t="str">
        <f t="shared" si="359"/>
        <v/>
      </c>
      <c r="R912" s="38"/>
      <c r="S912" s="68" t="str">
        <f t="shared" si="360"/>
        <v/>
      </c>
      <c r="T912" s="69" t="str">
        <f t="shared" si="361"/>
        <v/>
      </c>
      <c r="U912" s="70" t="str">
        <f t="shared" si="362"/>
        <v/>
      </c>
      <c r="V912" s="72" t="str">
        <f t="shared" si="363"/>
        <v/>
      </c>
      <c r="W912" s="2" t="str">
        <f t="shared" si="350"/>
        <v/>
      </c>
      <c r="X912" s="2" t="str">
        <f t="shared" si="345"/>
        <v/>
      </c>
      <c r="Y912" s="35" t="str">
        <f t="shared" ca="1" si="364"/>
        <v/>
      </c>
      <c r="Z912" s="36" t="str">
        <f t="shared" ca="1" si="365"/>
        <v/>
      </c>
      <c r="AA912" s="70" t="str">
        <f t="shared" si="366"/>
        <v/>
      </c>
      <c r="AB912" s="2"/>
      <c r="AC912" s="94" t="str">
        <f t="shared" si="346"/>
        <v/>
      </c>
      <c r="AD912" s="95" t="str">
        <f t="shared" si="347"/>
        <v/>
      </c>
      <c r="AE912" s="96" t="str">
        <f t="shared" si="348"/>
        <v/>
      </c>
      <c r="AF912" s="124" t="str">
        <f t="shared" si="349"/>
        <v/>
      </c>
      <c r="AG912" s="2"/>
      <c r="AH912" s="2"/>
      <c r="AI912" s="2"/>
      <c r="AJ912" s="2"/>
      <c r="AK912" s="2"/>
      <c r="AL912" s="2"/>
    </row>
    <row r="913" spans="1:38" x14ac:dyDescent="0.2">
      <c r="A913" s="45"/>
      <c r="B913" s="43" t="str">
        <f t="shared" si="352"/>
        <v/>
      </c>
      <c r="C913" s="96" t="str">
        <f t="shared" si="351"/>
        <v/>
      </c>
      <c r="D913" s="44" t="str">
        <f t="shared" si="353"/>
        <v/>
      </c>
      <c r="E913" s="52"/>
      <c r="F913" s="63" t="str">
        <f t="shared" si="354"/>
        <v/>
      </c>
      <c r="G913" s="56" t="str">
        <f t="shared" si="355"/>
        <v/>
      </c>
      <c r="H913" s="42"/>
      <c r="I913" s="2" t="str">
        <f t="shared" si="356"/>
        <v/>
      </c>
      <c r="J913" s="54" t="str">
        <f t="shared" si="343"/>
        <v/>
      </c>
      <c r="K913" s="55" t="str">
        <f t="shared" si="357"/>
        <v/>
      </c>
      <c r="L913" s="63" t="str">
        <f t="shared" si="358"/>
        <v/>
      </c>
      <c r="M913" s="96" t="str">
        <f t="shared" si="344"/>
        <v/>
      </c>
      <c r="N913" s="96" t="str">
        <f>IF(A913="","",IF(A913=Expiry,0,EXP(-q*Q913)*_xlfn.NORM.S.DIST(Y913,0)/(sigma*SQRT(Q913))*I913*Mult/100))</f>
        <v/>
      </c>
      <c r="O913" s="96" t="str">
        <f>IF(A913="","",IF(A913=Expiry,0,D913*E913*E913*EXP(-q*Q913)*_xlfn.NORM.S.DIST(Y913,0)*SQRT(Q913)/100))</f>
        <v/>
      </c>
      <c r="P913" s="69" t="str">
        <f>IF(A913="","",IF(A913=Expiry,0,AK913*I913*Mult*((-EXP(-q*Q913)*E913*_xlfn.NORM.S.DIST(Y913,0)*sigma/(2*SQRT(Q913))-r_dom*K*EXP(-r_dom*Q913)*_xlfn.NORM.S.DIST(Z913,1)+q*E913*EXP(-q*Q913)*_xlfn.NORM.S.DIST(Y913,1))/365)))</f>
        <v/>
      </c>
      <c r="Q913" s="83" t="str">
        <f t="shared" si="359"/>
        <v/>
      </c>
      <c r="R913" s="38"/>
      <c r="S913" s="68" t="str">
        <f t="shared" si="360"/>
        <v/>
      </c>
      <c r="T913" s="69" t="str">
        <f t="shared" si="361"/>
        <v/>
      </c>
      <c r="U913" s="70" t="str">
        <f t="shared" si="362"/>
        <v/>
      </c>
      <c r="V913" s="72" t="str">
        <f t="shared" si="363"/>
        <v/>
      </c>
      <c r="W913" s="2" t="str">
        <f t="shared" si="350"/>
        <v/>
      </c>
      <c r="X913" s="2" t="str">
        <f t="shared" si="345"/>
        <v/>
      </c>
      <c r="Y913" s="35" t="str">
        <f t="shared" ca="1" si="364"/>
        <v/>
      </c>
      <c r="Z913" s="36" t="str">
        <f t="shared" ca="1" si="365"/>
        <v/>
      </c>
      <c r="AA913" s="70" t="str">
        <f t="shared" si="366"/>
        <v/>
      </c>
      <c r="AB913" s="2"/>
      <c r="AC913" s="94" t="str">
        <f t="shared" si="346"/>
        <v/>
      </c>
      <c r="AD913" s="95" t="str">
        <f t="shared" si="347"/>
        <v/>
      </c>
      <c r="AE913" s="96" t="str">
        <f t="shared" si="348"/>
        <v/>
      </c>
      <c r="AF913" s="124" t="str">
        <f t="shared" si="349"/>
        <v/>
      </c>
      <c r="AG913" s="2"/>
      <c r="AH913" s="2"/>
      <c r="AI913" s="2"/>
      <c r="AJ913" s="2"/>
      <c r="AK913" s="2"/>
      <c r="AL913" s="2"/>
    </row>
    <row r="914" spans="1:38" x14ac:dyDescent="0.2">
      <c r="A914" s="45"/>
      <c r="B914" s="43" t="str">
        <f t="shared" si="352"/>
        <v/>
      </c>
      <c r="C914" s="96" t="str">
        <f t="shared" si="351"/>
        <v/>
      </c>
      <c r="D914" s="44" t="str">
        <f t="shared" si="353"/>
        <v/>
      </c>
      <c r="E914" s="52"/>
      <c r="F914" s="63" t="str">
        <f t="shared" si="354"/>
        <v/>
      </c>
      <c r="G914" s="56" t="str">
        <f t="shared" si="355"/>
        <v/>
      </c>
      <c r="H914" s="42"/>
      <c r="I914" s="2" t="str">
        <f t="shared" si="356"/>
        <v/>
      </c>
      <c r="J914" s="54" t="str">
        <f t="shared" si="343"/>
        <v/>
      </c>
      <c r="K914" s="55" t="str">
        <f t="shared" si="357"/>
        <v/>
      </c>
      <c r="L914" s="63" t="str">
        <f t="shared" si="358"/>
        <v/>
      </c>
      <c r="M914" s="96" t="str">
        <f t="shared" si="344"/>
        <v/>
      </c>
      <c r="N914" s="96" t="str">
        <f>IF(A914="","",IF(A914=Expiry,0,EXP(-q*Q914)*_xlfn.NORM.S.DIST(Y914,0)/(sigma*SQRT(Q914))*I914*Mult/100))</f>
        <v/>
      </c>
      <c r="O914" s="96" t="str">
        <f>IF(A914="","",IF(A914=Expiry,0,D914*E914*E914*EXP(-q*Q914)*_xlfn.NORM.S.DIST(Y914,0)*SQRT(Q914)/100))</f>
        <v/>
      </c>
      <c r="P914" s="69" t="str">
        <f>IF(A914="","",IF(A914=Expiry,0,AK914*I914*Mult*((-EXP(-q*Q914)*E914*_xlfn.NORM.S.DIST(Y914,0)*sigma/(2*SQRT(Q914))-r_dom*K*EXP(-r_dom*Q914)*_xlfn.NORM.S.DIST(Z914,1)+q*E914*EXP(-q*Q914)*_xlfn.NORM.S.DIST(Y914,1))/365)))</f>
        <v/>
      </c>
      <c r="Q914" s="83" t="str">
        <f t="shared" si="359"/>
        <v/>
      </c>
      <c r="R914" s="38"/>
      <c r="S914" s="68" t="str">
        <f t="shared" si="360"/>
        <v/>
      </c>
      <c r="T914" s="69" t="str">
        <f t="shared" si="361"/>
        <v/>
      </c>
      <c r="U914" s="70" t="str">
        <f t="shared" si="362"/>
        <v/>
      </c>
      <c r="V914" s="72" t="str">
        <f t="shared" si="363"/>
        <v/>
      </c>
      <c r="W914" s="2" t="str">
        <f t="shared" si="350"/>
        <v/>
      </c>
      <c r="X914" s="2" t="str">
        <f t="shared" si="345"/>
        <v/>
      </c>
      <c r="Y914" s="35" t="str">
        <f t="shared" ca="1" si="364"/>
        <v/>
      </c>
      <c r="Z914" s="36" t="str">
        <f t="shared" ca="1" si="365"/>
        <v/>
      </c>
      <c r="AA914" s="70" t="str">
        <f t="shared" si="366"/>
        <v/>
      </c>
      <c r="AB914" s="2"/>
      <c r="AC914" s="94" t="str">
        <f t="shared" si="346"/>
        <v/>
      </c>
      <c r="AD914" s="95" t="str">
        <f t="shared" si="347"/>
        <v/>
      </c>
      <c r="AE914" s="96" t="str">
        <f t="shared" si="348"/>
        <v/>
      </c>
      <c r="AF914" s="124" t="str">
        <f t="shared" si="349"/>
        <v/>
      </c>
      <c r="AG914" s="2"/>
      <c r="AH914" s="2"/>
      <c r="AI914" s="2"/>
      <c r="AJ914" s="2"/>
      <c r="AK914" s="2"/>
      <c r="AL914" s="2"/>
    </row>
    <row r="915" spans="1:38" x14ac:dyDescent="0.2">
      <c r="A915" s="45"/>
      <c r="B915" s="43" t="str">
        <f t="shared" si="352"/>
        <v/>
      </c>
      <c r="C915" s="96" t="str">
        <f t="shared" si="351"/>
        <v/>
      </c>
      <c r="D915" s="44" t="str">
        <f t="shared" si="353"/>
        <v/>
      </c>
      <c r="E915" s="52"/>
      <c r="F915" s="63" t="str">
        <f t="shared" si="354"/>
        <v/>
      </c>
      <c r="G915" s="56" t="str">
        <f t="shared" si="355"/>
        <v/>
      </c>
      <c r="H915" s="42"/>
      <c r="I915" s="2" t="str">
        <f t="shared" si="356"/>
        <v/>
      </c>
      <c r="J915" s="54" t="str">
        <f t="shared" si="343"/>
        <v/>
      </c>
      <c r="K915" s="55" t="str">
        <f t="shared" si="357"/>
        <v/>
      </c>
      <c r="L915" s="63" t="str">
        <f t="shared" si="358"/>
        <v/>
      </c>
      <c r="M915" s="96" t="str">
        <f t="shared" si="344"/>
        <v/>
      </c>
      <c r="N915" s="96" t="str">
        <f>IF(A915="","",IF(A915=Expiry,0,EXP(-q*Q915)*_xlfn.NORM.S.DIST(Y915,0)/(sigma*SQRT(Q915))*I915*Mult/100))</f>
        <v/>
      </c>
      <c r="O915" s="96" t="str">
        <f>IF(A915="","",IF(A915=Expiry,0,D915*E915*E915*EXP(-q*Q915)*_xlfn.NORM.S.DIST(Y915,0)*SQRT(Q915)/100))</f>
        <v/>
      </c>
      <c r="P915" s="69" t="str">
        <f>IF(A915="","",IF(A915=Expiry,0,AK915*I915*Mult*((-EXP(-q*Q915)*E915*_xlfn.NORM.S.DIST(Y915,0)*sigma/(2*SQRT(Q915))-r_dom*K*EXP(-r_dom*Q915)*_xlfn.NORM.S.DIST(Z915,1)+q*E915*EXP(-q*Q915)*_xlfn.NORM.S.DIST(Y915,1))/365)))</f>
        <v/>
      </c>
      <c r="Q915" s="83" t="str">
        <f t="shared" si="359"/>
        <v/>
      </c>
      <c r="R915" s="38"/>
      <c r="S915" s="68" t="str">
        <f t="shared" si="360"/>
        <v/>
      </c>
      <c r="T915" s="69" t="str">
        <f t="shared" si="361"/>
        <v/>
      </c>
      <c r="U915" s="70" t="str">
        <f t="shared" si="362"/>
        <v/>
      </c>
      <c r="V915" s="72" t="str">
        <f t="shared" si="363"/>
        <v/>
      </c>
      <c r="W915" s="2" t="str">
        <f t="shared" si="350"/>
        <v/>
      </c>
      <c r="X915" s="2" t="str">
        <f t="shared" si="345"/>
        <v/>
      </c>
      <c r="Y915" s="35" t="str">
        <f t="shared" ca="1" si="364"/>
        <v/>
      </c>
      <c r="Z915" s="36" t="str">
        <f t="shared" ca="1" si="365"/>
        <v/>
      </c>
      <c r="AA915" s="70" t="str">
        <f t="shared" si="366"/>
        <v/>
      </c>
      <c r="AB915" s="2"/>
      <c r="AC915" s="94" t="str">
        <f t="shared" si="346"/>
        <v/>
      </c>
      <c r="AD915" s="95" t="str">
        <f t="shared" si="347"/>
        <v/>
      </c>
      <c r="AE915" s="96" t="str">
        <f t="shared" si="348"/>
        <v/>
      </c>
      <c r="AF915" s="124" t="str">
        <f t="shared" si="349"/>
        <v/>
      </c>
      <c r="AG915" s="2"/>
      <c r="AH915" s="2"/>
      <c r="AI915" s="2"/>
      <c r="AJ915" s="2"/>
      <c r="AK915" s="2"/>
      <c r="AL915" s="2"/>
    </row>
    <row r="916" spans="1:38" x14ac:dyDescent="0.2">
      <c r="A916" s="45"/>
      <c r="B916" s="43" t="str">
        <f t="shared" si="352"/>
        <v/>
      </c>
      <c r="C916" s="96" t="str">
        <f t="shared" si="351"/>
        <v/>
      </c>
      <c r="D916" s="44" t="str">
        <f t="shared" si="353"/>
        <v/>
      </c>
      <c r="E916" s="52"/>
      <c r="F916" s="63" t="str">
        <f t="shared" si="354"/>
        <v/>
      </c>
      <c r="G916" s="56" t="str">
        <f t="shared" si="355"/>
        <v/>
      </c>
      <c r="H916" s="42"/>
      <c r="I916" s="2" t="str">
        <f t="shared" si="356"/>
        <v/>
      </c>
      <c r="J916" s="54" t="str">
        <f t="shared" si="343"/>
        <v/>
      </c>
      <c r="K916" s="55" t="str">
        <f t="shared" si="357"/>
        <v/>
      </c>
      <c r="L916" s="63" t="str">
        <f t="shared" si="358"/>
        <v/>
      </c>
      <c r="M916" s="96" t="str">
        <f t="shared" si="344"/>
        <v/>
      </c>
      <c r="N916" s="96" t="str">
        <f>IF(A916="","",IF(A916=Expiry,0,EXP(-q*Q916)*_xlfn.NORM.S.DIST(Y916,0)/(sigma*SQRT(Q916))*I916*Mult/100))</f>
        <v/>
      </c>
      <c r="O916" s="96" t="str">
        <f>IF(A916="","",IF(A916=Expiry,0,D916*E916*E916*EXP(-q*Q916)*_xlfn.NORM.S.DIST(Y916,0)*SQRT(Q916)/100))</f>
        <v/>
      </c>
      <c r="P916" s="69" t="str">
        <f>IF(A916="","",IF(A916=Expiry,0,AK916*I916*Mult*((-EXP(-q*Q916)*E916*_xlfn.NORM.S.DIST(Y916,0)*sigma/(2*SQRT(Q916))-r_dom*K*EXP(-r_dom*Q916)*_xlfn.NORM.S.DIST(Z916,1)+q*E916*EXP(-q*Q916)*_xlfn.NORM.S.DIST(Y916,1))/365)))</f>
        <v/>
      </c>
      <c r="Q916" s="83" t="str">
        <f t="shared" si="359"/>
        <v/>
      </c>
      <c r="R916" s="38"/>
      <c r="S916" s="68" t="str">
        <f t="shared" si="360"/>
        <v/>
      </c>
      <c r="T916" s="69" t="str">
        <f t="shared" si="361"/>
        <v/>
      </c>
      <c r="U916" s="70" t="str">
        <f t="shared" si="362"/>
        <v/>
      </c>
      <c r="V916" s="72" t="str">
        <f t="shared" si="363"/>
        <v/>
      </c>
      <c r="W916" s="2" t="str">
        <f t="shared" si="350"/>
        <v/>
      </c>
      <c r="X916" s="2" t="str">
        <f t="shared" si="345"/>
        <v/>
      </c>
      <c r="Y916" s="35" t="str">
        <f t="shared" ca="1" si="364"/>
        <v/>
      </c>
      <c r="Z916" s="36" t="str">
        <f t="shared" ca="1" si="365"/>
        <v/>
      </c>
      <c r="AA916" s="70" t="str">
        <f t="shared" si="366"/>
        <v/>
      </c>
      <c r="AB916" s="2"/>
      <c r="AC916" s="94" t="str">
        <f t="shared" si="346"/>
        <v/>
      </c>
      <c r="AD916" s="95" t="str">
        <f t="shared" si="347"/>
        <v/>
      </c>
      <c r="AE916" s="96" t="str">
        <f t="shared" si="348"/>
        <v/>
      </c>
      <c r="AF916" s="124" t="str">
        <f t="shared" si="349"/>
        <v/>
      </c>
      <c r="AG916" s="2"/>
      <c r="AH916" s="2"/>
      <c r="AI916" s="2"/>
      <c r="AJ916" s="2"/>
      <c r="AK916" s="2"/>
      <c r="AL916" s="2"/>
    </row>
    <row r="917" spans="1:38" x14ac:dyDescent="0.2">
      <c r="A917" s="45"/>
      <c r="B917" s="43" t="str">
        <f t="shared" si="352"/>
        <v/>
      </c>
      <c r="C917" s="96" t="str">
        <f t="shared" si="351"/>
        <v/>
      </c>
      <c r="D917" s="44" t="str">
        <f t="shared" si="353"/>
        <v/>
      </c>
      <c r="E917" s="52"/>
      <c r="F917" s="63" t="str">
        <f t="shared" si="354"/>
        <v/>
      </c>
      <c r="G917" s="56" t="str">
        <f t="shared" si="355"/>
        <v/>
      </c>
      <c r="H917" s="42"/>
      <c r="I917" s="2" t="str">
        <f t="shared" si="356"/>
        <v/>
      </c>
      <c r="J917" s="54" t="str">
        <f t="shared" si="343"/>
        <v/>
      </c>
      <c r="K917" s="55" t="str">
        <f t="shared" si="357"/>
        <v/>
      </c>
      <c r="L917" s="63" t="str">
        <f t="shared" si="358"/>
        <v/>
      </c>
      <c r="M917" s="96" t="str">
        <f t="shared" si="344"/>
        <v/>
      </c>
      <c r="N917" s="96" t="str">
        <f>IF(A917="","",IF(A917=Expiry,0,EXP(-q*Q917)*_xlfn.NORM.S.DIST(Y917,0)/(sigma*SQRT(Q917))*I917*Mult/100))</f>
        <v/>
      </c>
      <c r="O917" s="96" t="str">
        <f>IF(A917="","",IF(A917=Expiry,0,D917*E917*E917*EXP(-q*Q917)*_xlfn.NORM.S.DIST(Y917,0)*SQRT(Q917)/100))</f>
        <v/>
      </c>
      <c r="P917" s="69" t="str">
        <f>IF(A917="","",IF(A917=Expiry,0,AK917*I917*Mult*((-EXP(-q*Q917)*E917*_xlfn.NORM.S.DIST(Y917,0)*sigma/(2*SQRT(Q917))-r_dom*K*EXP(-r_dom*Q917)*_xlfn.NORM.S.DIST(Z917,1)+q*E917*EXP(-q*Q917)*_xlfn.NORM.S.DIST(Y917,1))/365)))</f>
        <v/>
      </c>
      <c r="Q917" s="83" t="str">
        <f t="shared" si="359"/>
        <v/>
      </c>
      <c r="R917" s="38"/>
      <c r="S917" s="68" t="str">
        <f t="shared" si="360"/>
        <v/>
      </c>
      <c r="T917" s="69" t="str">
        <f t="shared" si="361"/>
        <v/>
      </c>
      <c r="U917" s="70" t="str">
        <f t="shared" si="362"/>
        <v/>
      </c>
      <c r="V917" s="72" t="str">
        <f t="shared" si="363"/>
        <v/>
      </c>
      <c r="W917" s="2" t="str">
        <f t="shared" si="350"/>
        <v/>
      </c>
      <c r="X917" s="2" t="str">
        <f t="shared" si="345"/>
        <v/>
      </c>
      <c r="Y917" s="35" t="str">
        <f t="shared" ca="1" si="364"/>
        <v/>
      </c>
      <c r="Z917" s="36" t="str">
        <f t="shared" ca="1" si="365"/>
        <v/>
      </c>
      <c r="AA917" s="70" t="str">
        <f t="shared" si="366"/>
        <v/>
      </c>
      <c r="AB917" s="2"/>
      <c r="AC917" s="94" t="str">
        <f t="shared" si="346"/>
        <v/>
      </c>
      <c r="AD917" s="95" t="str">
        <f t="shared" si="347"/>
        <v/>
      </c>
      <c r="AE917" s="96" t="str">
        <f t="shared" si="348"/>
        <v/>
      </c>
      <c r="AF917" s="124" t="str">
        <f t="shared" si="349"/>
        <v/>
      </c>
      <c r="AG917" s="2"/>
      <c r="AH917" s="2"/>
      <c r="AI917" s="2"/>
      <c r="AJ917" s="2"/>
      <c r="AK917" s="2"/>
      <c r="AL917" s="2"/>
    </row>
    <row r="918" spans="1:38" x14ac:dyDescent="0.2">
      <c r="A918" s="45"/>
      <c r="B918" s="43" t="str">
        <f t="shared" si="352"/>
        <v/>
      </c>
      <c r="C918" s="96" t="str">
        <f t="shared" si="351"/>
        <v/>
      </c>
      <c r="D918" s="44" t="str">
        <f t="shared" si="353"/>
        <v/>
      </c>
      <c r="E918" s="52"/>
      <c r="F918" s="63" t="str">
        <f t="shared" si="354"/>
        <v/>
      </c>
      <c r="G918" s="56" t="str">
        <f t="shared" si="355"/>
        <v/>
      </c>
      <c r="H918" s="42"/>
      <c r="I918" s="2" t="str">
        <f t="shared" si="356"/>
        <v/>
      </c>
      <c r="J918" s="54" t="str">
        <f t="shared" si="343"/>
        <v/>
      </c>
      <c r="K918" s="55" t="str">
        <f t="shared" si="357"/>
        <v/>
      </c>
      <c r="L918" s="63" t="str">
        <f t="shared" si="358"/>
        <v/>
      </c>
      <c r="M918" s="96" t="str">
        <f t="shared" si="344"/>
        <v/>
      </c>
      <c r="N918" s="96" t="str">
        <f>IF(A918="","",IF(A918=Expiry,0,EXP(-q*Q918)*_xlfn.NORM.S.DIST(Y918,0)/(sigma*SQRT(Q918))*I918*Mult/100))</f>
        <v/>
      </c>
      <c r="O918" s="96" t="str">
        <f>IF(A918="","",IF(A918=Expiry,0,D918*E918*E918*EXP(-q*Q918)*_xlfn.NORM.S.DIST(Y918,0)*SQRT(Q918)/100))</f>
        <v/>
      </c>
      <c r="P918" s="69" t="str">
        <f>IF(A918="","",IF(A918=Expiry,0,AK918*I918*Mult*((-EXP(-q*Q918)*E918*_xlfn.NORM.S.DIST(Y918,0)*sigma/(2*SQRT(Q918))-r_dom*K*EXP(-r_dom*Q918)*_xlfn.NORM.S.DIST(Z918,1)+q*E918*EXP(-q*Q918)*_xlfn.NORM.S.DIST(Y918,1))/365)))</f>
        <v/>
      </c>
      <c r="Q918" s="83" t="str">
        <f t="shared" si="359"/>
        <v/>
      </c>
      <c r="R918" s="38"/>
      <c r="S918" s="68" t="str">
        <f t="shared" si="360"/>
        <v/>
      </c>
      <c r="T918" s="69" t="str">
        <f t="shared" si="361"/>
        <v/>
      </c>
      <c r="U918" s="70" t="str">
        <f t="shared" si="362"/>
        <v/>
      </c>
      <c r="V918" s="72" t="str">
        <f t="shared" si="363"/>
        <v/>
      </c>
      <c r="W918" s="2" t="str">
        <f t="shared" si="350"/>
        <v/>
      </c>
      <c r="X918" s="2" t="str">
        <f t="shared" si="345"/>
        <v/>
      </c>
      <c r="Y918" s="35" t="str">
        <f t="shared" ca="1" si="364"/>
        <v/>
      </c>
      <c r="Z918" s="36" t="str">
        <f t="shared" ca="1" si="365"/>
        <v/>
      </c>
      <c r="AA918" s="70" t="str">
        <f t="shared" si="366"/>
        <v/>
      </c>
      <c r="AB918" s="2"/>
      <c r="AC918" s="94" t="str">
        <f t="shared" si="346"/>
        <v/>
      </c>
      <c r="AD918" s="95" t="str">
        <f t="shared" si="347"/>
        <v/>
      </c>
      <c r="AE918" s="96" t="str">
        <f t="shared" si="348"/>
        <v/>
      </c>
      <c r="AF918" s="124" t="str">
        <f t="shared" si="349"/>
        <v/>
      </c>
      <c r="AG918" s="2"/>
      <c r="AH918" s="2"/>
      <c r="AI918" s="2"/>
      <c r="AJ918" s="2"/>
      <c r="AK918" s="2"/>
      <c r="AL918" s="2"/>
    </row>
    <row r="919" spans="1:38" x14ac:dyDescent="0.2">
      <c r="A919" s="45"/>
      <c r="B919" s="43" t="str">
        <f t="shared" si="352"/>
        <v/>
      </c>
      <c r="C919" s="96" t="str">
        <f t="shared" si="351"/>
        <v/>
      </c>
      <c r="D919" s="44" t="str">
        <f t="shared" si="353"/>
        <v/>
      </c>
      <c r="E919" s="52"/>
      <c r="F919" s="63" t="str">
        <f t="shared" si="354"/>
        <v/>
      </c>
      <c r="G919" s="56" t="str">
        <f t="shared" si="355"/>
        <v/>
      </c>
      <c r="H919" s="42"/>
      <c r="I919" s="2" t="str">
        <f t="shared" si="356"/>
        <v/>
      </c>
      <c r="J919" s="54" t="str">
        <f t="shared" si="343"/>
        <v/>
      </c>
      <c r="K919" s="55" t="str">
        <f t="shared" si="357"/>
        <v/>
      </c>
      <c r="L919" s="63" t="str">
        <f t="shared" si="358"/>
        <v/>
      </c>
      <c r="M919" s="96" t="str">
        <f t="shared" si="344"/>
        <v/>
      </c>
      <c r="N919" s="96" t="str">
        <f>IF(A919="","",IF(A919=Expiry,0,EXP(-q*Q919)*_xlfn.NORM.S.DIST(Y919,0)/(sigma*SQRT(Q919))*I919*Mult/100))</f>
        <v/>
      </c>
      <c r="O919" s="96" t="str">
        <f>IF(A919="","",IF(A919=Expiry,0,D919*E919*E919*EXP(-q*Q919)*_xlfn.NORM.S.DIST(Y919,0)*SQRT(Q919)/100))</f>
        <v/>
      </c>
      <c r="P919" s="69" t="str">
        <f>IF(A919="","",IF(A919=Expiry,0,AK919*I919*Mult*((-EXP(-q*Q919)*E919*_xlfn.NORM.S.DIST(Y919,0)*sigma/(2*SQRT(Q919))-r_dom*K*EXP(-r_dom*Q919)*_xlfn.NORM.S.DIST(Z919,1)+q*E919*EXP(-q*Q919)*_xlfn.NORM.S.DIST(Y919,1))/365)))</f>
        <v/>
      </c>
      <c r="Q919" s="83" t="str">
        <f t="shared" si="359"/>
        <v/>
      </c>
      <c r="R919" s="38"/>
      <c r="S919" s="68" t="str">
        <f t="shared" si="360"/>
        <v/>
      </c>
      <c r="T919" s="69" t="str">
        <f t="shared" si="361"/>
        <v/>
      </c>
      <c r="U919" s="70" t="str">
        <f t="shared" si="362"/>
        <v/>
      </c>
      <c r="V919" s="72" t="str">
        <f t="shared" si="363"/>
        <v/>
      </c>
      <c r="W919" s="2" t="str">
        <f t="shared" si="350"/>
        <v/>
      </c>
      <c r="X919" s="2" t="str">
        <f t="shared" si="345"/>
        <v/>
      </c>
      <c r="Y919" s="35" t="str">
        <f t="shared" ca="1" si="364"/>
        <v/>
      </c>
      <c r="Z919" s="36" t="str">
        <f t="shared" ca="1" si="365"/>
        <v/>
      </c>
      <c r="AA919" s="70" t="str">
        <f t="shared" si="366"/>
        <v/>
      </c>
      <c r="AB919" s="2"/>
      <c r="AC919" s="94" t="str">
        <f t="shared" si="346"/>
        <v/>
      </c>
      <c r="AD919" s="95" t="str">
        <f t="shared" si="347"/>
        <v/>
      </c>
      <c r="AE919" s="96" t="str">
        <f t="shared" si="348"/>
        <v/>
      </c>
      <c r="AF919" s="124" t="str">
        <f t="shared" si="349"/>
        <v/>
      </c>
      <c r="AG919" s="2"/>
      <c r="AH919" s="2"/>
      <c r="AI919" s="2"/>
      <c r="AJ919" s="2"/>
      <c r="AK919" s="2"/>
      <c r="AL919" s="2"/>
    </row>
    <row r="920" spans="1:38" x14ac:dyDescent="0.2">
      <c r="A920" s="45"/>
      <c r="B920" s="43" t="str">
        <f t="shared" si="352"/>
        <v/>
      </c>
      <c r="C920" s="96" t="str">
        <f t="shared" si="351"/>
        <v/>
      </c>
      <c r="D920" s="44" t="str">
        <f t="shared" si="353"/>
        <v/>
      </c>
      <c r="E920" s="52"/>
      <c r="F920" s="63" t="str">
        <f t="shared" si="354"/>
        <v/>
      </c>
      <c r="G920" s="56" t="str">
        <f t="shared" si="355"/>
        <v/>
      </c>
      <c r="H920" s="42"/>
      <c r="I920" s="2" t="str">
        <f t="shared" si="356"/>
        <v/>
      </c>
      <c r="J920" s="54" t="str">
        <f t="shared" si="343"/>
        <v/>
      </c>
      <c r="K920" s="55" t="str">
        <f t="shared" si="357"/>
        <v/>
      </c>
      <c r="L920" s="63" t="str">
        <f t="shared" si="358"/>
        <v/>
      </c>
      <c r="M920" s="96" t="str">
        <f t="shared" si="344"/>
        <v/>
      </c>
      <c r="N920" s="96" t="str">
        <f>IF(A920="","",IF(A920=Expiry,0,EXP(-q*Q920)*_xlfn.NORM.S.DIST(Y920,0)/(sigma*SQRT(Q920))*I920*Mult/100))</f>
        <v/>
      </c>
      <c r="O920" s="96" t="str">
        <f>IF(A920="","",IF(A920=Expiry,0,D920*E920*E920*EXP(-q*Q920)*_xlfn.NORM.S.DIST(Y920,0)*SQRT(Q920)/100))</f>
        <v/>
      </c>
      <c r="P920" s="69" t="str">
        <f>IF(A920="","",IF(A920=Expiry,0,AK920*I920*Mult*((-EXP(-q*Q920)*E920*_xlfn.NORM.S.DIST(Y920,0)*sigma/(2*SQRT(Q920))-r_dom*K*EXP(-r_dom*Q920)*_xlfn.NORM.S.DIST(Z920,1)+q*E920*EXP(-q*Q920)*_xlfn.NORM.S.DIST(Y920,1))/365)))</f>
        <v/>
      </c>
      <c r="Q920" s="83" t="str">
        <f t="shared" si="359"/>
        <v/>
      </c>
      <c r="R920" s="38"/>
      <c r="S920" s="68" t="str">
        <f t="shared" si="360"/>
        <v/>
      </c>
      <c r="T920" s="69" t="str">
        <f t="shared" si="361"/>
        <v/>
      </c>
      <c r="U920" s="70" t="str">
        <f t="shared" si="362"/>
        <v/>
      </c>
      <c r="V920" s="72" t="str">
        <f t="shared" si="363"/>
        <v/>
      </c>
      <c r="W920" s="2" t="str">
        <f t="shared" si="350"/>
        <v/>
      </c>
      <c r="X920" s="2" t="str">
        <f t="shared" si="345"/>
        <v/>
      </c>
      <c r="Y920" s="35" t="str">
        <f t="shared" ca="1" si="364"/>
        <v/>
      </c>
      <c r="Z920" s="36" t="str">
        <f t="shared" ca="1" si="365"/>
        <v/>
      </c>
      <c r="AA920" s="70" t="str">
        <f t="shared" si="366"/>
        <v/>
      </c>
      <c r="AB920" s="2"/>
      <c r="AC920" s="94" t="str">
        <f t="shared" si="346"/>
        <v/>
      </c>
      <c r="AD920" s="95" t="str">
        <f t="shared" si="347"/>
        <v/>
      </c>
      <c r="AE920" s="96" t="str">
        <f t="shared" si="348"/>
        <v/>
      </c>
      <c r="AF920" s="124" t="str">
        <f t="shared" si="349"/>
        <v/>
      </c>
      <c r="AG920" s="2"/>
      <c r="AH920" s="2"/>
      <c r="AI920" s="2"/>
      <c r="AJ920" s="2"/>
      <c r="AK920" s="2"/>
      <c r="AL920" s="2"/>
    </row>
    <row r="921" spans="1:38" x14ac:dyDescent="0.2">
      <c r="A921" s="45"/>
      <c r="B921" s="43" t="str">
        <f t="shared" si="352"/>
        <v/>
      </c>
      <c r="C921" s="96" t="str">
        <f t="shared" si="351"/>
        <v/>
      </c>
      <c r="D921" s="44" t="str">
        <f t="shared" si="353"/>
        <v/>
      </c>
      <c r="E921" s="52"/>
      <c r="F921" s="63" t="str">
        <f t="shared" si="354"/>
        <v/>
      </c>
      <c r="G921" s="56" t="str">
        <f t="shared" si="355"/>
        <v/>
      </c>
      <c r="H921" s="42"/>
      <c r="I921" s="2" t="str">
        <f t="shared" si="356"/>
        <v/>
      </c>
      <c r="J921" s="54" t="str">
        <f t="shared" si="343"/>
        <v/>
      </c>
      <c r="K921" s="55" t="str">
        <f t="shared" si="357"/>
        <v/>
      </c>
      <c r="L921" s="63" t="str">
        <f t="shared" si="358"/>
        <v/>
      </c>
      <c r="M921" s="96" t="str">
        <f t="shared" si="344"/>
        <v/>
      </c>
      <c r="N921" s="96" t="str">
        <f>IF(A921="","",IF(A921=Expiry,0,EXP(-q*Q921)*_xlfn.NORM.S.DIST(Y921,0)/(sigma*SQRT(Q921))*I921*Mult/100))</f>
        <v/>
      </c>
      <c r="O921" s="96" t="str">
        <f>IF(A921="","",IF(A921=Expiry,0,D921*E921*E921*EXP(-q*Q921)*_xlfn.NORM.S.DIST(Y921,0)*SQRT(Q921)/100))</f>
        <v/>
      </c>
      <c r="P921" s="69" t="str">
        <f>IF(A921="","",IF(A921=Expiry,0,AK921*I921*Mult*((-EXP(-q*Q921)*E921*_xlfn.NORM.S.DIST(Y921,0)*sigma/(2*SQRT(Q921))-r_dom*K*EXP(-r_dom*Q921)*_xlfn.NORM.S.DIST(Z921,1)+q*E921*EXP(-q*Q921)*_xlfn.NORM.S.DIST(Y921,1))/365)))</f>
        <v/>
      </c>
      <c r="Q921" s="83" t="str">
        <f t="shared" si="359"/>
        <v/>
      </c>
      <c r="R921" s="38"/>
      <c r="S921" s="68" t="str">
        <f t="shared" si="360"/>
        <v/>
      </c>
      <c r="T921" s="69" t="str">
        <f t="shared" si="361"/>
        <v/>
      </c>
      <c r="U921" s="70" t="str">
        <f t="shared" si="362"/>
        <v/>
      </c>
      <c r="V921" s="72" t="str">
        <f t="shared" si="363"/>
        <v/>
      </c>
      <c r="W921" s="2" t="str">
        <f t="shared" si="350"/>
        <v/>
      </c>
      <c r="X921" s="2" t="str">
        <f t="shared" si="345"/>
        <v/>
      </c>
      <c r="Y921" s="35" t="str">
        <f t="shared" ca="1" si="364"/>
        <v/>
      </c>
      <c r="Z921" s="36" t="str">
        <f t="shared" ca="1" si="365"/>
        <v/>
      </c>
      <c r="AA921" s="70" t="str">
        <f t="shared" si="366"/>
        <v/>
      </c>
      <c r="AB921" s="2"/>
      <c r="AC921" s="94" t="str">
        <f t="shared" si="346"/>
        <v/>
      </c>
      <c r="AD921" s="95" t="str">
        <f t="shared" si="347"/>
        <v/>
      </c>
      <c r="AE921" s="96" t="str">
        <f t="shared" si="348"/>
        <v/>
      </c>
      <c r="AF921" s="124" t="str">
        <f t="shared" si="349"/>
        <v/>
      </c>
      <c r="AG921" s="2"/>
      <c r="AH921" s="2"/>
      <c r="AI921" s="2"/>
      <c r="AJ921" s="2"/>
      <c r="AK921" s="2"/>
      <c r="AL921" s="2"/>
    </row>
    <row r="922" spans="1:38" x14ac:dyDescent="0.2">
      <c r="A922" s="45"/>
      <c r="B922" s="43" t="str">
        <f t="shared" si="352"/>
        <v/>
      </c>
      <c r="C922" s="96" t="str">
        <f t="shared" si="351"/>
        <v/>
      </c>
      <c r="D922" s="44" t="str">
        <f t="shared" si="353"/>
        <v/>
      </c>
      <c r="E922" s="52"/>
      <c r="F922" s="63" t="str">
        <f t="shared" si="354"/>
        <v/>
      </c>
      <c r="G922" s="56" t="str">
        <f t="shared" si="355"/>
        <v/>
      </c>
      <c r="H922" s="42"/>
      <c r="I922" s="2" t="str">
        <f t="shared" si="356"/>
        <v/>
      </c>
      <c r="J922" s="54" t="str">
        <f t="shared" si="343"/>
        <v/>
      </c>
      <c r="K922" s="55" t="str">
        <f t="shared" si="357"/>
        <v/>
      </c>
      <c r="L922" s="63" t="str">
        <f t="shared" si="358"/>
        <v/>
      </c>
      <c r="M922" s="96" t="str">
        <f t="shared" si="344"/>
        <v/>
      </c>
      <c r="N922" s="96" t="str">
        <f>IF(A922="","",IF(A922=Expiry,0,EXP(-q*Q922)*_xlfn.NORM.S.DIST(Y922,0)/(sigma*SQRT(Q922))*I922*Mult/100))</f>
        <v/>
      </c>
      <c r="O922" s="96" t="str">
        <f>IF(A922="","",IF(A922=Expiry,0,D922*E922*E922*EXP(-q*Q922)*_xlfn.NORM.S.DIST(Y922,0)*SQRT(Q922)/100))</f>
        <v/>
      </c>
      <c r="P922" s="69" t="str">
        <f>IF(A922="","",IF(A922=Expiry,0,AK922*I922*Mult*((-EXP(-q*Q922)*E922*_xlfn.NORM.S.DIST(Y922,0)*sigma/(2*SQRT(Q922))-r_dom*K*EXP(-r_dom*Q922)*_xlfn.NORM.S.DIST(Z922,1)+q*E922*EXP(-q*Q922)*_xlfn.NORM.S.DIST(Y922,1))/365)))</f>
        <v/>
      </c>
      <c r="Q922" s="83" t="str">
        <f t="shared" si="359"/>
        <v/>
      </c>
      <c r="R922" s="38"/>
      <c r="S922" s="68" t="str">
        <f t="shared" si="360"/>
        <v/>
      </c>
      <c r="T922" s="69" t="str">
        <f t="shared" si="361"/>
        <v/>
      </c>
      <c r="U922" s="70" t="str">
        <f t="shared" si="362"/>
        <v/>
      </c>
      <c r="V922" s="72" t="str">
        <f t="shared" si="363"/>
        <v/>
      </c>
      <c r="W922" s="2" t="str">
        <f t="shared" si="350"/>
        <v/>
      </c>
      <c r="X922" s="2" t="str">
        <f t="shared" si="345"/>
        <v/>
      </c>
      <c r="Y922" s="35" t="str">
        <f t="shared" ca="1" si="364"/>
        <v/>
      </c>
      <c r="Z922" s="36" t="str">
        <f t="shared" ca="1" si="365"/>
        <v/>
      </c>
      <c r="AA922" s="70" t="str">
        <f t="shared" si="366"/>
        <v/>
      </c>
      <c r="AB922" s="2"/>
      <c r="AC922" s="94" t="str">
        <f t="shared" si="346"/>
        <v/>
      </c>
      <c r="AD922" s="95" t="str">
        <f t="shared" si="347"/>
        <v/>
      </c>
      <c r="AE922" s="96" t="str">
        <f t="shared" si="348"/>
        <v/>
      </c>
      <c r="AF922" s="124" t="str">
        <f t="shared" si="349"/>
        <v/>
      </c>
      <c r="AG922" s="2"/>
      <c r="AH922" s="2"/>
      <c r="AI922" s="2"/>
      <c r="AJ922" s="2"/>
      <c r="AK922" s="2"/>
      <c r="AL922" s="2"/>
    </row>
    <row r="923" spans="1:38" x14ac:dyDescent="0.2">
      <c r="A923" s="45"/>
      <c r="B923" s="43" t="str">
        <f t="shared" si="352"/>
        <v/>
      </c>
      <c r="C923" s="96" t="str">
        <f t="shared" si="351"/>
        <v/>
      </c>
      <c r="D923" s="44" t="str">
        <f t="shared" si="353"/>
        <v/>
      </c>
      <c r="E923" s="52"/>
      <c r="F923" s="63" t="str">
        <f t="shared" si="354"/>
        <v/>
      </c>
      <c r="G923" s="56" t="str">
        <f t="shared" si="355"/>
        <v/>
      </c>
      <c r="H923" s="42"/>
      <c r="I923" s="2" t="str">
        <f t="shared" si="356"/>
        <v/>
      </c>
      <c r="J923" s="54" t="str">
        <f t="shared" si="343"/>
        <v/>
      </c>
      <c r="K923" s="55" t="str">
        <f t="shared" si="357"/>
        <v/>
      </c>
      <c r="L923" s="63" t="str">
        <f t="shared" si="358"/>
        <v/>
      </c>
      <c r="M923" s="96" t="str">
        <f t="shared" si="344"/>
        <v/>
      </c>
      <c r="N923" s="96" t="str">
        <f>IF(A923="","",IF(A923=Expiry,0,EXP(-q*Q923)*_xlfn.NORM.S.DIST(Y923,0)/(sigma*SQRT(Q923))*I923*Mult/100))</f>
        <v/>
      </c>
      <c r="O923" s="96" t="str">
        <f>IF(A923="","",IF(A923=Expiry,0,D923*E923*E923*EXP(-q*Q923)*_xlfn.NORM.S.DIST(Y923,0)*SQRT(Q923)/100))</f>
        <v/>
      </c>
      <c r="P923" s="69" t="str">
        <f>IF(A923="","",IF(A923=Expiry,0,AK923*I923*Mult*((-EXP(-q*Q923)*E923*_xlfn.NORM.S.DIST(Y923,0)*sigma/(2*SQRT(Q923))-r_dom*K*EXP(-r_dom*Q923)*_xlfn.NORM.S.DIST(Z923,1)+q*E923*EXP(-q*Q923)*_xlfn.NORM.S.DIST(Y923,1))/365)))</f>
        <v/>
      </c>
      <c r="Q923" s="83" t="str">
        <f t="shared" si="359"/>
        <v/>
      </c>
      <c r="R923" s="38"/>
      <c r="S923" s="68" t="str">
        <f t="shared" si="360"/>
        <v/>
      </c>
      <c r="T923" s="69" t="str">
        <f t="shared" si="361"/>
        <v/>
      </c>
      <c r="U923" s="70" t="str">
        <f t="shared" si="362"/>
        <v/>
      </c>
      <c r="V923" s="72" t="str">
        <f t="shared" si="363"/>
        <v/>
      </c>
      <c r="W923" s="2" t="str">
        <f t="shared" si="350"/>
        <v/>
      </c>
      <c r="X923" s="2" t="str">
        <f t="shared" si="345"/>
        <v/>
      </c>
      <c r="Y923" s="35" t="str">
        <f t="shared" ca="1" si="364"/>
        <v/>
      </c>
      <c r="Z923" s="36" t="str">
        <f t="shared" ca="1" si="365"/>
        <v/>
      </c>
      <c r="AA923" s="70" t="str">
        <f t="shared" si="366"/>
        <v/>
      </c>
      <c r="AB923" s="2"/>
      <c r="AC923" s="94" t="str">
        <f t="shared" si="346"/>
        <v/>
      </c>
      <c r="AD923" s="95" t="str">
        <f t="shared" si="347"/>
        <v/>
      </c>
      <c r="AE923" s="96" t="str">
        <f t="shared" si="348"/>
        <v/>
      </c>
      <c r="AF923" s="124" t="str">
        <f t="shared" si="349"/>
        <v/>
      </c>
      <c r="AG923" s="2"/>
      <c r="AH923" s="2"/>
      <c r="AI923" s="2"/>
      <c r="AJ923" s="2"/>
      <c r="AK923" s="2"/>
      <c r="AL923" s="2"/>
    </row>
    <row r="924" spans="1:38" x14ac:dyDescent="0.2">
      <c r="A924" s="45"/>
      <c r="B924" s="43" t="str">
        <f t="shared" si="352"/>
        <v/>
      </c>
      <c r="C924" s="96" t="str">
        <f t="shared" si="351"/>
        <v/>
      </c>
      <c r="D924" s="44" t="str">
        <f t="shared" si="353"/>
        <v/>
      </c>
      <c r="E924" s="52"/>
      <c r="F924" s="63" t="str">
        <f t="shared" si="354"/>
        <v/>
      </c>
      <c r="G924" s="56" t="str">
        <f t="shared" si="355"/>
        <v/>
      </c>
      <c r="H924" s="42"/>
      <c r="I924" s="2" t="str">
        <f t="shared" si="356"/>
        <v/>
      </c>
      <c r="J924" s="54" t="str">
        <f t="shared" si="343"/>
        <v/>
      </c>
      <c r="K924" s="55" t="str">
        <f t="shared" si="357"/>
        <v/>
      </c>
      <c r="L924" s="63" t="str">
        <f t="shared" si="358"/>
        <v/>
      </c>
      <c r="M924" s="96" t="str">
        <f t="shared" si="344"/>
        <v/>
      </c>
      <c r="N924" s="96" t="str">
        <f>IF(A924="","",IF(A924=Expiry,0,EXP(-q*Q924)*_xlfn.NORM.S.DIST(Y924,0)/(sigma*SQRT(Q924))*I924*Mult/100))</f>
        <v/>
      </c>
      <c r="O924" s="96" t="str">
        <f>IF(A924="","",IF(A924=Expiry,0,D924*E924*E924*EXP(-q*Q924)*_xlfn.NORM.S.DIST(Y924,0)*SQRT(Q924)/100))</f>
        <v/>
      </c>
      <c r="P924" s="69" t="str">
        <f>IF(A924="","",IF(A924=Expiry,0,AK924*I924*Mult*((-EXP(-q*Q924)*E924*_xlfn.NORM.S.DIST(Y924,0)*sigma/(2*SQRT(Q924))-r_dom*K*EXP(-r_dom*Q924)*_xlfn.NORM.S.DIST(Z924,1)+q*E924*EXP(-q*Q924)*_xlfn.NORM.S.DIST(Y924,1))/365)))</f>
        <v/>
      </c>
      <c r="Q924" s="83" t="str">
        <f t="shared" si="359"/>
        <v/>
      </c>
      <c r="R924" s="38"/>
      <c r="S924" s="68" t="str">
        <f t="shared" si="360"/>
        <v/>
      </c>
      <c r="T924" s="69" t="str">
        <f t="shared" si="361"/>
        <v/>
      </c>
      <c r="U924" s="70" t="str">
        <f t="shared" si="362"/>
        <v/>
      </c>
      <c r="V924" s="72" t="str">
        <f t="shared" si="363"/>
        <v/>
      </c>
      <c r="W924" s="2" t="str">
        <f t="shared" si="350"/>
        <v/>
      </c>
      <c r="X924" s="2" t="str">
        <f t="shared" si="345"/>
        <v/>
      </c>
      <c r="Y924" s="35" t="str">
        <f t="shared" ca="1" si="364"/>
        <v/>
      </c>
      <c r="Z924" s="36" t="str">
        <f t="shared" ca="1" si="365"/>
        <v/>
      </c>
      <c r="AA924" s="70" t="str">
        <f t="shared" si="366"/>
        <v/>
      </c>
      <c r="AB924" s="2"/>
      <c r="AC924" s="94" t="str">
        <f t="shared" si="346"/>
        <v/>
      </c>
      <c r="AD924" s="95" t="str">
        <f t="shared" si="347"/>
        <v/>
      </c>
      <c r="AE924" s="96" t="str">
        <f t="shared" si="348"/>
        <v/>
      </c>
      <c r="AF924" s="124" t="str">
        <f t="shared" si="349"/>
        <v/>
      </c>
      <c r="AG924" s="2"/>
      <c r="AH924" s="2"/>
      <c r="AI924" s="2"/>
      <c r="AJ924" s="2"/>
      <c r="AK924" s="2"/>
      <c r="AL924" s="2"/>
    </row>
    <row r="925" spans="1:38" x14ac:dyDescent="0.2">
      <c r="A925" s="45"/>
      <c r="B925" s="43" t="str">
        <f t="shared" si="352"/>
        <v/>
      </c>
      <c r="C925" s="96" t="str">
        <f t="shared" si="351"/>
        <v/>
      </c>
      <c r="D925" s="44" t="str">
        <f t="shared" si="353"/>
        <v/>
      </c>
      <c r="E925" s="52"/>
      <c r="F925" s="63" t="str">
        <f t="shared" si="354"/>
        <v/>
      </c>
      <c r="G925" s="56" t="str">
        <f t="shared" si="355"/>
        <v/>
      </c>
      <c r="H925" s="42"/>
      <c r="I925" s="2" t="str">
        <f t="shared" si="356"/>
        <v/>
      </c>
      <c r="J925" s="54" t="str">
        <f t="shared" si="343"/>
        <v/>
      </c>
      <c r="K925" s="55" t="str">
        <f t="shared" si="357"/>
        <v/>
      </c>
      <c r="L925" s="63" t="str">
        <f t="shared" si="358"/>
        <v/>
      </c>
      <c r="M925" s="96" t="str">
        <f t="shared" si="344"/>
        <v/>
      </c>
      <c r="N925" s="96" t="str">
        <f>IF(A925="","",IF(A925=Expiry,0,EXP(-q*Q925)*_xlfn.NORM.S.DIST(Y925,0)/(sigma*SQRT(Q925))*I925*Mult/100))</f>
        <v/>
      </c>
      <c r="O925" s="96" t="str">
        <f>IF(A925="","",IF(A925=Expiry,0,D925*E925*E925*EXP(-q*Q925)*_xlfn.NORM.S.DIST(Y925,0)*SQRT(Q925)/100))</f>
        <v/>
      </c>
      <c r="P925" s="69" t="str">
        <f>IF(A925="","",IF(A925=Expiry,0,AK925*I925*Mult*((-EXP(-q*Q925)*E925*_xlfn.NORM.S.DIST(Y925,0)*sigma/(2*SQRT(Q925))-r_dom*K*EXP(-r_dom*Q925)*_xlfn.NORM.S.DIST(Z925,1)+q*E925*EXP(-q*Q925)*_xlfn.NORM.S.DIST(Y925,1))/365)))</f>
        <v/>
      </c>
      <c r="Q925" s="83" t="str">
        <f t="shared" si="359"/>
        <v/>
      </c>
      <c r="R925" s="38"/>
      <c r="S925" s="68" t="str">
        <f t="shared" si="360"/>
        <v/>
      </c>
      <c r="T925" s="69" t="str">
        <f t="shared" si="361"/>
        <v/>
      </c>
      <c r="U925" s="70" t="str">
        <f t="shared" si="362"/>
        <v/>
      </c>
      <c r="V925" s="72" t="str">
        <f t="shared" si="363"/>
        <v/>
      </c>
      <c r="W925" s="2" t="str">
        <f t="shared" si="350"/>
        <v/>
      </c>
      <c r="X925" s="2" t="str">
        <f t="shared" si="345"/>
        <v/>
      </c>
      <c r="Y925" s="35" t="str">
        <f t="shared" ca="1" si="364"/>
        <v/>
      </c>
      <c r="Z925" s="36" t="str">
        <f t="shared" ca="1" si="365"/>
        <v/>
      </c>
      <c r="AA925" s="70" t="str">
        <f t="shared" si="366"/>
        <v/>
      </c>
      <c r="AB925" s="2"/>
      <c r="AC925" s="94" t="str">
        <f t="shared" si="346"/>
        <v/>
      </c>
      <c r="AD925" s="95" t="str">
        <f t="shared" si="347"/>
        <v/>
      </c>
      <c r="AE925" s="96" t="str">
        <f t="shared" si="348"/>
        <v/>
      </c>
      <c r="AF925" s="124" t="str">
        <f t="shared" si="349"/>
        <v/>
      </c>
      <c r="AG925" s="2"/>
      <c r="AH925" s="2"/>
      <c r="AI925" s="2"/>
      <c r="AJ925" s="2"/>
      <c r="AK925" s="2"/>
      <c r="AL925" s="2"/>
    </row>
    <row r="926" spans="1:38" x14ac:dyDescent="0.2">
      <c r="A926" s="45"/>
      <c r="B926" s="43" t="str">
        <f t="shared" si="352"/>
        <v/>
      </c>
      <c r="C926" s="96" t="str">
        <f t="shared" si="351"/>
        <v/>
      </c>
      <c r="D926" s="44" t="str">
        <f t="shared" si="353"/>
        <v/>
      </c>
      <c r="E926" s="52"/>
      <c r="F926" s="63" t="str">
        <f t="shared" si="354"/>
        <v/>
      </c>
      <c r="G926" s="56" t="str">
        <f t="shared" si="355"/>
        <v/>
      </c>
      <c r="H926" s="42"/>
      <c r="I926" s="2" t="str">
        <f t="shared" si="356"/>
        <v/>
      </c>
      <c r="J926" s="54" t="str">
        <f t="shared" si="343"/>
        <v/>
      </c>
      <c r="K926" s="55" t="str">
        <f t="shared" si="357"/>
        <v/>
      </c>
      <c r="L926" s="63" t="str">
        <f t="shared" si="358"/>
        <v/>
      </c>
      <c r="M926" s="96" t="str">
        <f t="shared" si="344"/>
        <v/>
      </c>
      <c r="N926" s="96" t="str">
        <f>IF(A926="","",IF(A926=Expiry,0,EXP(-q*Q926)*_xlfn.NORM.S.DIST(Y926,0)/(sigma*SQRT(Q926))*I926*Mult/100))</f>
        <v/>
      </c>
      <c r="O926" s="96" t="str">
        <f>IF(A926="","",IF(A926=Expiry,0,D926*E926*E926*EXP(-q*Q926)*_xlfn.NORM.S.DIST(Y926,0)*SQRT(Q926)/100))</f>
        <v/>
      </c>
      <c r="P926" s="69" t="str">
        <f>IF(A926="","",IF(A926=Expiry,0,AK926*I926*Mult*((-EXP(-q*Q926)*E926*_xlfn.NORM.S.DIST(Y926,0)*sigma/(2*SQRT(Q926))-r_dom*K*EXP(-r_dom*Q926)*_xlfn.NORM.S.DIST(Z926,1)+q*E926*EXP(-q*Q926)*_xlfn.NORM.S.DIST(Y926,1))/365)))</f>
        <v/>
      </c>
      <c r="Q926" s="83" t="str">
        <f t="shared" si="359"/>
        <v/>
      </c>
      <c r="R926" s="38"/>
      <c r="S926" s="68" t="str">
        <f t="shared" si="360"/>
        <v/>
      </c>
      <c r="T926" s="69" t="str">
        <f t="shared" si="361"/>
        <v/>
      </c>
      <c r="U926" s="70" t="str">
        <f t="shared" si="362"/>
        <v/>
      </c>
      <c r="V926" s="72" t="str">
        <f t="shared" si="363"/>
        <v/>
      </c>
      <c r="W926" s="2" t="str">
        <f t="shared" si="350"/>
        <v/>
      </c>
      <c r="X926" s="2" t="str">
        <f t="shared" si="345"/>
        <v/>
      </c>
      <c r="Y926" s="35" t="str">
        <f t="shared" ca="1" si="364"/>
        <v/>
      </c>
      <c r="Z926" s="36" t="str">
        <f t="shared" ca="1" si="365"/>
        <v/>
      </c>
      <c r="AA926" s="70" t="str">
        <f t="shared" si="366"/>
        <v/>
      </c>
      <c r="AB926" s="2"/>
      <c r="AC926" s="94" t="str">
        <f t="shared" si="346"/>
        <v/>
      </c>
      <c r="AD926" s="95" t="str">
        <f t="shared" si="347"/>
        <v/>
      </c>
      <c r="AE926" s="96" t="str">
        <f t="shared" si="348"/>
        <v/>
      </c>
      <c r="AF926" s="124" t="str">
        <f t="shared" si="349"/>
        <v/>
      </c>
      <c r="AG926" s="2"/>
      <c r="AH926" s="2"/>
      <c r="AI926" s="2"/>
      <c r="AJ926" s="2"/>
      <c r="AK926" s="2"/>
      <c r="AL926" s="2"/>
    </row>
    <row r="927" spans="1:38" x14ac:dyDescent="0.2">
      <c r="A927" s="45"/>
      <c r="B927" s="43" t="str">
        <f t="shared" si="352"/>
        <v/>
      </c>
      <c r="C927" s="96" t="str">
        <f t="shared" si="351"/>
        <v/>
      </c>
      <c r="D927" s="44" t="str">
        <f t="shared" si="353"/>
        <v/>
      </c>
      <c r="E927" s="52"/>
      <c r="F927" s="63" t="str">
        <f t="shared" si="354"/>
        <v/>
      </c>
      <c r="G927" s="56" t="str">
        <f t="shared" si="355"/>
        <v/>
      </c>
      <c r="H927" s="42"/>
      <c r="I927" s="2" t="str">
        <f t="shared" si="356"/>
        <v/>
      </c>
      <c r="J927" s="54" t="str">
        <f t="shared" si="343"/>
        <v/>
      </c>
      <c r="K927" s="55" t="str">
        <f t="shared" si="357"/>
        <v/>
      </c>
      <c r="L927" s="63" t="str">
        <f t="shared" si="358"/>
        <v/>
      </c>
      <c r="M927" s="96" t="str">
        <f t="shared" si="344"/>
        <v/>
      </c>
      <c r="N927" s="96" t="str">
        <f>IF(A927="","",IF(A927=Expiry,0,EXP(-q*Q927)*_xlfn.NORM.S.DIST(Y927,0)/(sigma*SQRT(Q927))*I927*Mult/100))</f>
        <v/>
      </c>
      <c r="O927" s="96" t="str">
        <f>IF(A927="","",IF(A927=Expiry,0,D927*E927*E927*EXP(-q*Q927)*_xlfn.NORM.S.DIST(Y927,0)*SQRT(Q927)/100))</f>
        <v/>
      </c>
      <c r="P927" s="69" t="str">
        <f>IF(A927="","",IF(A927=Expiry,0,AK927*I927*Mult*((-EXP(-q*Q927)*E927*_xlfn.NORM.S.DIST(Y927,0)*sigma/(2*SQRT(Q927))-r_dom*K*EXP(-r_dom*Q927)*_xlfn.NORM.S.DIST(Z927,1)+q*E927*EXP(-q*Q927)*_xlfn.NORM.S.DIST(Y927,1))/365)))</f>
        <v/>
      </c>
      <c r="Q927" s="83" t="str">
        <f t="shared" si="359"/>
        <v/>
      </c>
      <c r="R927" s="38"/>
      <c r="S927" s="68" t="str">
        <f t="shared" si="360"/>
        <v/>
      </c>
      <c r="T927" s="69" t="str">
        <f t="shared" si="361"/>
        <v/>
      </c>
      <c r="U927" s="70" t="str">
        <f t="shared" si="362"/>
        <v/>
      </c>
      <c r="V927" s="72" t="str">
        <f t="shared" si="363"/>
        <v/>
      </c>
      <c r="W927" s="2" t="str">
        <f t="shared" si="350"/>
        <v/>
      </c>
      <c r="X927" s="2" t="str">
        <f t="shared" si="345"/>
        <v/>
      </c>
      <c r="Y927" s="35" t="str">
        <f t="shared" ca="1" si="364"/>
        <v/>
      </c>
      <c r="Z927" s="36" t="str">
        <f t="shared" ca="1" si="365"/>
        <v/>
      </c>
      <c r="AA927" s="70" t="str">
        <f t="shared" si="366"/>
        <v/>
      </c>
      <c r="AB927" s="2"/>
      <c r="AC927" s="94" t="str">
        <f t="shared" si="346"/>
        <v/>
      </c>
      <c r="AD927" s="95" t="str">
        <f t="shared" si="347"/>
        <v/>
      </c>
      <c r="AE927" s="96" t="str">
        <f t="shared" si="348"/>
        <v/>
      </c>
      <c r="AF927" s="124" t="str">
        <f t="shared" si="349"/>
        <v/>
      </c>
      <c r="AG927" s="2"/>
      <c r="AH927" s="2"/>
      <c r="AI927" s="2"/>
      <c r="AJ927" s="2"/>
      <c r="AK927" s="2"/>
      <c r="AL927" s="2"/>
    </row>
    <row r="928" spans="1:38" x14ac:dyDescent="0.2">
      <c r="A928" s="45"/>
      <c r="B928" s="43" t="str">
        <f t="shared" si="352"/>
        <v/>
      </c>
      <c r="C928" s="96" t="str">
        <f t="shared" si="351"/>
        <v/>
      </c>
      <c r="D928" s="44" t="str">
        <f t="shared" si="353"/>
        <v/>
      </c>
      <c r="E928" s="52"/>
      <c r="F928" s="63" t="str">
        <f t="shared" si="354"/>
        <v/>
      </c>
      <c r="G928" s="56" t="str">
        <f t="shared" si="355"/>
        <v/>
      </c>
      <c r="H928" s="42"/>
      <c r="I928" s="2" t="str">
        <f t="shared" si="356"/>
        <v/>
      </c>
      <c r="J928" s="54" t="str">
        <f t="shared" si="343"/>
        <v/>
      </c>
      <c r="K928" s="55" t="str">
        <f t="shared" si="357"/>
        <v/>
      </c>
      <c r="L928" s="63" t="str">
        <f t="shared" si="358"/>
        <v/>
      </c>
      <c r="M928" s="96" t="str">
        <f t="shared" si="344"/>
        <v/>
      </c>
      <c r="N928" s="96" t="str">
        <f>IF(A928="","",IF(A928=Expiry,0,EXP(-q*Q928)*_xlfn.NORM.S.DIST(Y928,0)/(sigma*SQRT(Q928))*I928*Mult/100))</f>
        <v/>
      </c>
      <c r="O928" s="96" t="str">
        <f>IF(A928="","",IF(A928=Expiry,0,D928*E928*E928*EXP(-q*Q928)*_xlfn.NORM.S.DIST(Y928,0)*SQRT(Q928)/100))</f>
        <v/>
      </c>
      <c r="P928" s="69" t="str">
        <f>IF(A928="","",IF(A928=Expiry,0,AK928*I928*Mult*((-EXP(-q*Q928)*E928*_xlfn.NORM.S.DIST(Y928,0)*sigma/(2*SQRT(Q928))-r_dom*K*EXP(-r_dom*Q928)*_xlfn.NORM.S.DIST(Z928,1)+q*E928*EXP(-q*Q928)*_xlfn.NORM.S.DIST(Y928,1))/365)))</f>
        <v/>
      </c>
      <c r="Q928" s="83" t="str">
        <f t="shared" si="359"/>
        <v/>
      </c>
      <c r="R928" s="38"/>
      <c r="S928" s="68" t="str">
        <f t="shared" si="360"/>
        <v/>
      </c>
      <c r="T928" s="69" t="str">
        <f t="shared" si="361"/>
        <v/>
      </c>
      <c r="U928" s="70" t="str">
        <f t="shared" si="362"/>
        <v/>
      </c>
      <c r="V928" s="72" t="str">
        <f t="shared" si="363"/>
        <v/>
      </c>
      <c r="W928" s="2" t="str">
        <f t="shared" si="350"/>
        <v/>
      </c>
      <c r="X928" s="2" t="str">
        <f t="shared" si="345"/>
        <v/>
      </c>
      <c r="Y928" s="35" t="str">
        <f t="shared" ca="1" si="364"/>
        <v/>
      </c>
      <c r="Z928" s="36" t="str">
        <f t="shared" ca="1" si="365"/>
        <v/>
      </c>
      <c r="AA928" s="70" t="str">
        <f t="shared" si="366"/>
        <v/>
      </c>
      <c r="AB928" s="2"/>
      <c r="AC928" s="94" t="str">
        <f t="shared" si="346"/>
        <v/>
      </c>
      <c r="AD928" s="95" t="str">
        <f t="shared" si="347"/>
        <v/>
      </c>
      <c r="AE928" s="96" t="str">
        <f t="shared" si="348"/>
        <v/>
      </c>
      <c r="AF928" s="124" t="str">
        <f t="shared" si="349"/>
        <v/>
      </c>
      <c r="AG928" s="2"/>
      <c r="AH928" s="2"/>
      <c r="AI928" s="2"/>
      <c r="AJ928" s="2"/>
      <c r="AK928" s="2"/>
      <c r="AL928" s="2"/>
    </row>
    <row r="929" spans="1:38" x14ac:dyDescent="0.2">
      <c r="A929" s="45"/>
      <c r="B929" s="43" t="str">
        <f t="shared" si="352"/>
        <v/>
      </c>
      <c r="C929" s="96" t="str">
        <f t="shared" si="351"/>
        <v/>
      </c>
      <c r="D929" s="44" t="str">
        <f t="shared" si="353"/>
        <v/>
      </c>
      <c r="E929" s="52"/>
      <c r="F929" s="63" t="str">
        <f t="shared" si="354"/>
        <v/>
      </c>
      <c r="G929" s="56" t="str">
        <f t="shared" si="355"/>
        <v/>
      </c>
      <c r="H929" s="42"/>
      <c r="I929" s="2" t="str">
        <f t="shared" si="356"/>
        <v/>
      </c>
      <c r="J929" s="54" t="str">
        <f t="shared" si="343"/>
        <v/>
      </c>
      <c r="K929" s="55" t="str">
        <f t="shared" si="357"/>
        <v/>
      </c>
      <c r="L929" s="63" t="str">
        <f t="shared" si="358"/>
        <v/>
      </c>
      <c r="M929" s="96" t="str">
        <f t="shared" si="344"/>
        <v/>
      </c>
      <c r="N929" s="96" t="str">
        <f>IF(A929="","",IF(A929=Expiry,0,EXP(-q*Q929)*_xlfn.NORM.S.DIST(Y929,0)/(sigma*SQRT(Q929))*I929*Mult/100))</f>
        <v/>
      </c>
      <c r="O929" s="96" t="str">
        <f>IF(A929="","",IF(A929=Expiry,0,D929*E929*E929*EXP(-q*Q929)*_xlfn.NORM.S.DIST(Y929,0)*SQRT(Q929)/100))</f>
        <v/>
      </c>
      <c r="P929" s="69" t="str">
        <f>IF(A929="","",IF(A929=Expiry,0,AK929*I929*Mult*((-EXP(-q*Q929)*E929*_xlfn.NORM.S.DIST(Y929,0)*sigma/(2*SQRT(Q929))-r_dom*K*EXP(-r_dom*Q929)*_xlfn.NORM.S.DIST(Z929,1)+q*E929*EXP(-q*Q929)*_xlfn.NORM.S.DIST(Y929,1))/365)))</f>
        <v/>
      </c>
      <c r="Q929" s="83" t="str">
        <f t="shared" si="359"/>
        <v/>
      </c>
      <c r="R929" s="38"/>
      <c r="S929" s="68" t="str">
        <f t="shared" si="360"/>
        <v/>
      </c>
      <c r="T929" s="69" t="str">
        <f t="shared" si="361"/>
        <v/>
      </c>
      <c r="U929" s="70" t="str">
        <f t="shared" si="362"/>
        <v/>
      </c>
      <c r="V929" s="72" t="str">
        <f t="shared" si="363"/>
        <v/>
      </c>
      <c r="W929" s="2" t="str">
        <f t="shared" si="350"/>
        <v/>
      </c>
      <c r="X929" s="2" t="str">
        <f t="shared" si="345"/>
        <v/>
      </c>
      <c r="Y929" s="35" t="str">
        <f t="shared" ca="1" si="364"/>
        <v/>
      </c>
      <c r="Z929" s="36" t="str">
        <f t="shared" ca="1" si="365"/>
        <v/>
      </c>
      <c r="AA929" s="70" t="str">
        <f t="shared" si="366"/>
        <v/>
      </c>
      <c r="AB929" s="2"/>
      <c r="AC929" s="94" t="str">
        <f t="shared" si="346"/>
        <v/>
      </c>
      <c r="AD929" s="95" t="str">
        <f t="shared" si="347"/>
        <v/>
      </c>
      <c r="AE929" s="96" t="str">
        <f t="shared" si="348"/>
        <v/>
      </c>
      <c r="AF929" s="124" t="str">
        <f t="shared" si="349"/>
        <v/>
      </c>
      <c r="AG929" s="2"/>
      <c r="AH929" s="2"/>
      <c r="AI929" s="2"/>
      <c r="AJ929" s="2"/>
      <c r="AK929" s="2"/>
      <c r="AL929" s="2"/>
    </row>
    <row r="930" spans="1:38" x14ac:dyDescent="0.2">
      <c r="A930" s="45"/>
      <c r="B930" s="43" t="str">
        <f t="shared" si="352"/>
        <v/>
      </c>
      <c r="C930" s="96" t="str">
        <f t="shared" si="351"/>
        <v/>
      </c>
      <c r="D930" s="44" t="str">
        <f t="shared" si="353"/>
        <v/>
      </c>
      <c r="E930" s="52"/>
      <c r="F930" s="63" t="str">
        <f t="shared" si="354"/>
        <v/>
      </c>
      <c r="G930" s="56" t="str">
        <f t="shared" si="355"/>
        <v/>
      </c>
      <c r="H930" s="42"/>
      <c r="I930" s="2" t="str">
        <f t="shared" si="356"/>
        <v/>
      </c>
      <c r="J930" s="54" t="str">
        <f t="shared" si="343"/>
        <v/>
      </c>
      <c r="K930" s="55" t="str">
        <f t="shared" si="357"/>
        <v/>
      </c>
      <c r="L930" s="63" t="str">
        <f t="shared" si="358"/>
        <v/>
      </c>
      <c r="M930" s="96" t="str">
        <f t="shared" si="344"/>
        <v/>
      </c>
      <c r="N930" s="96" t="str">
        <f>IF(A930="","",IF(A930=Expiry,0,EXP(-q*Q930)*_xlfn.NORM.S.DIST(Y930,0)/(sigma*SQRT(Q930))*I930*Mult/100))</f>
        <v/>
      </c>
      <c r="O930" s="96" t="str">
        <f>IF(A930="","",IF(A930=Expiry,0,D930*E930*E930*EXP(-q*Q930)*_xlfn.NORM.S.DIST(Y930,0)*SQRT(Q930)/100))</f>
        <v/>
      </c>
      <c r="P930" s="69" t="str">
        <f>IF(A930="","",IF(A930=Expiry,0,AK930*I930*Mult*((-EXP(-q*Q930)*E930*_xlfn.NORM.S.DIST(Y930,0)*sigma/(2*SQRT(Q930))-r_dom*K*EXP(-r_dom*Q930)*_xlfn.NORM.S.DIST(Z930,1)+q*E930*EXP(-q*Q930)*_xlfn.NORM.S.DIST(Y930,1))/365)))</f>
        <v/>
      </c>
      <c r="Q930" s="83" t="str">
        <f t="shared" si="359"/>
        <v/>
      </c>
      <c r="R930" s="38"/>
      <c r="S930" s="68" t="str">
        <f t="shared" si="360"/>
        <v/>
      </c>
      <c r="T930" s="69" t="str">
        <f t="shared" si="361"/>
        <v/>
      </c>
      <c r="U930" s="70" t="str">
        <f t="shared" si="362"/>
        <v/>
      </c>
      <c r="V930" s="72" t="str">
        <f t="shared" si="363"/>
        <v/>
      </c>
      <c r="W930" s="2" t="str">
        <f t="shared" si="350"/>
        <v/>
      </c>
      <c r="X930" s="2" t="str">
        <f t="shared" si="345"/>
        <v/>
      </c>
      <c r="Y930" s="35" t="str">
        <f t="shared" ca="1" si="364"/>
        <v/>
      </c>
      <c r="Z930" s="36" t="str">
        <f t="shared" ca="1" si="365"/>
        <v/>
      </c>
      <c r="AA930" s="70" t="str">
        <f t="shared" si="366"/>
        <v/>
      </c>
      <c r="AB930" s="2"/>
      <c r="AC930" s="94" t="str">
        <f t="shared" si="346"/>
        <v/>
      </c>
      <c r="AD930" s="95" t="str">
        <f t="shared" si="347"/>
        <v/>
      </c>
      <c r="AE930" s="96" t="str">
        <f t="shared" si="348"/>
        <v/>
      </c>
      <c r="AF930" s="124" t="str">
        <f t="shared" si="349"/>
        <v/>
      </c>
      <c r="AG930" s="2"/>
      <c r="AH930" s="2"/>
      <c r="AI930" s="2"/>
      <c r="AJ930" s="2"/>
      <c r="AK930" s="2"/>
      <c r="AL930" s="2"/>
    </row>
    <row r="931" spans="1:38" x14ac:dyDescent="0.2">
      <c r="A931" s="45"/>
      <c r="B931" s="43" t="str">
        <f t="shared" si="352"/>
        <v/>
      </c>
      <c r="C931" s="96" t="str">
        <f t="shared" si="351"/>
        <v/>
      </c>
      <c r="D931" s="44" t="str">
        <f t="shared" si="353"/>
        <v/>
      </c>
      <c r="E931" s="52"/>
      <c r="F931" s="63" t="str">
        <f t="shared" si="354"/>
        <v/>
      </c>
      <c r="G931" s="56" t="str">
        <f t="shared" si="355"/>
        <v/>
      </c>
      <c r="H931" s="42"/>
      <c r="I931" s="2" t="str">
        <f t="shared" si="356"/>
        <v/>
      </c>
      <c r="J931" s="54" t="str">
        <f t="shared" si="343"/>
        <v/>
      </c>
      <c r="K931" s="55" t="str">
        <f t="shared" si="357"/>
        <v/>
      </c>
      <c r="L931" s="63" t="str">
        <f t="shared" si="358"/>
        <v/>
      </c>
      <c r="M931" s="96" t="str">
        <f t="shared" si="344"/>
        <v/>
      </c>
      <c r="N931" s="96" t="str">
        <f>IF(A931="","",IF(A931=Expiry,0,EXP(-q*Q931)*_xlfn.NORM.S.DIST(Y931,0)/(sigma*SQRT(Q931))*I931*Mult/100))</f>
        <v/>
      </c>
      <c r="O931" s="96" t="str">
        <f>IF(A931="","",IF(A931=Expiry,0,D931*E931*E931*EXP(-q*Q931)*_xlfn.NORM.S.DIST(Y931,0)*SQRT(Q931)/100))</f>
        <v/>
      </c>
      <c r="P931" s="69" t="str">
        <f>IF(A931="","",IF(A931=Expiry,0,AK931*I931*Mult*((-EXP(-q*Q931)*E931*_xlfn.NORM.S.DIST(Y931,0)*sigma/(2*SQRT(Q931))-r_dom*K*EXP(-r_dom*Q931)*_xlfn.NORM.S.DIST(Z931,1)+q*E931*EXP(-q*Q931)*_xlfn.NORM.S.DIST(Y931,1))/365)))</f>
        <v/>
      </c>
      <c r="Q931" s="83" t="str">
        <f t="shared" si="359"/>
        <v/>
      </c>
      <c r="R931" s="38"/>
      <c r="S931" s="68" t="str">
        <f t="shared" si="360"/>
        <v/>
      </c>
      <c r="T931" s="69" t="str">
        <f t="shared" si="361"/>
        <v/>
      </c>
      <c r="U931" s="70" t="str">
        <f t="shared" si="362"/>
        <v/>
      </c>
      <c r="V931" s="72" t="str">
        <f t="shared" si="363"/>
        <v/>
      </c>
      <c r="W931" s="2" t="str">
        <f t="shared" si="350"/>
        <v/>
      </c>
      <c r="X931" s="2" t="str">
        <f t="shared" si="345"/>
        <v/>
      </c>
      <c r="Y931" s="35" t="str">
        <f t="shared" ca="1" si="364"/>
        <v/>
      </c>
      <c r="Z931" s="36" t="str">
        <f t="shared" ca="1" si="365"/>
        <v/>
      </c>
      <c r="AA931" s="70" t="str">
        <f t="shared" si="366"/>
        <v/>
      </c>
      <c r="AB931" s="2"/>
      <c r="AC931" s="94" t="str">
        <f t="shared" si="346"/>
        <v/>
      </c>
      <c r="AD931" s="95" t="str">
        <f t="shared" si="347"/>
        <v/>
      </c>
      <c r="AE931" s="96" t="str">
        <f t="shared" si="348"/>
        <v/>
      </c>
      <c r="AF931" s="124" t="str">
        <f t="shared" si="349"/>
        <v/>
      </c>
      <c r="AG931" s="2"/>
      <c r="AH931" s="2"/>
      <c r="AI931" s="2"/>
      <c r="AJ931" s="2"/>
      <c r="AK931" s="2"/>
      <c r="AL931" s="2"/>
    </row>
    <row r="932" spans="1:38" x14ac:dyDescent="0.2">
      <c r="A932" s="45"/>
      <c r="B932" s="43" t="str">
        <f t="shared" si="352"/>
        <v/>
      </c>
      <c r="C932" s="96" t="str">
        <f t="shared" si="351"/>
        <v/>
      </c>
      <c r="D932" s="44" t="str">
        <f t="shared" si="353"/>
        <v/>
      </c>
      <c r="E932" s="52"/>
      <c r="F932" s="63" t="str">
        <f t="shared" si="354"/>
        <v/>
      </c>
      <c r="G932" s="56" t="str">
        <f t="shared" si="355"/>
        <v/>
      </c>
      <c r="H932" s="42"/>
      <c r="I932" s="2" t="str">
        <f t="shared" si="356"/>
        <v/>
      </c>
      <c r="J932" s="54" t="str">
        <f t="shared" ref="J932:J1000" si="367">IF(CorP="C",AC932,AD932)</f>
        <v/>
      </c>
      <c r="K932" s="55" t="str">
        <f t="shared" si="357"/>
        <v/>
      </c>
      <c r="L932" s="63" t="str">
        <f t="shared" si="358"/>
        <v/>
      </c>
      <c r="M932" s="96" t="str">
        <f t="shared" ref="M932:M1000" si="368">IF(CorP="C",AE932,AF932)</f>
        <v/>
      </c>
      <c r="N932" s="96" t="str">
        <f>IF(A932="","",IF(A932=Expiry,0,EXP(-q*Q932)*_xlfn.NORM.S.DIST(Y932,0)/(sigma*SQRT(Q932))*I932*Mult/100))</f>
        <v/>
      </c>
      <c r="O932" s="96" t="str">
        <f>IF(A932="","",IF(A932=Expiry,0,D932*E932*E932*EXP(-q*Q932)*_xlfn.NORM.S.DIST(Y932,0)*SQRT(Q932)/100))</f>
        <v/>
      </c>
      <c r="P932" s="69" t="str">
        <f>IF(A932="","",IF(A932=Expiry,0,AK932*I932*Mult*((-EXP(-q*Q932)*E932*_xlfn.NORM.S.DIST(Y932,0)*sigma/(2*SQRT(Q932))-r_dom*K*EXP(-r_dom*Q932)*_xlfn.NORM.S.DIST(Z932,1)+q*E932*EXP(-q*Q932)*_xlfn.NORM.S.DIST(Y932,1))/365)))</f>
        <v/>
      </c>
      <c r="Q932" s="83" t="str">
        <f t="shared" si="359"/>
        <v/>
      </c>
      <c r="R932" s="38"/>
      <c r="S932" s="68" t="str">
        <f t="shared" si="360"/>
        <v/>
      </c>
      <c r="T932" s="69" t="str">
        <f t="shared" si="361"/>
        <v/>
      </c>
      <c r="U932" s="70" t="str">
        <f t="shared" si="362"/>
        <v/>
      </c>
      <c r="V932" s="72" t="str">
        <f t="shared" si="363"/>
        <v/>
      </c>
      <c r="W932" s="2" t="str">
        <f t="shared" si="350"/>
        <v/>
      </c>
      <c r="X932" s="2" t="str">
        <f t="shared" ref="X932:X1000" si="369">IF(A932="","",K)</f>
        <v/>
      </c>
      <c r="Y932" s="35" t="str">
        <f t="shared" ca="1" si="364"/>
        <v/>
      </c>
      <c r="Z932" s="36" t="str">
        <f t="shared" ca="1" si="365"/>
        <v/>
      </c>
      <c r="AA932" s="70" t="str">
        <f t="shared" si="366"/>
        <v/>
      </c>
      <c r="AB932" s="2"/>
      <c r="AC932" s="94" t="str">
        <f t="shared" ref="AC932:AC1000" si="370">IF(A932="","",IF(A932=Expiry,MAX(E932-K,0),E932*EXP(-q*Q932)*_xlfn.NORM.S.DIST(Y932,1)-K*EXP(-r_dom*Q932)*_xlfn.NORM.S.DIST(Z932,1)))</f>
        <v/>
      </c>
      <c r="AD932" s="95" t="str">
        <f t="shared" ref="AD932:AD1000" si="371">IF(A932="","",IF(A932=Expiry,MAX(K-E932,0),K*EXP(-r_dom*Q932)*_xlfn.NORM.S.DIST(-Z932,1)-E932*EXP(-q*Q932)*_xlfn.NORM.S.DIST(-Y932,1)))</f>
        <v/>
      </c>
      <c r="AE932" s="96" t="str">
        <f t="shared" ref="AE932:AE1000" si="372">IF(A932="","",I932*Mult*IF(A932=Expiry,IF(E932&gt;K,1,0),EXP(-q*Q932)*_xlfn.NORM.S.DIST(Y932,1)))</f>
        <v/>
      </c>
      <c r="AF932" s="124" t="str">
        <f t="shared" ref="AF932:AF1000" si="373">IF(A932="","",I932*Mult*IF(A932=Expiry,IF(E932&lt;K,-1,0),-EXP(-q*Q932)*_xlfn.NORM.S.DIST(-Y932,1)))</f>
        <v/>
      </c>
      <c r="AG932" s="2"/>
      <c r="AH932" s="2"/>
      <c r="AI932" s="2"/>
      <c r="AJ932" s="2"/>
      <c r="AK932" s="2"/>
      <c r="AL932" s="2"/>
    </row>
    <row r="933" spans="1:38" x14ac:dyDescent="0.2">
      <c r="A933" s="45"/>
      <c r="B933" s="43" t="str">
        <f t="shared" si="352"/>
        <v/>
      </c>
      <c r="C933" s="96" t="str">
        <f t="shared" si="351"/>
        <v/>
      </c>
      <c r="D933" s="44" t="str">
        <f t="shared" si="353"/>
        <v/>
      </c>
      <c r="E933" s="52"/>
      <c r="F933" s="63" t="str">
        <f t="shared" si="354"/>
        <v/>
      </c>
      <c r="G933" s="56" t="str">
        <f t="shared" si="355"/>
        <v/>
      </c>
      <c r="H933" s="42"/>
      <c r="I933" s="2" t="str">
        <f t="shared" si="356"/>
        <v/>
      </c>
      <c r="J933" s="54" t="str">
        <f t="shared" si="367"/>
        <v/>
      </c>
      <c r="K933" s="55" t="str">
        <f t="shared" si="357"/>
        <v/>
      </c>
      <c r="L933" s="63" t="str">
        <f t="shared" si="358"/>
        <v/>
      </c>
      <c r="M933" s="96" t="str">
        <f t="shared" si="368"/>
        <v/>
      </c>
      <c r="N933" s="96" t="str">
        <f>IF(A933="","",IF(A933=Expiry,0,EXP(-q*Q933)*_xlfn.NORM.S.DIST(Y933,0)/(sigma*SQRT(Q933))*I933*Mult/100))</f>
        <v/>
      </c>
      <c r="O933" s="96" t="str">
        <f>IF(A933="","",IF(A933=Expiry,0,D933*E933*E933*EXP(-q*Q933)*_xlfn.NORM.S.DIST(Y933,0)*SQRT(Q933)/100))</f>
        <v/>
      </c>
      <c r="P933" s="69" t="str">
        <f>IF(A933="","",IF(A933=Expiry,0,AK933*I933*Mult*((-EXP(-q*Q933)*E933*_xlfn.NORM.S.DIST(Y933,0)*sigma/(2*SQRT(Q933))-r_dom*K*EXP(-r_dom*Q933)*_xlfn.NORM.S.DIST(Z933,1)+q*E933*EXP(-q*Q933)*_xlfn.NORM.S.DIST(Y933,1))/365)))</f>
        <v/>
      </c>
      <c r="Q933" s="83" t="str">
        <f t="shared" si="359"/>
        <v/>
      </c>
      <c r="R933" s="38"/>
      <c r="S933" s="68" t="str">
        <f t="shared" si="360"/>
        <v/>
      </c>
      <c r="T933" s="69" t="str">
        <f t="shared" si="361"/>
        <v/>
      </c>
      <c r="U933" s="70" t="str">
        <f t="shared" si="362"/>
        <v/>
      </c>
      <c r="V933" s="72" t="str">
        <f t="shared" si="363"/>
        <v/>
      </c>
      <c r="W933" s="2" t="str">
        <f t="shared" ref="W933:W996" si="374">IF(A933="","",100)</f>
        <v/>
      </c>
      <c r="X933" s="2" t="str">
        <f t="shared" si="369"/>
        <v/>
      </c>
      <c r="Y933" s="35" t="str">
        <f t="shared" ca="1" si="364"/>
        <v/>
      </c>
      <c r="Z933" s="36" t="str">
        <f t="shared" ca="1" si="365"/>
        <v/>
      </c>
      <c r="AA933" s="70" t="str">
        <f t="shared" si="366"/>
        <v/>
      </c>
      <c r="AB933" s="2"/>
      <c r="AC933" s="94" t="str">
        <f t="shared" si="370"/>
        <v/>
      </c>
      <c r="AD933" s="95" t="str">
        <f t="shared" si="371"/>
        <v/>
      </c>
      <c r="AE933" s="96" t="str">
        <f t="shared" si="372"/>
        <v/>
      </c>
      <c r="AF933" s="124" t="str">
        <f t="shared" si="373"/>
        <v/>
      </c>
      <c r="AG933" s="2"/>
      <c r="AH933" s="2"/>
      <c r="AI933" s="2"/>
      <c r="AJ933" s="2"/>
      <c r="AK933" s="2"/>
      <c r="AL933" s="2"/>
    </row>
    <row r="934" spans="1:38" x14ac:dyDescent="0.2">
      <c r="A934" s="45"/>
      <c r="B934" s="43" t="str">
        <f t="shared" si="352"/>
        <v/>
      </c>
      <c r="C934" s="96" t="str">
        <f t="shared" ref="C934:C997" si="375">IF(A934="","",C933+B934)</f>
        <v/>
      </c>
      <c r="D934" s="44" t="str">
        <f t="shared" si="353"/>
        <v/>
      </c>
      <c r="E934" s="52"/>
      <c r="F934" s="63" t="str">
        <f t="shared" si="354"/>
        <v/>
      </c>
      <c r="G934" s="56" t="str">
        <f t="shared" si="355"/>
        <v/>
      </c>
      <c r="H934" s="42"/>
      <c r="I934" s="2" t="str">
        <f t="shared" si="356"/>
        <v/>
      </c>
      <c r="J934" s="54" t="str">
        <f t="shared" si="367"/>
        <v/>
      </c>
      <c r="K934" s="55" t="str">
        <f t="shared" si="357"/>
        <v/>
      </c>
      <c r="L934" s="63" t="str">
        <f t="shared" si="358"/>
        <v/>
      </c>
      <c r="M934" s="96" t="str">
        <f t="shared" si="368"/>
        <v/>
      </c>
      <c r="N934" s="96" t="str">
        <f>IF(A934="","",IF(A934=Expiry,0,EXP(-q*Q934)*_xlfn.NORM.S.DIST(Y934,0)/(sigma*SQRT(Q934))*I934*Mult/100))</f>
        <v/>
      </c>
      <c r="O934" s="96" t="str">
        <f>IF(A934="","",IF(A934=Expiry,0,D934*E934*E934*EXP(-q*Q934)*_xlfn.NORM.S.DIST(Y934,0)*SQRT(Q934)/100))</f>
        <v/>
      </c>
      <c r="P934" s="69" t="str">
        <f>IF(A934="","",IF(A934=Expiry,0,AK934*I934*Mult*((-EXP(-q*Q934)*E934*_xlfn.NORM.S.DIST(Y934,0)*sigma/(2*SQRT(Q934))-r_dom*K*EXP(-r_dom*Q934)*_xlfn.NORM.S.DIST(Z934,1)+q*E934*EXP(-q*Q934)*_xlfn.NORM.S.DIST(Y934,1))/365)))</f>
        <v/>
      </c>
      <c r="Q934" s="83" t="str">
        <f t="shared" si="359"/>
        <v/>
      </c>
      <c r="R934" s="38"/>
      <c r="S934" s="68" t="str">
        <f t="shared" si="360"/>
        <v/>
      </c>
      <c r="T934" s="69" t="str">
        <f t="shared" si="361"/>
        <v/>
      </c>
      <c r="U934" s="70" t="str">
        <f t="shared" si="362"/>
        <v/>
      </c>
      <c r="V934" s="72" t="str">
        <f t="shared" si="363"/>
        <v/>
      </c>
      <c r="W934" s="2" t="str">
        <f t="shared" si="374"/>
        <v/>
      </c>
      <c r="X934" s="2" t="str">
        <f t="shared" si="369"/>
        <v/>
      </c>
      <c r="Y934" s="35" t="str">
        <f t="shared" ca="1" si="364"/>
        <v/>
      </c>
      <c r="Z934" s="36" t="str">
        <f t="shared" ca="1" si="365"/>
        <v/>
      </c>
      <c r="AA934" s="70" t="str">
        <f t="shared" si="366"/>
        <v/>
      </c>
      <c r="AB934" s="2"/>
      <c r="AC934" s="94" t="str">
        <f t="shared" si="370"/>
        <v/>
      </c>
      <c r="AD934" s="95" t="str">
        <f t="shared" si="371"/>
        <v/>
      </c>
      <c r="AE934" s="96" t="str">
        <f t="shared" si="372"/>
        <v/>
      </c>
      <c r="AF934" s="124" t="str">
        <f t="shared" si="373"/>
        <v/>
      </c>
      <c r="AG934" s="2"/>
      <c r="AH934" s="2"/>
      <c r="AI934" s="2"/>
      <c r="AJ934" s="2"/>
      <c r="AK934" s="2"/>
      <c r="AL934" s="2"/>
    </row>
    <row r="935" spans="1:38" x14ac:dyDescent="0.2">
      <c r="A935" s="45"/>
      <c r="B935" s="43" t="str">
        <f t="shared" si="352"/>
        <v/>
      </c>
      <c r="C935" s="96" t="str">
        <f t="shared" si="375"/>
        <v/>
      </c>
      <c r="D935" s="44" t="str">
        <f t="shared" si="353"/>
        <v/>
      </c>
      <c r="E935" s="52"/>
      <c r="F935" s="63" t="str">
        <f t="shared" si="354"/>
        <v/>
      </c>
      <c r="G935" s="56" t="str">
        <f t="shared" si="355"/>
        <v/>
      </c>
      <c r="H935" s="42"/>
      <c r="I935" s="2" t="str">
        <f t="shared" si="356"/>
        <v/>
      </c>
      <c r="J935" s="54" t="str">
        <f t="shared" si="367"/>
        <v/>
      </c>
      <c r="K935" s="55" t="str">
        <f t="shared" si="357"/>
        <v/>
      </c>
      <c r="L935" s="63" t="str">
        <f t="shared" si="358"/>
        <v/>
      </c>
      <c r="M935" s="96" t="str">
        <f t="shared" si="368"/>
        <v/>
      </c>
      <c r="N935" s="96" t="str">
        <f>IF(A935="","",IF(A935=Expiry,0,EXP(-q*Q935)*_xlfn.NORM.S.DIST(Y935,0)/(sigma*SQRT(Q935))*I935*Mult/100))</f>
        <v/>
      </c>
      <c r="O935" s="96" t="str">
        <f>IF(A935="","",IF(A935=Expiry,0,D935*E935*E935*EXP(-q*Q935)*_xlfn.NORM.S.DIST(Y935,0)*SQRT(Q935)/100))</f>
        <v/>
      </c>
      <c r="P935" s="69" t="str">
        <f>IF(A935="","",IF(A935=Expiry,0,AK935*I935*Mult*((-EXP(-q*Q935)*E935*_xlfn.NORM.S.DIST(Y935,0)*sigma/(2*SQRT(Q935))-r_dom*K*EXP(-r_dom*Q935)*_xlfn.NORM.S.DIST(Z935,1)+q*E935*EXP(-q*Q935)*_xlfn.NORM.S.DIST(Y935,1))/365)))</f>
        <v/>
      </c>
      <c r="Q935" s="83" t="str">
        <f t="shared" si="359"/>
        <v/>
      </c>
      <c r="R935" s="38"/>
      <c r="S935" s="68" t="str">
        <f t="shared" si="360"/>
        <v/>
      </c>
      <c r="T935" s="69" t="str">
        <f t="shared" si="361"/>
        <v/>
      </c>
      <c r="U935" s="70" t="str">
        <f t="shared" si="362"/>
        <v/>
      </c>
      <c r="V935" s="72" t="str">
        <f t="shared" si="363"/>
        <v/>
      </c>
      <c r="W935" s="2" t="str">
        <f t="shared" si="374"/>
        <v/>
      </c>
      <c r="X935" s="2" t="str">
        <f t="shared" si="369"/>
        <v/>
      </c>
      <c r="Y935" s="35" t="str">
        <f t="shared" ca="1" si="364"/>
        <v/>
      </c>
      <c r="Z935" s="36" t="str">
        <f t="shared" ca="1" si="365"/>
        <v/>
      </c>
      <c r="AA935" s="70" t="str">
        <f t="shared" si="366"/>
        <v/>
      </c>
      <c r="AB935" s="2"/>
      <c r="AC935" s="94" t="str">
        <f t="shared" si="370"/>
        <v/>
      </c>
      <c r="AD935" s="95" t="str">
        <f t="shared" si="371"/>
        <v/>
      </c>
      <c r="AE935" s="96" t="str">
        <f t="shared" si="372"/>
        <v/>
      </c>
      <c r="AF935" s="124" t="str">
        <f t="shared" si="373"/>
        <v/>
      </c>
      <c r="AG935" s="2"/>
      <c r="AH935" s="2"/>
      <c r="AI935" s="2"/>
      <c r="AJ935" s="2"/>
      <c r="AK935" s="2"/>
      <c r="AL935" s="2"/>
    </row>
    <row r="936" spans="1:38" x14ac:dyDescent="0.2">
      <c r="A936" s="45"/>
      <c r="B936" s="43" t="str">
        <f t="shared" si="352"/>
        <v/>
      </c>
      <c r="C936" s="96" t="str">
        <f t="shared" si="375"/>
        <v/>
      </c>
      <c r="D936" s="44" t="str">
        <f t="shared" si="353"/>
        <v/>
      </c>
      <c r="E936" s="52"/>
      <c r="F936" s="63" t="str">
        <f t="shared" si="354"/>
        <v/>
      </c>
      <c r="G936" s="56" t="str">
        <f t="shared" si="355"/>
        <v/>
      </c>
      <c r="H936" s="42"/>
      <c r="I936" s="2" t="str">
        <f t="shared" si="356"/>
        <v/>
      </c>
      <c r="J936" s="54" t="str">
        <f t="shared" si="367"/>
        <v/>
      </c>
      <c r="K936" s="55" t="str">
        <f t="shared" si="357"/>
        <v/>
      </c>
      <c r="L936" s="63" t="str">
        <f t="shared" si="358"/>
        <v/>
      </c>
      <c r="M936" s="96" t="str">
        <f t="shared" si="368"/>
        <v/>
      </c>
      <c r="N936" s="96" t="str">
        <f>IF(A936="","",IF(A936=Expiry,0,EXP(-q*Q936)*_xlfn.NORM.S.DIST(Y936,0)/(sigma*SQRT(Q936))*I936*Mult/100))</f>
        <v/>
      </c>
      <c r="O936" s="96" t="str">
        <f>IF(A936="","",IF(A936=Expiry,0,D936*E936*E936*EXP(-q*Q936)*_xlfn.NORM.S.DIST(Y936,0)*SQRT(Q936)/100))</f>
        <v/>
      </c>
      <c r="P936" s="69" t="str">
        <f>IF(A936="","",IF(A936=Expiry,0,AK936*I936*Mult*((-EXP(-q*Q936)*E936*_xlfn.NORM.S.DIST(Y936,0)*sigma/(2*SQRT(Q936))-r_dom*K*EXP(-r_dom*Q936)*_xlfn.NORM.S.DIST(Z936,1)+q*E936*EXP(-q*Q936)*_xlfn.NORM.S.DIST(Y936,1))/365)))</f>
        <v/>
      </c>
      <c r="Q936" s="83" t="str">
        <f t="shared" si="359"/>
        <v/>
      </c>
      <c r="R936" s="38"/>
      <c r="S936" s="68" t="str">
        <f t="shared" si="360"/>
        <v/>
      </c>
      <c r="T936" s="69" t="str">
        <f t="shared" si="361"/>
        <v/>
      </c>
      <c r="U936" s="70" t="str">
        <f t="shared" si="362"/>
        <v/>
      </c>
      <c r="V936" s="72" t="str">
        <f t="shared" si="363"/>
        <v/>
      </c>
      <c r="W936" s="2" t="str">
        <f t="shared" si="374"/>
        <v/>
      </c>
      <c r="X936" s="2" t="str">
        <f t="shared" si="369"/>
        <v/>
      </c>
      <c r="Y936" s="35" t="str">
        <f t="shared" ca="1" si="364"/>
        <v/>
      </c>
      <c r="Z936" s="36" t="str">
        <f t="shared" ca="1" si="365"/>
        <v/>
      </c>
      <c r="AA936" s="70" t="str">
        <f t="shared" si="366"/>
        <v/>
      </c>
      <c r="AB936" s="2"/>
      <c r="AC936" s="94" t="str">
        <f t="shared" si="370"/>
        <v/>
      </c>
      <c r="AD936" s="95" t="str">
        <f t="shared" si="371"/>
        <v/>
      </c>
      <c r="AE936" s="96" t="str">
        <f t="shared" si="372"/>
        <v/>
      </c>
      <c r="AF936" s="124" t="str">
        <f t="shared" si="373"/>
        <v/>
      </c>
      <c r="AG936" s="2"/>
      <c r="AH936" s="2"/>
      <c r="AI936" s="2"/>
      <c r="AJ936" s="2"/>
      <c r="AK936" s="2"/>
      <c r="AL936" s="2"/>
    </row>
    <row r="937" spans="1:38" x14ac:dyDescent="0.2">
      <c r="A937" s="45"/>
      <c r="B937" s="43" t="str">
        <f t="shared" si="352"/>
        <v/>
      </c>
      <c r="C937" s="96" t="str">
        <f t="shared" si="375"/>
        <v/>
      </c>
      <c r="D937" s="44" t="str">
        <f t="shared" si="353"/>
        <v/>
      </c>
      <c r="E937" s="52"/>
      <c r="F937" s="63" t="str">
        <f t="shared" si="354"/>
        <v/>
      </c>
      <c r="G937" s="56" t="str">
        <f t="shared" si="355"/>
        <v/>
      </c>
      <c r="H937" s="42"/>
      <c r="I937" s="2" t="str">
        <f t="shared" si="356"/>
        <v/>
      </c>
      <c r="J937" s="54" t="str">
        <f t="shared" si="367"/>
        <v/>
      </c>
      <c r="K937" s="55" t="str">
        <f t="shared" si="357"/>
        <v/>
      </c>
      <c r="L937" s="63" t="str">
        <f t="shared" si="358"/>
        <v/>
      </c>
      <c r="M937" s="96" t="str">
        <f t="shared" si="368"/>
        <v/>
      </c>
      <c r="N937" s="96" t="str">
        <f>IF(A937="","",IF(A937=Expiry,0,EXP(-q*Q937)*_xlfn.NORM.S.DIST(Y937,0)/(sigma*SQRT(Q937))*I937*Mult/100))</f>
        <v/>
      </c>
      <c r="O937" s="96" t="str">
        <f>IF(A937="","",IF(A937=Expiry,0,D937*E937*E937*EXP(-q*Q937)*_xlfn.NORM.S.DIST(Y937,0)*SQRT(Q937)/100))</f>
        <v/>
      </c>
      <c r="P937" s="69" t="str">
        <f>IF(A937="","",IF(A937=Expiry,0,AK937*I937*Mult*((-EXP(-q*Q937)*E937*_xlfn.NORM.S.DIST(Y937,0)*sigma/(2*SQRT(Q937))-r_dom*K*EXP(-r_dom*Q937)*_xlfn.NORM.S.DIST(Z937,1)+q*E937*EXP(-q*Q937)*_xlfn.NORM.S.DIST(Y937,1))/365)))</f>
        <v/>
      </c>
      <c r="Q937" s="83" t="str">
        <f t="shared" si="359"/>
        <v/>
      </c>
      <c r="R937" s="38"/>
      <c r="S937" s="68" t="str">
        <f t="shared" si="360"/>
        <v/>
      </c>
      <c r="T937" s="69" t="str">
        <f t="shared" si="361"/>
        <v/>
      </c>
      <c r="U937" s="70" t="str">
        <f t="shared" si="362"/>
        <v/>
      </c>
      <c r="V937" s="72" t="str">
        <f t="shared" si="363"/>
        <v/>
      </c>
      <c r="W937" s="2" t="str">
        <f t="shared" si="374"/>
        <v/>
      </c>
      <c r="X937" s="2" t="str">
        <f t="shared" si="369"/>
        <v/>
      </c>
      <c r="Y937" s="35" t="str">
        <f t="shared" ca="1" si="364"/>
        <v/>
      </c>
      <c r="Z937" s="36" t="str">
        <f t="shared" ca="1" si="365"/>
        <v/>
      </c>
      <c r="AA937" s="70" t="str">
        <f t="shared" si="366"/>
        <v/>
      </c>
      <c r="AB937" s="2"/>
      <c r="AC937" s="94" t="str">
        <f t="shared" si="370"/>
        <v/>
      </c>
      <c r="AD937" s="95" t="str">
        <f t="shared" si="371"/>
        <v/>
      </c>
      <c r="AE937" s="96" t="str">
        <f t="shared" si="372"/>
        <v/>
      </c>
      <c r="AF937" s="124" t="str">
        <f t="shared" si="373"/>
        <v/>
      </c>
      <c r="AG937" s="2"/>
      <c r="AH937" s="2"/>
      <c r="AI937" s="2"/>
      <c r="AJ937" s="2"/>
      <c r="AK937" s="2"/>
      <c r="AL937" s="2"/>
    </row>
    <row r="938" spans="1:38" x14ac:dyDescent="0.2">
      <c r="A938" s="45"/>
      <c r="B938" s="43" t="str">
        <f t="shared" si="352"/>
        <v/>
      </c>
      <c r="C938" s="96" t="str">
        <f t="shared" si="375"/>
        <v/>
      </c>
      <c r="D938" s="44" t="str">
        <f t="shared" si="353"/>
        <v/>
      </c>
      <c r="E938" s="52"/>
      <c r="F938" s="63" t="str">
        <f t="shared" si="354"/>
        <v/>
      </c>
      <c r="G938" s="56" t="str">
        <f t="shared" si="355"/>
        <v/>
      </c>
      <c r="H938" s="42"/>
      <c r="I938" s="2" t="str">
        <f t="shared" si="356"/>
        <v/>
      </c>
      <c r="J938" s="54" t="str">
        <f t="shared" si="367"/>
        <v/>
      </c>
      <c r="K938" s="55" t="str">
        <f t="shared" si="357"/>
        <v/>
      </c>
      <c r="L938" s="63" t="str">
        <f t="shared" si="358"/>
        <v/>
      </c>
      <c r="M938" s="96" t="str">
        <f t="shared" si="368"/>
        <v/>
      </c>
      <c r="N938" s="96" t="str">
        <f>IF(A938="","",IF(A938=Expiry,0,EXP(-q*Q938)*_xlfn.NORM.S.DIST(Y938,0)/(sigma*SQRT(Q938))*I938*Mult/100))</f>
        <v/>
      </c>
      <c r="O938" s="96" t="str">
        <f>IF(A938="","",IF(A938=Expiry,0,D938*E938*E938*EXP(-q*Q938)*_xlfn.NORM.S.DIST(Y938,0)*SQRT(Q938)/100))</f>
        <v/>
      </c>
      <c r="P938" s="69" t="str">
        <f>IF(A938="","",IF(A938=Expiry,0,AK938*I938*Mult*((-EXP(-q*Q938)*E938*_xlfn.NORM.S.DIST(Y938,0)*sigma/(2*SQRT(Q938))-r_dom*K*EXP(-r_dom*Q938)*_xlfn.NORM.S.DIST(Z938,1)+q*E938*EXP(-q*Q938)*_xlfn.NORM.S.DIST(Y938,1))/365)))</f>
        <v/>
      </c>
      <c r="Q938" s="83" t="str">
        <f t="shared" si="359"/>
        <v/>
      </c>
      <c r="R938" s="38"/>
      <c r="S938" s="68" t="str">
        <f t="shared" si="360"/>
        <v/>
      </c>
      <c r="T938" s="69" t="str">
        <f t="shared" si="361"/>
        <v/>
      </c>
      <c r="U938" s="70" t="str">
        <f t="shared" si="362"/>
        <v/>
      </c>
      <c r="V938" s="72" t="str">
        <f t="shared" si="363"/>
        <v/>
      </c>
      <c r="W938" s="2" t="str">
        <f t="shared" si="374"/>
        <v/>
      </c>
      <c r="X938" s="2" t="str">
        <f t="shared" si="369"/>
        <v/>
      </c>
      <c r="Y938" s="35" t="str">
        <f t="shared" ca="1" si="364"/>
        <v/>
      </c>
      <c r="Z938" s="36" t="str">
        <f t="shared" ca="1" si="365"/>
        <v/>
      </c>
      <c r="AA938" s="70" t="str">
        <f t="shared" si="366"/>
        <v/>
      </c>
      <c r="AB938" s="2"/>
      <c r="AC938" s="94" t="str">
        <f t="shared" si="370"/>
        <v/>
      </c>
      <c r="AD938" s="95" t="str">
        <f t="shared" si="371"/>
        <v/>
      </c>
      <c r="AE938" s="96" t="str">
        <f t="shared" si="372"/>
        <v/>
      </c>
      <c r="AF938" s="124" t="str">
        <f t="shared" si="373"/>
        <v/>
      </c>
      <c r="AG938" s="2"/>
      <c r="AH938" s="2"/>
      <c r="AI938" s="2"/>
      <c r="AJ938" s="2"/>
      <c r="AK938" s="2"/>
      <c r="AL938" s="2"/>
    </row>
    <row r="939" spans="1:38" x14ac:dyDescent="0.2">
      <c r="A939" s="45"/>
      <c r="B939" s="43" t="str">
        <f t="shared" si="352"/>
        <v/>
      </c>
      <c r="C939" s="96" t="str">
        <f t="shared" si="375"/>
        <v/>
      </c>
      <c r="D939" s="44" t="str">
        <f t="shared" si="353"/>
        <v/>
      </c>
      <c r="E939" s="52"/>
      <c r="F939" s="63" t="str">
        <f t="shared" si="354"/>
        <v/>
      </c>
      <c r="G939" s="56" t="str">
        <f t="shared" si="355"/>
        <v/>
      </c>
      <c r="H939" s="42"/>
      <c r="I939" s="2" t="str">
        <f t="shared" si="356"/>
        <v/>
      </c>
      <c r="J939" s="54" t="str">
        <f t="shared" si="367"/>
        <v/>
      </c>
      <c r="K939" s="55" t="str">
        <f t="shared" si="357"/>
        <v/>
      </c>
      <c r="L939" s="63" t="str">
        <f t="shared" si="358"/>
        <v/>
      </c>
      <c r="M939" s="96" t="str">
        <f t="shared" si="368"/>
        <v/>
      </c>
      <c r="N939" s="96" t="str">
        <f>IF(A939="","",IF(A939=Expiry,0,EXP(-q*Q939)*_xlfn.NORM.S.DIST(Y939,0)/(sigma*SQRT(Q939))*I939*Mult/100))</f>
        <v/>
      </c>
      <c r="O939" s="96" t="str">
        <f>IF(A939="","",IF(A939=Expiry,0,D939*E939*E939*EXP(-q*Q939)*_xlfn.NORM.S.DIST(Y939,0)*SQRT(Q939)/100))</f>
        <v/>
      </c>
      <c r="P939" s="69" t="str">
        <f>IF(A939="","",IF(A939=Expiry,0,AK939*I939*Mult*((-EXP(-q*Q939)*E939*_xlfn.NORM.S.DIST(Y939,0)*sigma/(2*SQRT(Q939))-r_dom*K*EXP(-r_dom*Q939)*_xlfn.NORM.S.DIST(Z939,1)+q*E939*EXP(-q*Q939)*_xlfn.NORM.S.DIST(Y939,1))/365)))</f>
        <v/>
      </c>
      <c r="Q939" s="83" t="str">
        <f t="shared" si="359"/>
        <v/>
      </c>
      <c r="R939" s="38"/>
      <c r="S939" s="68" t="str">
        <f t="shared" si="360"/>
        <v/>
      </c>
      <c r="T939" s="69" t="str">
        <f t="shared" si="361"/>
        <v/>
      </c>
      <c r="U939" s="70" t="str">
        <f t="shared" si="362"/>
        <v/>
      </c>
      <c r="V939" s="72" t="str">
        <f t="shared" si="363"/>
        <v/>
      </c>
      <c r="W939" s="2" t="str">
        <f t="shared" si="374"/>
        <v/>
      </c>
      <c r="X939" s="2" t="str">
        <f t="shared" si="369"/>
        <v/>
      </c>
      <c r="Y939" s="35" t="str">
        <f t="shared" ca="1" si="364"/>
        <v/>
      </c>
      <c r="Z939" s="36" t="str">
        <f t="shared" ca="1" si="365"/>
        <v/>
      </c>
      <c r="AA939" s="70" t="str">
        <f t="shared" si="366"/>
        <v/>
      </c>
      <c r="AB939" s="2"/>
      <c r="AC939" s="94" t="str">
        <f t="shared" si="370"/>
        <v/>
      </c>
      <c r="AD939" s="95" t="str">
        <f t="shared" si="371"/>
        <v/>
      </c>
      <c r="AE939" s="96" t="str">
        <f t="shared" si="372"/>
        <v/>
      </c>
      <c r="AF939" s="124" t="str">
        <f t="shared" si="373"/>
        <v/>
      </c>
      <c r="AG939" s="2"/>
      <c r="AH939" s="2"/>
      <c r="AI939" s="2"/>
      <c r="AJ939" s="2"/>
      <c r="AK939" s="2"/>
      <c r="AL939" s="2"/>
    </row>
    <row r="940" spans="1:38" x14ac:dyDescent="0.2">
      <c r="A940" s="45"/>
      <c r="B940" s="43" t="str">
        <f t="shared" si="352"/>
        <v/>
      </c>
      <c r="C940" s="96" t="str">
        <f t="shared" si="375"/>
        <v/>
      </c>
      <c r="D940" s="44" t="str">
        <f t="shared" si="353"/>
        <v/>
      </c>
      <c r="E940" s="52"/>
      <c r="F940" s="63" t="str">
        <f t="shared" si="354"/>
        <v/>
      </c>
      <c r="G940" s="56" t="str">
        <f t="shared" si="355"/>
        <v/>
      </c>
      <c r="H940" s="42"/>
      <c r="I940" s="2" t="str">
        <f t="shared" si="356"/>
        <v/>
      </c>
      <c r="J940" s="54" t="str">
        <f t="shared" si="367"/>
        <v/>
      </c>
      <c r="K940" s="55" t="str">
        <f t="shared" si="357"/>
        <v/>
      </c>
      <c r="L940" s="63" t="str">
        <f t="shared" si="358"/>
        <v/>
      </c>
      <c r="M940" s="96" t="str">
        <f t="shared" si="368"/>
        <v/>
      </c>
      <c r="N940" s="96" t="str">
        <f>IF(A940="","",IF(A940=Expiry,0,EXP(-q*Q940)*_xlfn.NORM.S.DIST(Y940,0)/(sigma*SQRT(Q940))*I940*Mult/100))</f>
        <v/>
      </c>
      <c r="O940" s="96" t="str">
        <f>IF(A940="","",IF(A940=Expiry,0,D940*E940*E940*EXP(-q*Q940)*_xlfn.NORM.S.DIST(Y940,0)*SQRT(Q940)/100))</f>
        <v/>
      </c>
      <c r="P940" s="69" t="str">
        <f>IF(A940="","",IF(A940=Expiry,0,AK940*I940*Mult*((-EXP(-q*Q940)*E940*_xlfn.NORM.S.DIST(Y940,0)*sigma/(2*SQRT(Q940))-r_dom*K*EXP(-r_dom*Q940)*_xlfn.NORM.S.DIST(Z940,1)+q*E940*EXP(-q*Q940)*_xlfn.NORM.S.DIST(Y940,1))/365)))</f>
        <v/>
      </c>
      <c r="Q940" s="83" t="str">
        <f t="shared" si="359"/>
        <v/>
      </c>
      <c r="R940" s="38"/>
      <c r="S940" s="68" t="str">
        <f t="shared" si="360"/>
        <v/>
      </c>
      <c r="T940" s="69" t="str">
        <f t="shared" si="361"/>
        <v/>
      </c>
      <c r="U940" s="70" t="str">
        <f t="shared" si="362"/>
        <v/>
      </c>
      <c r="V940" s="72" t="str">
        <f t="shared" si="363"/>
        <v/>
      </c>
      <c r="W940" s="2" t="str">
        <f t="shared" si="374"/>
        <v/>
      </c>
      <c r="X940" s="2" t="str">
        <f t="shared" si="369"/>
        <v/>
      </c>
      <c r="Y940" s="35" t="str">
        <f t="shared" ca="1" si="364"/>
        <v/>
      </c>
      <c r="Z940" s="36" t="str">
        <f t="shared" ca="1" si="365"/>
        <v/>
      </c>
      <c r="AA940" s="70" t="str">
        <f t="shared" si="366"/>
        <v/>
      </c>
      <c r="AB940" s="2"/>
      <c r="AC940" s="94" t="str">
        <f t="shared" si="370"/>
        <v/>
      </c>
      <c r="AD940" s="95" t="str">
        <f t="shared" si="371"/>
        <v/>
      </c>
      <c r="AE940" s="96" t="str">
        <f t="shared" si="372"/>
        <v/>
      </c>
      <c r="AF940" s="124" t="str">
        <f t="shared" si="373"/>
        <v/>
      </c>
      <c r="AG940" s="2"/>
      <c r="AH940" s="2"/>
      <c r="AI940" s="2"/>
      <c r="AJ940" s="2"/>
      <c r="AK940" s="2"/>
      <c r="AL940" s="2"/>
    </row>
    <row r="941" spans="1:38" x14ac:dyDescent="0.2">
      <c r="A941" s="45"/>
      <c r="B941" s="43" t="str">
        <f t="shared" si="352"/>
        <v/>
      </c>
      <c r="C941" s="96" t="str">
        <f t="shared" si="375"/>
        <v/>
      </c>
      <c r="D941" s="44" t="str">
        <f t="shared" si="353"/>
        <v/>
      </c>
      <c r="E941" s="52"/>
      <c r="F941" s="63" t="str">
        <f t="shared" si="354"/>
        <v/>
      </c>
      <c r="G941" s="56" t="str">
        <f t="shared" si="355"/>
        <v/>
      </c>
      <c r="H941" s="42"/>
      <c r="I941" s="2" t="str">
        <f t="shared" si="356"/>
        <v/>
      </c>
      <c r="J941" s="54" t="str">
        <f t="shared" si="367"/>
        <v/>
      </c>
      <c r="K941" s="55" t="str">
        <f t="shared" si="357"/>
        <v/>
      </c>
      <c r="L941" s="63" t="str">
        <f t="shared" si="358"/>
        <v/>
      </c>
      <c r="M941" s="96" t="str">
        <f t="shared" si="368"/>
        <v/>
      </c>
      <c r="N941" s="96" t="str">
        <f>IF(A941="","",IF(A941=Expiry,0,EXP(-q*Q941)*_xlfn.NORM.S.DIST(Y941,0)/(sigma*SQRT(Q941))*I941*Mult/100))</f>
        <v/>
      </c>
      <c r="O941" s="96" t="str">
        <f>IF(A941="","",IF(A941=Expiry,0,D941*E941*E941*EXP(-q*Q941)*_xlfn.NORM.S.DIST(Y941,0)*SQRT(Q941)/100))</f>
        <v/>
      </c>
      <c r="P941" s="69" t="str">
        <f>IF(A941="","",IF(A941=Expiry,0,AK941*I941*Mult*((-EXP(-q*Q941)*E941*_xlfn.NORM.S.DIST(Y941,0)*sigma/(2*SQRT(Q941))-r_dom*K*EXP(-r_dom*Q941)*_xlfn.NORM.S.DIST(Z941,1)+q*E941*EXP(-q*Q941)*_xlfn.NORM.S.DIST(Y941,1))/365)))</f>
        <v/>
      </c>
      <c r="Q941" s="83" t="str">
        <f t="shared" si="359"/>
        <v/>
      </c>
      <c r="R941" s="38"/>
      <c r="S941" s="68" t="str">
        <f t="shared" si="360"/>
        <v/>
      </c>
      <c r="T941" s="69" t="str">
        <f t="shared" si="361"/>
        <v/>
      </c>
      <c r="U941" s="70" t="str">
        <f t="shared" si="362"/>
        <v/>
      </c>
      <c r="V941" s="72" t="str">
        <f t="shared" si="363"/>
        <v/>
      </c>
      <c r="W941" s="2" t="str">
        <f t="shared" si="374"/>
        <v/>
      </c>
      <c r="X941" s="2" t="str">
        <f t="shared" si="369"/>
        <v/>
      </c>
      <c r="Y941" s="35" t="str">
        <f t="shared" ca="1" si="364"/>
        <v/>
      </c>
      <c r="Z941" s="36" t="str">
        <f t="shared" ca="1" si="365"/>
        <v/>
      </c>
      <c r="AA941" s="70" t="str">
        <f t="shared" si="366"/>
        <v/>
      </c>
      <c r="AB941" s="2"/>
      <c r="AC941" s="94" t="str">
        <f t="shared" si="370"/>
        <v/>
      </c>
      <c r="AD941" s="95" t="str">
        <f t="shared" si="371"/>
        <v/>
      </c>
      <c r="AE941" s="96" t="str">
        <f t="shared" si="372"/>
        <v/>
      </c>
      <c r="AF941" s="124" t="str">
        <f t="shared" si="373"/>
        <v/>
      </c>
      <c r="AG941" s="2"/>
      <c r="AH941" s="2"/>
      <c r="AI941" s="2"/>
      <c r="AJ941" s="2"/>
      <c r="AK941" s="2"/>
      <c r="AL941" s="2"/>
    </row>
    <row r="942" spans="1:38" x14ac:dyDescent="0.2">
      <c r="A942" s="45"/>
      <c r="B942" s="43" t="str">
        <f t="shared" si="352"/>
        <v/>
      </c>
      <c r="C942" s="96" t="str">
        <f t="shared" si="375"/>
        <v/>
      </c>
      <c r="D942" s="44" t="str">
        <f t="shared" si="353"/>
        <v/>
      </c>
      <c r="E942" s="52"/>
      <c r="F942" s="63" t="str">
        <f t="shared" si="354"/>
        <v/>
      </c>
      <c r="G942" s="56" t="str">
        <f t="shared" si="355"/>
        <v/>
      </c>
      <c r="H942" s="42"/>
      <c r="I942" s="2" t="str">
        <f t="shared" si="356"/>
        <v/>
      </c>
      <c r="J942" s="54" t="str">
        <f t="shared" si="367"/>
        <v/>
      </c>
      <c r="K942" s="55" t="str">
        <f t="shared" si="357"/>
        <v/>
      </c>
      <c r="L942" s="63" t="str">
        <f t="shared" si="358"/>
        <v/>
      </c>
      <c r="M942" s="96" t="str">
        <f t="shared" si="368"/>
        <v/>
      </c>
      <c r="N942" s="96" t="str">
        <f>IF(A942="","",IF(A942=Expiry,0,EXP(-q*Q942)*_xlfn.NORM.S.DIST(Y942,0)/(sigma*SQRT(Q942))*I942*Mult/100))</f>
        <v/>
      </c>
      <c r="O942" s="96" t="str">
        <f>IF(A942="","",IF(A942=Expiry,0,D942*E942*E942*EXP(-q*Q942)*_xlfn.NORM.S.DIST(Y942,0)*SQRT(Q942)/100))</f>
        <v/>
      </c>
      <c r="P942" s="69" t="str">
        <f>IF(A942="","",IF(A942=Expiry,0,AK942*I942*Mult*((-EXP(-q*Q942)*E942*_xlfn.NORM.S.DIST(Y942,0)*sigma/(2*SQRT(Q942))-r_dom*K*EXP(-r_dom*Q942)*_xlfn.NORM.S.DIST(Z942,1)+q*E942*EXP(-q*Q942)*_xlfn.NORM.S.DIST(Y942,1))/365)))</f>
        <v/>
      </c>
      <c r="Q942" s="83" t="str">
        <f t="shared" si="359"/>
        <v/>
      </c>
      <c r="R942" s="38"/>
      <c r="S942" s="68" t="str">
        <f t="shared" si="360"/>
        <v/>
      </c>
      <c r="T942" s="69" t="str">
        <f t="shared" si="361"/>
        <v/>
      </c>
      <c r="U942" s="70" t="str">
        <f t="shared" si="362"/>
        <v/>
      </c>
      <c r="V942" s="72" t="str">
        <f t="shared" si="363"/>
        <v/>
      </c>
      <c r="W942" s="2" t="str">
        <f t="shared" si="374"/>
        <v/>
      </c>
      <c r="X942" s="2" t="str">
        <f t="shared" si="369"/>
        <v/>
      </c>
      <c r="Y942" s="35" t="str">
        <f t="shared" ca="1" si="364"/>
        <v/>
      </c>
      <c r="Z942" s="36" t="str">
        <f t="shared" ca="1" si="365"/>
        <v/>
      </c>
      <c r="AA942" s="70" t="str">
        <f t="shared" si="366"/>
        <v/>
      </c>
      <c r="AB942" s="2"/>
      <c r="AC942" s="94" t="str">
        <f t="shared" si="370"/>
        <v/>
      </c>
      <c r="AD942" s="95" t="str">
        <f t="shared" si="371"/>
        <v/>
      </c>
      <c r="AE942" s="96" t="str">
        <f t="shared" si="372"/>
        <v/>
      </c>
      <c r="AF942" s="124" t="str">
        <f t="shared" si="373"/>
        <v/>
      </c>
      <c r="AG942" s="2"/>
      <c r="AH942" s="2"/>
      <c r="AI942" s="2"/>
      <c r="AJ942" s="2"/>
      <c r="AK942" s="2"/>
      <c r="AL942" s="2"/>
    </row>
    <row r="943" spans="1:38" x14ac:dyDescent="0.2">
      <c r="A943" s="45"/>
      <c r="B943" s="43" t="str">
        <f t="shared" si="352"/>
        <v/>
      </c>
      <c r="C943" s="96" t="str">
        <f t="shared" si="375"/>
        <v/>
      </c>
      <c r="D943" s="44" t="str">
        <f t="shared" si="353"/>
        <v/>
      </c>
      <c r="E943" s="52"/>
      <c r="F943" s="63" t="str">
        <f t="shared" si="354"/>
        <v/>
      </c>
      <c r="G943" s="56" t="str">
        <f t="shared" si="355"/>
        <v/>
      </c>
      <c r="H943" s="42"/>
      <c r="I943" s="2" t="str">
        <f t="shared" si="356"/>
        <v/>
      </c>
      <c r="J943" s="54" t="str">
        <f t="shared" si="367"/>
        <v/>
      </c>
      <c r="K943" s="55" t="str">
        <f t="shared" si="357"/>
        <v/>
      </c>
      <c r="L943" s="63" t="str">
        <f t="shared" si="358"/>
        <v/>
      </c>
      <c r="M943" s="96" t="str">
        <f t="shared" si="368"/>
        <v/>
      </c>
      <c r="N943" s="96" t="str">
        <f>IF(A943="","",IF(A943=Expiry,0,EXP(-q*Q943)*_xlfn.NORM.S.DIST(Y943,0)/(sigma*SQRT(Q943))*I943*Mult/100))</f>
        <v/>
      </c>
      <c r="O943" s="96" t="str">
        <f>IF(A943="","",IF(A943=Expiry,0,D943*E943*E943*EXP(-q*Q943)*_xlfn.NORM.S.DIST(Y943,0)*SQRT(Q943)/100))</f>
        <v/>
      </c>
      <c r="P943" s="69" t="str">
        <f>IF(A943="","",IF(A943=Expiry,0,AK943*I943*Mult*((-EXP(-q*Q943)*E943*_xlfn.NORM.S.DIST(Y943,0)*sigma/(2*SQRT(Q943))-r_dom*K*EXP(-r_dom*Q943)*_xlfn.NORM.S.DIST(Z943,1)+q*E943*EXP(-q*Q943)*_xlfn.NORM.S.DIST(Y943,1))/365)))</f>
        <v/>
      </c>
      <c r="Q943" s="83" t="str">
        <f t="shared" si="359"/>
        <v/>
      </c>
      <c r="R943" s="38"/>
      <c r="S943" s="68" t="str">
        <f t="shared" si="360"/>
        <v/>
      </c>
      <c r="T943" s="69" t="str">
        <f t="shared" si="361"/>
        <v/>
      </c>
      <c r="U943" s="70" t="str">
        <f t="shared" si="362"/>
        <v/>
      </c>
      <c r="V943" s="72" t="str">
        <f t="shared" si="363"/>
        <v/>
      </c>
      <c r="W943" s="2" t="str">
        <f t="shared" si="374"/>
        <v/>
      </c>
      <c r="X943" s="2" t="str">
        <f t="shared" si="369"/>
        <v/>
      </c>
      <c r="Y943" s="35" t="str">
        <f t="shared" ca="1" si="364"/>
        <v/>
      </c>
      <c r="Z943" s="36" t="str">
        <f t="shared" ca="1" si="365"/>
        <v/>
      </c>
      <c r="AA943" s="70" t="str">
        <f t="shared" si="366"/>
        <v/>
      </c>
      <c r="AB943" s="2"/>
      <c r="AC943" s="94" t="str">
        <f t="shared" si="370"/>
        <v/>
      </c>
      <c r="AD943" s="95" t="str">
        <f t="shared" si="371"/>
        <v/>
      </c>
      <c r="AE943" s="96" t="str">
        <f t="shared" si="372"/>
        <v/>
      </c>
      <c r="AF943" s="124" t="str">
        <f t="shared" si="373"/>
        <v/>
      </c>
      <c r="AG943" s="2"/>
      <c r="AH943" s="2"/>
      <c r="AI943" s="2"/>
      <c r="AJ943" s="2"/>
      <c r="AK943" s="2"/>
      <c r="AL943" s="2"/>
    </row>
    <row r="944" spans="1:38" x14ac:dyDescent="0.2">
      <c r="A944" s="45"/>
      <c r="B944" s="43" t="str">
        <f t="shared" si="352"/>
        <v/>
      </c>
      <c r="C944" s="96" t="str">
        <f t="shared" si="375"/>
        <v/>
      </c>
      <c r="D944" s="44" t="str">
        <f t="shared" si="353"/>
        <v/>
      </c>
      <c r="E944" s="52"/>
      <c r="F944" s="63" t="str">
        <f t="shared" si="354"/>
        <v/>
      </c>
      <c r="G944" s="56" t="str">
        <f t="shared" si="355"/>
        <v/>
      </c>
      <c r="H944" s="42"/>
      <c r="I944" s="2" t="str">
        <f t="shared" si="356"/>
        <v/>
      </c>
      <c r="J944" s="54" t="str">
        <f t="shared" si="367"/>
        <v/>
      </c>
      <c r="K944" s="55" t="str">
        <f t="shared" si="357"/>
        <v/>
      </c>
      <c r="L944" s="63" t="str">
        <f t="shared" si="358"/>
        <v/>
      </c>
      <c r="M944" s="96" t="str">
        <f t="shared" si="368"/>
        <v/>
      </c>
      <c r="N944" s="96" t="str">
        <f>IF(A944="","",IF(A944=Expiry,0,EXP(-q*Q944)*_xlfn.NORM.S.DIST(Y944,0)/(sigma*SQRT(Q944))*I944*Mult/100))</f>
        <v/>
      </c>
      <c r="O944" s="96" t="str">
        <f>IF(A944="","",IF(A944=Expiry,0,D944*E944*E944*EXP(-q*Q944)*_xlfn.NORM.S.DIST(Y944,0)*SQRT(Q944)/100))</f>
        <v/>
      </c>
      <c r="P944" s="69" t="str">
        <f>IF(A944="","",IF(A944=Expiry,0,AK944*I944*Mult*((-EXP(-q*Q944)*E944*_xlfn.NORM.S.DIST(Y944,0)*sigma/(2*SQRT(Q944))-r_dom*K*EXP(-r_dom*Q944)*_xlfn.NORM.S.DIST(Z944,1)+q*E944*EXP(-q*Q944)*_xlfn.NORM.S.DIST(Y944,1))/365)))</f>
        <v/>
      </c>
      <c r="Q944" s="83" t="str">
        <f t="shared" si="359"/>
        <v/>
      </c>
      <c r="R944" s="38"/>
      <c r="S944" s="68" t="str">
        <f t="shared" si="360"/>
        <v/>
      </c>
      <c r="T944" s="69" t="str">
        <f t="shared" si="361"/>
        <v/>
      </c>
      <c r="U944" s="70" t="str">
        <f t="shared" si="362"/>
        <v/>
      </c>
      <c r="V944" s="72" t="str">
        <f t="shared" si="363"/>
        <v/>
      </c>
      <c r="W944" s="2" t="str">
        <f t="shared" si="374"/>
        <v/>
      </c>
      <c r="X944" s="2" t="str">
        <f t="shared" si="369"/>
        <v/>
      </c>
      <c r="Y944" s="35" t="str">
        <f t="shared" ca="1" si="364"/>
        <v/>
      </c>
      <c r="Z944" s="36" t="str">
        <f t="shared" ca="1" si="365"/>
        <v/>
      </c>
      <c r="AA944" s="70" t="str">
        <f t="shared" si="366"/>
        <v/>
      </c>
      <c r="AB944" s="2"/>
      <c r="AC944" s="94" t="str">
        <f t="shared" si="370"/>
        <v/>
      </c>
      <c r="AD944" s="95" t="str">
        <f t="shared" si="371"/>
        <v/>
      </c>
      <c r="AE944" s="96" t="str">
        <f t="shared" si="372"/>
        <v/>
      </c>
      <c r="AF944" s="124" t="str">
        <f t="shared" si="373"/>
        <v/>
      </c>
      <c r="AG944" s="2"/>
      <c r="AH944" s="2"/>
      <c r="AI944" s="2"/>
      <c r="AJ944" s="2"/>
      <c r="AK944" s="2"/>
      <c r="AL944" s="2"/>
    </row>
    <row r="945" spans="1:38" x14ac:dyDescent="0.2">
      <c r="A945" s="45"/>
      <c r="B945" s="43" t="str">
        <f t="shared" si="352"/>
        <v/>
      </c>
      <c r="C945" s="96" t="str">
        <f t="shared" si="375"/>
        <v/>
      </c>
      <c r="D945" s="44" t="str">
        <f t="shared" si="353"/>
        <v/>
      </c>
      <c r="E945" s="52"/>
      <c r="F945" s="63" t="str">
        <f t="shared" si="354"/>
        <v/>
      </c>
      <c r="G945" s="56" t="str">
        <f t="shared" si="355"/>
        <v/>
      </c>
      <c r="H945" s="42"/>
      <c r="I945" s="2" t="str">
        <f t="shared" si="356"/>
        <v/>
      </c>
      <c r="J945" s="54" t="str">
        <f t="shared" si="367"/>
        <v/>
      </c>
      <c r="K945" s="55" t="str">
        <f t="shared" si="357"/>
        <v/>
      </c>
      <c r="L945" s="63" t="str">
        <f t="shared" si="358"/>
        <v/>
      </c>
      <c r="M945" s="96" t="str">
        <f t="shared" si="368"/>
        <v/>
      </c>
      <c r="N945" s="96" t="str">
        <f>IF(A945="","",IF(A945=Expiry,0,EXP(-q*Q945)*_xlfn.NORM.S.DIST(Y945,0)/(sigma*SQRT(Q945))*I945*Mult/100))</f>
        <v/>
      </c>
      <c r="O945" s="96" t="str">
        <f>IF(A945="","",IF(A945=Expiry,0,D945*E945*E945*EXP(-q*Q945)*_xlfn.NORM.S.DIST(Y945,0)*SQRT(Q945)/100))</f>
        <v/>
      </c>
      <c r="P945" s="69" t="str">
        <f>IF(A945="","",IF(A945=Expiry,0,AK945*I945*Mult*((-EXP(-q*Q945)*E945*_xlfn.NORM.S.DIST(Y945,0)*sigma/(2*SQRT(Q945))-r_dom*K*EXP(-r_dom*Q945)*_xlfn.NORM.S.DIST(Z945,1)+q*E945*EXP(-q*Q945)*_xlfn.NORM.S.DIST(Y945,1))/365)))</f>
        <v/>
      </c>
      <c r="Q945" s="83" t="str">
        <f t="shared" si="359"/>
        <v/>
      </c>
      <c r="R945" s="38"/>
      <c r="S945" s="68" t="str">
        <f t="shared" si="360"/>
        <v/>
      </c>
      <c r="T945" s="69" t="str">
        <f t="shared" si="361"/>
        <v/>
      </c>
      <c r="U945" s="70" t="str">
        <f t="shared" si="362"/>
        <v/>
      </c>
      <c r="V945" s="72" t="str">
        <f t="shared" si="363"/>
        <v/>
      </c>
      <c r="W945" s="2" t="str">
        <f t="shared" si="374"/>
        <v/>
      </c>
      <c r="X945" s="2" t="str">
        <f t="shared" si="369"/>
        <v/>
      </c>
      <c r="Y945" s="35" t="str">
        <f t="shared" ca="1" si="364"/>
        <v/>
      </c>
      <c r="Z945" s="36" t="str">
        <f t="shared" ca="1" si="365"/>
        <v/>
      </c>
      <c r="AA945" s="70" t="str">
        <f t="shared" si="366"/>
        <v/>
      </c>
      <c r="AB945" s="2"/>
      <c r="AC945" s="94" t="str">
        <f t="shared" si="370"/>
        <v/>
      </c>
      <c r="AD945" s="95" t="str">
        <f t="shared" si="371"/>
        <v/>
      </c>
      <c r="AE945" s="96" t="str">
        <f t="shared" si="372"/>
        <v/>
      </c>
      <c r="AF945" s="124" t="str">
        <f t="shared" si="373"/>
        <v/>
      </c>
      <c r="AG945" s="2"/>
      <c r="AH945" s="2"/>
      <c r="AI945" s="2"/>
      <c r="AJ945" s="2"/>
      <c r="AK945" s="2"/>
      <c r="AL945" s="2"/>
    </row>
    <row r="946" spans="1:38" x14ac:dyDescent="0.2">
      <c r="A946" s="45"/>
      <c r="B946" s="43" t="str">
        <f t="shared" ref="B946:B1000" si="376">IF(A946="","",-(M946+C945))</f>
        <v/>
      </c>
      <c r="C946" s="96" t="str">
        <f t="shared" si="375"/>
        <v/>
      </c>
      <c r="D946" s="44" t="str">
        <f t="shared" ref="D946:D1000" si="377">IF(A946="","",C946*E946)</f>
        <v/>
      </c>
      <c r="E946" s="52"/>
      <c r="F946" s="63" t="str">
        <f t="shared" ref="F946:F1000" si="378">IF(A946="","",C945*(E946-E945))</f>
        <v/>
      </c>
      <c r="G946" s="56" t="str">
        <f t="shared" ref="G946:G1000" si="379">IF(H946="","",J946)</f>
        <v/>
      </c>
      <c r="H946" s="42"/>
      <c r="I946" s="2" t="str">
        <f t="shared" ref="I946:I1000" si="380">IF(A946="","",I945+H946)</f>
        <v/>
      </c>
      <c r="J946" s="54" t="str">
        <f t="shared" si="367"/>
        <v/>
      </c>
      <c r="K946" s="55" t="str">
        <f t="shared" ref="K946:K1000" si="381">IF(I946="","",I946*Mult*J946)</f>
        <v/>
      </c>
      <c r="L946" s="63" t="str">
        <f t="shared" ref="L946:L1000" si="382">IF(A946="","",Mult*(IFERROR(0,H946*(G946-J946))+(I946-H946)*(J946-J945)))</f>
        <v/>
      </c>
      <c r="M946" s="96" t="str">
        <f t="shared" si="368"/>
        <v/>
      </c>
      <c r="N946" s="96" t="str">
        <f>IF(A946="","",IF(A946=Expiry,0,EXP(-q*Q946)*_xlfn.NORM.S.DIST(Y946,0)/(sigma*SQRT(Q946))*I946*Mult/100))</f>
        <v/>
      </c>
      <c r="O946" s="96" t="str">
        <f>IF(A946="","",IF(A946=Expiry,0,D946*E946*E946*EXP(-q*Q946)*_xlfn.NORM.S.DIST(Y946,0)*SQRT(Q946)/100))</f>
        <v/>
      </c>
      <c r="P946" s="69" t="str">
        <f>IF(A946="","",IF(A946=Expiry,0,AK946*I946*Mult*((-EXP(-q*Q946)*E946*_xlfn.NORM.S.DIST(Y946,0)*sigma/(2*SQRT(Q946))-r_dom*K*EXP(-r_dom*Q946)*_xlfn.NORM.S.DIST(Z946,1)+q*E946*EXP(-q*Q946)*_xlfn.NORM.S.DIST(Y946,1))/365)))</f>
        <v/>
      </c>
      <c r="Q946" s="83" t="str">
        <f t="shared" ref="Q946:Q1000" si="383">IF(A946="","",IF(OR(A946="",Expiry&lt;=A946),0,(Expiry-A946)/365))</f>
        <v/>
      </c>
      <c r="R946" s="38"/>
      <c r="S946" s="68" t="str">
        <f t="shared" ref="S946:S1000" si="384">IF(A946="","",F946+L946)</f>
        <v/>
      </c>
      <c r="T946" s="69" t="str">
        <f t="shared" ref="T946:T1000" si="385">IF(A946="","",T945+S946)</f>
        <v/>
      </c>
      <c r="U946" s="70" t="str">
        <f t="shared" ref="U946:U1000" si="386">IF(A946="","",LN(T946/T945))</f>
        <v/>
      </c>
      <c r="V946" s="72" t="str">
        <f t="shared" ref="V946:V1000" si="387">IF(A946="","",V945*EXP(U946))</f>
        <v/>
      </c>
      <c r="W946" s="2" t="str">
        <f t="shared" si="374"/>
        <v/>
      </c>
      <c r="X946" s="2" t="str">
        <f t="shared" si="369"/>
        <v/>
      </c>
      <c r="Y946" s="35" t="str">
        <f t="shared" ref="Y946:Y1000" ca="1" si="388">IF(OR(A946="",A946=Expiry),"",((LN(E946/K)+(r_dom-q+sigma^2/2)*Q946))/(sigma*SQRT(Q946)))</f>
        <v/>
      </c>
      <c r="Z946" s="36" t="str">
        <f t="shared" ref="Z946:Z1000" ca="1" si="389">IF(OR(A946="",A946=Expiry),"",Y946-sigma*SQRT(Q946))</f>
        <v/>
      </c>
      <c r="AA946" s="70" t="str">
        <f t="shared" ref="AA946:AA1000" si="390">IF(A946="","",LN(E946/E945))</f>
        <v/>
      </c>
      <c r="AB946" s="2"/>
      <c r="AC946" s="94" t="str">
        <f t="shared" si="370"/>
        <v/>
      </c>
      <c r="AD946" s="95" t="str">
        <f t="shared" si="371"/>
        <v/>
      </c>
      <c r="AE946" s="96" t="str">
        <f t="shared" si="372"/>
        <v/>
      </c>
      <c r="AF946" s="124" t="str">
        <f t="shared" si="373"/>
        <v/>
      </c>
      <c r="AG946" s="2"/>
      <c r="AH946" s="2"/>
      <c r="AI946" s="2"/>
      <c r="AJ946" s="2"/>
      <c r="AK946" s="2"/>
      <c r="AL946" s="2"/>
    </row>
    <row r="947" spans="1:38" x14ac:dyDescent="0.2">
      <c r="A947" s="45"/>
      <c r="B947" s="43" t="str">
        <f t="shared" si="376"/>
        <v/>
      </c>
      <c r="C947" s="96" t="str">
        <f t="shared" si="375"/>
        <v/>
      </c>
      <c r="D947" s="44" t="str">
        <f t="shared" si="377"/>
        <v/>
      </c>
      <c r="E947" s="52"/>
      <c r="F947" s="63" t="str">
        <f t="shared" si="378"/>
        <v/>
      </c>
      <c r="G947" s="56" t="str">
        <f t="shared" si="379"/>
        <v/>
      </c>
      <c r="H947" s="42"/>
      <c r="I947" s="2" t="str">
        <f t="shared" si="380"/>
        <v/>
      </c>
      <c r="J947" s="54" t="str">
        <f t="shared" si="367"/>
        <v/>
      </c>
      <c r="K947" s="55" t="str">
        <f t="shared" si="381"/>
        <v/>
      </c>
      <c r="L947" s="63" t="str">
        <f t="shared" si="382"/>
        <v/>
      </c>
      <c r="M947" s="96" t="str">
        <f t="shared" si="368"/>
        <v/>
      </c>
      <c r="N947" s="96" t="str">
        <f>IF(A947="","",IF(A947=Expiry,0,EXP(-q*Q947)*_xlfn.NORM.S.DIST(Y947,0)/(sigma*SQRT(Q947))*I947*Mult/100))</f>
        <v/>
      </c>
      <c r="O947" s="96" t="str">
        <f>IF(A947="","",IF(A947=Expiry,0,D947*E947*E947*EXP(-q*Q947)*_xlfn.NORM.S.DIST(Y947,0)*SQRT(Q947)/100))</f>
        <v/>
      </c>
      <c r="P947" s="69" t="str">
        <f>IF(A947="","",IF(A947=Expiry,0,AK947*I947*Mult*((-EXP(-q*Q947)*E947*_xlfn.NORM.S.DIST(Y947,0)*sigma/(2*SQRT(Q947))-r_dom*K*EXP(-r_dom*Q947)*_xlfn.NORM.S.DIST(Z947,1)+q*E947*EXP(-q*Q947)*_xlfn.NORM.S.DIST(Y947,1))/365)))</f>
        <v/>
      </c>
      <c r="Q947" s="83" t="str">
        <f t="shared" si="383"/>
        <v/>
      </c>
      <c r="R947" s="38"/>
      <c r="S947" s="68" t="str">
        <f t="shared" si="384"/>
        <v/>
      </c>
      <c r="T947" s="69" t="str">
        <f t="shared" si="385"/>
        <v/>
      </c>
      <c r="U947" s="70" t="str">
        <f t="shared" si="386"/>
        <v/>
      </c>
      <c r="V947" s="72" t="str">
        <f t="shared" si="387"/>
        <v/>
      </c>
      <c r="W947" s="2" t="str">
        <f t="shared" si="374"/>
        <v/>
      </c>
      <c r="X947" s="2" t="str">
        <f t="shared" si="369"/>
        <v/>
      </c>
      <c r="Y947" s="35" t="str">
        <f t="shared" ca="1" si="388"/>
        <v/>
      </c>
      <c r="Z947" s="36" t="str">
        <f t="shared" ca="1" si="389"/>
        <v/>
      </c>
      <c r="AA947" s="70" t="str">
        <f t="shared" si="390"/>
        <v/>
      </c>
      <c r="AB947" s="2"/>
      <c r="AC947" s="94" t="str">
        <f t="shared" si="370"/>
        <v/>
      </c>
      <c r="AD947" s="95" t="str">
        <f t="shared" si="371"/>
        <v/>
      </c>
      <c r="AE947" s="96" t="str">
        <f t="shared" si="372"/>
        <v/>
      </c>
      <c r="AF947" s="124" t="str">
        <f t="shared" si="373"/>
        <v/>
      </c>
      <c r="AG947" s="2"/>
      <c r="AH947" s="2"/>
      <c r="AI947" s="2"/>
      <c r="AJ947" s="2"/>
      <c r="AK947" s="2"/>
      <c r="AL947" s="2"/>
    </row>
    <row r="948" spans="1:38" x14ac:dyDescent="0.2">
      <c r="A948" s="45"/>
      <c r="B948" s="43" t="str">
        <f t="shared" si="376"/>
        <v/>
      </c>
      <c r="C948" s="96" t="str">
        <f t="shared" si="375"/>
        <v/>
      </c>
      <c r="D948" s="44" t="str">
        <f t="shared" si="377"/>
        <v/>
      </c>
      <c r="E948" s="52"/>
      <c r="F948" s="63" t="str">
        <f t="shared" si="378"/>
        <v/>
      </c>
      <c r="G948" s="56" t="str">
        <f t="shared" si="379"/>
        <v/>
      </c>
      <c r="H948" s="42"/>
      <c r="I948" s="2" t="str">
        <f t="shared" si="380"/>
        <v/>
      </c>
      <c r="J948" s="54" t="str">
        <f t="shared" si="367"/>
        <v/>
      </c>
      <c r="K948" s="55" t="str">
        <f t="shared" si="381"/>
        <v/>
      </c>
      <c r="L948" s="63" t="str">
        <f t="shared" si="382"/>
        <v/>
      </c>
      <c r="M948" s="96" t="str">
        <f t="shared" si="368"/>
        <v/>
      </c>
      <c r="N948" s="96" t="str">
        <f>IF(A948="","",IF(A948=Expiry,0,EXP(-q*Q948)*_xlfn.NORM.S.DIST(Y948,0)/(sigma*SQRT(Q948))*I948*Mult/100))</f>
        <v/>
      </c>
      <c r="O948" s="96" t="str">
        <f>IF(A948="","",IF(A948=Expiry,0,D948*E948*E948*EXP(-q*Q948)*_xlfn.NORM.S.DIST(Y948,0)*SQRT(Q948)/100))</f>
        <v/>
      </c>
      <c r="P948" s="69" t="str">
        <f>IF(A948="","",IF(A948=Expiry,0,AK948*I948*Mult*((-EXP(-q*Q948)*E948*_xlfn.NORM.S.DIST(Y948,0)*sigma/(2*SQRT(Q948))-r_dom*K*EXP(-r_dom*Q948)*_xlfn.NORM.S.DIST(Z948,1)+q*E948*EXP(-q*Q948)*_xlfn.NORM.S.DIST(Y948,1))/365)))</f>
        <v/>
      </c>
      <c r="Q948" s="83" t="str">
        <f t="shared" si="383"/>
        <v/>
      </c>
      <c r="R948" s="38"/>
      <c r="S948" s="68" t="str">
        <f t="shared" si="384"/>
        <v/>
      </c>
      <c r="T948" s="69" t="str">
        <f t="shared" si="385"/>
        <v/>
      </c>
      <c r="U948" s="70" t="str">
        <f t="shared" si="386"/>
        <v/>
      </c>
      <c r="V948" s="72" t="str">
        <f t="shared" si="387"/>
        <v/>
      </c>
      <c r="W948" s="2" t="str">
        <f t="shared" si="374"/>
        <v/>
      </c>
      <c r="X948" s="2" t="str">
        <f t="shared" si="369"/>
        <v/>
      </c>
      <c r="Y948" s="35" t="str">
        <f t="shared" ca="1" si="388"/>
        <v/>
      </c>
      <c r="Z948" s="36" t="str">
        <f t="shared" ca="1" si="389"/>
        <v/>
      </c>
      <c r="AA948" s="70" t="str">
        <f t="shared" si="390"/>
        <v/>
      </c>
      <c r="AB948" s="2"/>
      <c r="AC948" s="94" t="str">
        <f t="shared" si="370"/>
        <v/>
      </c>
      <c r="AD948" s="95" t="str">
        <f t="shared" si="371"/>
        <v/>
      </c>
      <c r="AE948" s="96" t="str">
        <f t="shared" si="372"/>
        <v/>
      </c>
      <c r="AF948" s="124" t="str">
        <f t="shared" si="373"/>
        <v/>
      </c>
      <c r="AG948" s="2"/>
      <c r="AH948" s="2"/>
      <c r="AI948" s="2"/>
      <c r="AJ948" s="2"/>
      <c r="AK948" s="2"/>
      <c r="AL948" s="2"/>
    </row>
    <row r="949" spans="1:38" x14ac:dyDescent="0.2">
      <c r="A949" s="45"/>
      <c r="B949" s="43" t="str">
        <f t="shared" si="376"/>
        <v/>
      </c>
      <c r="C949" s="96" t="str">
        <f t="shared" si="375"/>
        <v/>
      </c>
      <c r="D949" s="44" t="str">
        <f t="shared" si="377"/>
        <v/>
      </c>
      <c r="E949" s="52"/>
      <c r="F949" s="63" t="str">
        <f t="shared" si="378"/>
        <v/>
      </c>
      <c r="G949" s="56" t="str">
        <f t="shared" si="379"/>
        <v/>
      </c>
      <c r="H949" s="42"/>
      <c r="I949" s="2" t="str">
        <f t="shared" si="380"/>
        <v/>
      </c>
      <c r="J949" s="54" t="str">
        <f t="shared" si="367"/>
        <v/>
      </c>
      <c r="K949" s="55" t="str">
        <f t="shared" si="381"/>
        <v/>
      </c>
      <c r="L949" s="63" t="str">
        <f t="shared" si="382"/>
        <v/>
      </c>
      <c r="M949" s="96" t="str">
        <f t="shared" si="368"/>
        <v/>
      </c>
      <c r="N949" s="96" t="str">
        <f>IF(A949="","",IF(A949=Expiry,0,EXP(-q*Q949)*_xlfn.NORM.S.DIST(Y949,0)/(sigma*SQRT(Q949))*I949*Mult/100))</f>
        <v/>
      </c>
      <c r="O949" s="96" t="str">
        <f>IF(A949="","",IF(A949=Expiry,0,D949*E949*E949*EXP(-q*Q949)*_xlfn.NORM.S.DIST(Y949,0)*SQRT(Q949)/100))</f>
        <v/>
      </c>
      <c r="P949" s="69" t="str">
        <f>IF(A949="","",IF(A949=Expiry,0,AK949*I949*Mult*((-EXP(-q*Q949)*E949*_xlfn.NORM.S.DIST(Y949,0)*sigma/(2*SQRT(Q949))-r_dom*K*EXP(-r_dom*Q949)*_xlfn.NORM.S.DIST(Z949,1)+q*E949*EXP(-q*Q949)*_xlfn.NORM.S.DIST(Y949,1))/365)))</f>
        <v/>
      </c>
      <c r="Q949" s="83" t="str">
        <f t="shared" si="383"/>
        <v/>
      </c>
      <c r="R949" s="38"/>
      <c r="S949" s="68" t="str">
        <f t="shared" si="384"/>
        <v/>
      </c>
      <c r="T949" s="69" t="str">
        <f t="shared" si="385"/>
        <v/>
      </c>
      <c r="U949" s="70" t="str">
        <f t="shared" si="386"/>
        <v/>
      </c>
      <c r="V949" s="72" t="str">
        <f t="shared" si="387"/>
        <v/>
      </c>
      <c r="W949" s="2" t="str">
        <f t="shared" si="374"/>
        <v/>
      </c>
      <c r="X949" s="2" t="str">
        <f t="shared" si="369"/>
        <v/>
      </c>
      <c r="Y949" s="35" t="str">
        <f t="shared" ca="1" si="388"/>
        <v/>
      </c>
      <c r="Z949" s="36" t="str">
        <f t="shared" ca="1" si="389"/>
        <v/>
      </c>
      <c r="AA949" s="70" t="str">
        <f t="shared" si="390"/>
        <v/>
      </c>
      <c r="AB949" s="2"/>
      <c r="AC949" s="94" t="str">
        <f t="shared" si="370"/>
        <v/>
      </c>
      <c r="AD949" s="95" t="str">
        <f t="shared" si="371"/>
        <v/>
      </c>
      <c r="AE949" s="96" t="str">
        <f t="shared" si="372"/>
        <v/>
      </c>
      <c r="AF949" s="124" t="str">
        <f t="shared" si="373"/>
        <v/>
      </c>
      <c r="AG949" s="2"/>
      <c r="AH949" s="2"/>
      <c r="AI949" s="2"/>
      <c r="AJ949" s="2"/>
      <c r="AK949" s="2"/>
      <c r="AL949" s="2"/>
    </row>
    <row r="950" spans="1:38" x14ac:dyDescent="0.2">
      <c r="A950" s="45"/>
      <c r="B950" s="43" t="str">
        <f t="shared" si="376"/>
        <v/>
      </c>
      <c r="C950" s="96" t="str">
        <f t="shared" si="375"/>
        <v/>
      </c>
      <c r="D950" s="44" t="str">
        <f t="shared" si="377"/>
        <v/>
      </c>
      <c r="E950" s="52"/>
      <c r="F950" s="63" t="str">
        <f t="shared" si="378"/>
        <v/>
      </c>
      <c r="G950" s="56" t="str">
        <f t="shared" si="379"/>
        <v/>
      </c>
      <c r="H950" s="42"/>
      <c r="I950" s="2" t="str">
        <f t="shared" si="380"/>
        <v/>
      </c>
      <c r="J950" s="54" t="str">
        <f t="shared" si="367"/>
        <v/>
      </c>
      <c r="K950" s="55" t="str">
        <f t="shared" si="381"/>
        <v/>
      </c>
      <c r="L950" s="63" t="str">
        <f t="shared" si="382"/>
        <v/>
      </c>
      <c r="M950" s="96" t="str">
        <f t="shared" si="368"/>
        <v/>
      </c>
      <c r="N950" s="96" t="str">
        <f>IF(A950="","",IF(A950=Expiry,0,EXP(-q*Q950)*_xlfn.NORM.S.DIST(Y950,0)/(sigma*SQRT(Q950))*I950*Mult/100))</f>
        <v/>
      </c>
      <c r="O950" s="96" t="str">
        <f>IF(A950="","",IF(A950=Expiry,0,D950*E950*E950*EXP(-q*Q950)*_xlfn.NORM.S.DIST(Y950,0)*SQRT(Q950)/100))</f>
        <v/>
      </c>
      <c r="P950" s="69" t="str">
        <f>IF(A950="","",IF(A950=Expiry,0,AK950*I950*Mult*((-EXP(-q*Q950)*E950*_xlfn.NORM.S.DIST(Y950,0)*sigma/(2*SQRT(Q950))-r_dom*K*EXP(-r_dom*Q950)*_xlfn.NORM.S.DIST(Z950,1)+q*E950*EXP(-q*Q950)*_xlfn.NORM.S.DIST(Y950,1))/365)))</f>
        <v/>
      </c>
      <c r="Q950" s="83" t="str">
        <f t="shared" si="383"/>
        <v/>
      </c>
      <c r="R950" s="38"/>
      <c r="S950" s="68" t="str">
        <f t="shared" si="384"/>
        <v/>
      </c>
      <c r="T950" s="69" t="str">
        <f t="shared" si="385"/>
        <v/>
      </c>
      <c r="U950" s="70" t="str">
        <f t="shared" si="386"/>
        <v/>
      </c>
      <c r="V950" s="72" t="str">
        <f t="shared" si="387"/>
        <v/>
      </c>
      <c r="W950" s="2" t="str">
        <f t="shared" si="374"/>
        <v/>
      </c>
      <c r="X950" s="2" t="str">
        <f t="shared" si="369"/>
        <v/>
      </c>
      <c r="Y950" s="35" t="str">
        <f t="shared" ca="1" si="388"/>
        <v/>
      </c>
      <c r="Z950" s="36" t="str">
        <f t="shared" ca="1" si="389"/>
        <v/>
      </c>
      <c r="AA950" s="70" t="str">
        <f t="shared" si="390"/>
        <v/>
      </c>
      <c r="AB950" s="2"/>
      <c r="AC950" s="94" t="str">
        <f t="shared" si="370"/>
        <v/>
      </c>
      <c r="AD950" s="95" t="str">
        <f t="shared" si="371"/>
        <v/>
      </c>
      <c r="AE950" s="96" t="str">
        <f t="shared" si="372"/>
        <v/>
      </c>
      <c r="AF950" s="124" t="str">
        <f t="shared" si="373"/>
        <v/>
      </c>
      <c r="AG950" s="2"/>
      <c r="AH950" s="2"/>
      <c r="AI950" s="2"/>
      <c r="AJ950" s="2"/>
      <c r="AK950" s="2"/>
      <c r="AL950" s="2"/>
    </row>
    <row r="951" spans="1:38" x14ac:dyDescent="0.2">
      <c r="A951" s="45"/>
      <c r="B951" s="43" t="str">
        <f t="shared" si="376"/>
        <v/>
      </c>
      <c r="C951" s="96" t="str">
        <f t="shared" si="375"/>
        <v/>
      </c>
      <c r="D951" s="44" t="str">
        <f t="shared" si="377"/>
        <v/>
      </c>
      <c r="E951" s="52"/>
      <c r="F951" s="63" t="str">
        <f t="shared" si="378"/>
        <v/>
      </c>
      <c r="G951" s="56" t="str">
        <f t="shared" si="379"/>
        <v/>
      </c>
      <c r="H951" s="42"/>
      <c r="I951" s="2" t="str">
        <f t="shared" si="380"/>
        <v/>
      </c>
      <c r="J951" s="54" t="str">
        <f t="shared" si="367"/>
        <v/>
      </c>
      <c r="K951" s="55" t="str">
        <f t="shared" si="381"/>
        <v/>
      </c>
      <c r="L951" s="63" t="str">
        <f t="shared" si="382"/>
        <v/>
      </c>
      <c r="M951" s="96" t="str">
        <f t="shared" si="368"/>
        <v/>
      </c>
      <c r="N951" s="96" t="str">
        <f>IF(A951="","",IF(A951=Expiry,0,EXP(-q*Q951)*_xlfn.NORM.S.DIST(Y951,0)/(sigma*SQRT(Q951))*I951*Mult/100))</f>
        <v/>
      </c>
      <c r="O951" s="96" t="str">
        <f>IF(A951="","",IF(A951=Expiry,0,D951*E951*E951*EXP(-q*Q951)*_xlfn.NORM.S.DIST(Y951,0)*SQRT(Q951)/100))</f>
        <v/>
      </c>
      <c r="P951" s="69" t="str">
        <f>IF(A951="","",IF(A951=Expiry,0,AK951*I951*Mult*((-EXP(-q*Q951)*E951*_xlfn.NORM.S.DIST(Y951,0)*sigma/(2*SQRT(Q951))-r_dom*K*EXP(-r_dom*Q951)*_xlfn.NORM.S.DIST(Z951,1)+q*E951*EXP(-q*Q951)*_xlfn.NORM.S.DIST(Y951,1))/365)))</f>
        <v/>
      </c>
      <c r="Q951" s="83" t="str">
        <f t="shared" si="383"/>
        <v/>
      </c>
      <c r="R951" s="38"/>
      <c r="S951" s="68" t="str">
        <f t="shared" si="384"/>
        <v/>
      </c>
      <c r="T951" s="69" t="str">
        <f t="shared" si="385"/>
        <v/>
      </c>
      <c r="U951" s="70" t="str">
        <f t="shared" si="386"/>
        <v/>
      </c>
      <c r="V951" s="72" t="str">
        <f t="shared" si="387"/>
        <v/>
      </c>
      <c r="W951" s="2" t="str">
        <f t="shared" si="374"/>
        <v/>
      </c>
      <c r="X951" s="2" t="str">
        <f t="shared" si="369"/>
        <v/>
      </c>
      <c r="Y951" s="35" t="str">
        <f t="shared" ca="1" si="388"/>
        <v/>
      </c>
      <c r="Z951" s="36" t="str">
        <f t="shared" ca="1" si="389"/>
        <v/>
      </c>
      <c r="AA951" s="70" t="str">
        <f t="shared" si="390"/>
        <v/>
      </c>
      <c r="AB951" s="2"/>
      <c r="AC951" s="94" t="str">
        <f t="shared" si="370"/>
        <v/>
      </c>
      <c r="AD951" s="95" t="str">
        <f t="shared" si="371"/>
        <v/>
      </c>
      <c r="AE951" s="96" t="str">
        <f t="shared" si="372"/>
        <v/>
      </c>
      <c r="AF951" s="124" t="str">
        <f t="shared" si="373"/>
        <v/>
      </c>
      <c r="AG951" s="2"/>
      <c r="AH951" s="2"/>
      <c r="AI951" s="2"/>
      <c r="AJ951" s="2"/>
      <c r="AK951" s="2"/>
      <c r="AL951" s="2"/>
    </row>
    <row r="952" spans="1:38" x14ac:dyDescent="0.2">
      <c r="A952" s="45"/>
      <c r="B952" s="43" t="str">
        <f t="shared" si="376"/>
        <v/>
      </c>
      <c r="C952" s="96" t="str">
        <f t="shared" si="375"/>
        <v/>
      </c>
      <c r="D952" s="44" t="str">
        <f t="shared" si="377"/>
        <v/>
      </c>
      <c r="E952" s="52"/>
      <c r="F952" s="63" t="str">
        <f t="shared" si="378"/>
        <v/>
      </c>
      <c r="G952" s="56" t="str">
        <f t="shared" si="379"/>
        <v/>
      </c>
      <c r="H952" s="42"/>
      <c r="I952" s="2" t="str">
        <f t="shared" si="380"/>
        <v/>
      </c>
      <c r="J952" s="54" t="str">
        <f t="shared" si="367"/>
        <v/>
      </c>
      <c r="K952" s="55" t="str">
        <f t="shared" si="381"/>
        <v/>
      </c>
      <c r="L952" s="63" t="str">
        <f t="shared" si="382"/>
        <v/>
      </c>
      <c r="M952" s="96" t="str">
        <f t="shared" si="368"/>
        <v/>
      </c>
      <c r="N952" s="96" t="str">
        <f>IF(A952="","",IF(A952=Expiry,0,EXP(-q*Q952)*_xlfn.NORM.S.DIST(Y952,0)/(sigma*SQRT(Q952))*I952*Mult/100))</f>
        <v/>
      </c>
      <c r="O952" s="96" t="str">
        <f>IF(A952="","",IF(A952=Expiry,0,D952*E952*E952*EXP(-q*Q952)*_xlfn.NORM.S.DIST(Y952,0)*SQRT(Q952)/100))</f>
        <v/>
      </c>
      <c r="P952" s="69" t="str">
        <f>IF(A952="","",IF(A952=Expiry,0,AK952*I952*Mult*((-EXP(-q*Q952)*E952*_xlfn.NORM.S.DIST(Y952,0)*sigma/(2*SQRT(Q952))-r_dom*K*EXP(-r_dom*Q952)*_xlfn.NORM.S.DIST(Z952,1)+q*E952*EXP(-q*Q952)*_xlfn.NORM.S.DIST(Y952,1))/365)))</f>
        <v/>
      </c>
      <c r="Q952" s="83" t="str">
        <f t="shared" si="383"/>
        <v/>
      </c>
      <c r="R952" s="38"/>
      <c r="S952" s="68" t="str">
        <f t="shared" si="384"/>
        <v/>
      </c>
      <c r="T952" s="69" t="str">
        <f t="shared" si="385"/>
        <v/>
      </c>
      <c r="U952" s="70" t="str">
        <f t="shared" si="386"/>
        <v/>
      </c>
      <c r="V952" s="72" t="str">
        <f t="shared" si="387"/>
        <v/>
      </c>
      <c r="W952" s="2" t="str">
        <f t="shared" si="374"/>
        <v/>
      </c>
      <c r="X952" s="2" t="str">
        <f t="shared" si="369"/>
        <v/>
      </c>
      <c r="Y952" s="35" t="str">
        <f t="shared" ca="1" si="388"/>
        <v/>
      </c>
      <c r="Z952" s="36" t="str">
        <f t="shared" ca="1" si="389"/>
        <v/>
      </c>
      <c r="AA952" s="70" t="str">
        <f t="shared" si="390"/>
        <v/>
      </c>
      <c r="AB952" s="2"/>
      <c r="AC952" s="94" t="str">
        <f t="shared" si="370"/>
        <v/>
      </c>
      <c r="AD952" s="95" t="str">
        <f t="shared" si="371"/>
        <v/>
      </c>
      <c r="AE952" s="96" t="str">
        <f t="shared" si="372"/>
        <v/>
      </c>
      <c r="AF952" s="124" t="str">
        <f t="shared" si="373"/>
        <v/>
      </c>
      <c r="AG952" s="2"/>
      <c r="AH952" s="2"/>
      <c r="AI952" s="2"/>
      <c r="AJ952" s="2"/>
      <c r="AK952" s="2"/>
      <c r="AL952" s="2"/>
    </row>
    <row r="953" spans="1:38" x14ac:dyDescent="0.2">
      <c r="A953" s="45"/>
      <c r="B953" s="43" t="str">
        <f t="shared" si="376"/>
        <v/>
      </c>
      <c r="C953" s="96" t="str">
        <f t="shared" si="375"/>
        <v/>
      </c>
      <c r="D953" s="44" t="str">
        <f t="shared" si="377"/>
        <v/>
      </c>
      <c r="E953" s="52"/>
      <c r="F953" s="63" t="str">
        <f t="shared" si="378"/>
        <v/>
      </c>
      <c r="G953" s="56" t="str">
        <f t="shared" si="379"/>
        <v/>
      </c>
      <c r="H953" s="42"/>
      <c r="I953" s="2" t="str">
        <f t="shared" si="380"/>
        <v/>
      </c>
      <c r="J953" s="54" t="str">
        <f t="shared" si="367"/>
        <v/>
      </c>
      <c r="K953" s="55" t="str">
        <f t="shared" si="381"/>
        <v/>
      </c>
      <c r="L953" s="63" t="str">
        <f t="shared" si="382"/>
        <v/>
      </c>
      <c r="M953" s="96" t="str">
        <f t="shared" si="368"/>
        <v/>
      </c>
      <c r="N953" s="96" t="str">
        <f>IF(A953="","",IF(A953=Expiry,0,EXP(-q*Q953)*_xlfn.NORM.S.DIST(Y953,0)/(sigma*SQRT(Q953))*I953*Mult/100))</f>
        <v/>
      </c>
      <c r="O953" s="96" t="str">
        <f>IF(A953="","",IF(A953=Expiry,0,D953*E953*E953*EXP(-q*Q953)*_xlfn.NORM.S.DIST(Y953,0)*SQRT(Q953)/100))</f>
        <v/>
      </c>
      <c r="P953" s="69" t="str">
        <f>IF(A953="","",IF(A953=Expiry,0,AK953*I953*Mult*((-EXP(-q*Q953)*E953*_xlfn.NORM.S.DIST(Y953,0)*sigma/(2*SQRT(Q953))-r_dom*K*EXP(-r_dom*Q953)*_xlfn.NORM.S.DIST(Z953,1)+q*E953*EXP(-q*Q953)*_xlfn.NORM.S.DIST(Y953,1))/365)))</f>
        <v/>
      </c>
      <c r="Q953" s="83" t="str">
        <f t="shared" si="383"/>
        <v/>
      </c>
      <c r="R953" s="38"/>
      <c r="S953" s="68" t="str">
        <f t="shared" si="384"/>
        <v/>
      </c>
      <c r="T953" s="69" t="str">
        <f t="shared" si="385"/>
        <v/>
      </c>
      <c r="U953" s="70" t="str">
        <f t="shared" si="386"/>
        <v/>
      </c>
      <c r="V953" s="72" t="str">
        <f t="shared" si="387"/>
        <v/>
      </c>
      <c r="W953" s="2" t="str">
        <f t="shared" si="374"/>
        <v/>
      </c>
      <c r="X953" s="2" t="str">
        <f t="shared" si="369"/>
        <v/>
      </c>
      <c r="Y953" s="35" t="str">
        <f t="shared" ca="1" si="388"/>
        <v/>
      </c>
      <c r="Z953" s="36" t="str">
        <f t="shared" ca="1" si="389"/>
        <v/>
      </c>
      <c r="AA953" s="70" t="str">
        <f t="shared" si="390"/>
        <v/>
      </c>
      <c r="AB953" s="2"/>
      <c r="AC953" s="94" t="str">
        <f t="shared" si="370"/>
        <v/>
      </c>
      <c r="AD953" s="95" t="str">
        <f t="shared" si="371"/>
        <v/>
      </c>
      <c r="AE953" s="96" t="str">
        <f t="shared" si="372"/>
        <v/>
      </c>
      <c r="AF953" s="124" t="str">
        <f t="shared" si="373"/>
        <v/>
      </c>
      <c r="AG953" s="2"/>
      <c r="AH953" s="2"/>
      <c r="AI953" s="2"/>
      <c r="AJ953" s="2"/>
      <c r="AK953" s="2"/>
      <c r="AL953" s="2"/>
    </row>
    <row r="954" spans="1:38" x14ac:dyDescent="0.2">
      <c r="A954" s="45"/>
      <c r="B954" s="43" t="str">
        <f t="shared" si="376"/>
        <v/>
      </c>
      <c r="C954" s="96" t="str">
        <f t="shared" si="375"/>
        <v/>
      </c>
      <c r="D954" s="44" t="str">
        <f t="shared" si="377"/>
        <v/>
      </c>
      <c r="E954" s="52"/>
      <c r="F954" s="63" t="str">
        <f t="shared" si="378"/>
        <v/>
      </c>
      <c r="G954" s="56" t="str">
        <f t="shared" si="379"/>
        <v/>
      </c>
      <c r="H954" s="42"/>
      <c r="I954" s="2" t="str">
        <f t="shared" si="380"/>
        <v/>
      </c>
      <c r="J954" s="54" t="str">
        <f t="shared" si="367"/>
        <v/>
      </c>
      <c r="K954" s="55" t="str">
        <f t="shared" si="381"/>
        <v/>
      </c>
      <c r="L954" s="63" t="str">
        <f t="shared" si="382"/>
        <v/>
      </c>
      <c r="M954" s="96" t="str">
        <f t="shared" si="368"/>
        <v/>
      </c>
      <c r="N954" s="96" t="str">
        <f>IF(A954="","",IF(A954=Expiry,0,EXP(-q*Q954)*_xlfn.NORM.S.DIST(Y954,0)/(sigma*SQRT(Q954))*I954*Mult/100))</f>
        <v/>
      </c>
      <c r="O954" s="96" t="str">
        <f>IF(A954="","",IF(A954=Expiry,0,D954*E954*E954*EXP(-q*Q954)*_xlfn.NORM.S.DIST(Y954,0)*SQRT(Q954)/100))</f>
        <v/>
      </c>
      <c r="P954" s="69" t="str">
        <f>IF(A954="","",IF(A954=Expiry,0,AK954*I954*Mult*((-EXP(-q*Q954)*E954*_xlfn.NORM.S.DIST(Y954,0)*sigma/(2*SQRT(Q954))-r_dom*K*EXP(-r_dom*Q954)*_xlfn.NORM.S.DIST(Z954,1)+q*E954*EXP(-q*Q954)*_xlfn.NORM.S.DIST(Y954,1))/365)))</f>
        <v/>
      </c>
      <c r="Q954" s="83" t="str">
        <f t="shared" si="383"/>
        <v/>
      </c>
      <c r="R954" s="38"/>
      <c r="S954" s="68" t="str">
        <f t="shared" si="384"/>
        <v/>
      </c>
      <c r="T954" s="69" t="str">
        <f t="shared" si="385"/>
        <v/>
      </c>
      <c r="U954" s="70" t="str">
        <f t="shared" si="386"/>
        <v/>
      </c>
      <c r="V954" s="72" t="str">
        <f t="shared" si="387"/>
        <v/>
      </c>
      <c r="W954" s="2" t="str">
        <f t="shared" si="374"/>
        <v/>
      </c>
      <c r="X954" s="2" t="str">
        <f t="shared" si="369"/>
        <v/>
      </c>
      <c r="Y954" s="35" t="str">
        <f t="shared" ca="1" si="388"/>
        <v/>
      </c>
      <c r="Z954" s="36" t="str">
        <f t="shared" ca="1" si="389"/>
        <v/>
      </c>
      <c r="AA954" s="70" t="str">
        <f t="shared" si="390"/>
        <v/>
      </c>
      <c r="AB954" s="2"/>
      <c r="AC954" s="94" t="str">
        <f t="shared" si="370"/>
        <v/>
      </c>
      <c r="AD954" s="95" t="str">
        <f t="shared" si="371"/>
        <v/>
      </c>
      <c r="AE954" s="96" t="str">
        <f t="shared" si="372"/>
        <v/>
      </c>
      <c r="AF954" s="124" t="str">
        <f t="shared" si="373"/>
        <v/>
      </c>
      <c r="AG954" s="2"/>
      <c r="AH954" s="2"/>
      <c r="AI954" s="2"/>
      <c r="AJ954" s="2"/>
      <c r="AK954" s="2"/>
      <c r="AL954" s="2"/>
    </row>
    <row r="955" spans="1:38" x14ac:dyDescent="0.2">
      <c r="A955" s="45"/>
      <c r="B955" s="43" t="str">
        <f t="shared" si="376"/>
        <v/>
      </c>
      <c r="C955" s="96" t="str">
        <f t="shared" si="375"/>
        <v/>
      </c>
      <c r="D955" s="44" t="str">
        <f t="shared" si="377"/>
        <v/>
      </c>
      <c r="E955" s="52"/>
      <c r="F955" s="63" t="str">
        <f t="shared" si="378"/>
        <v/>
      </c>
      <c r="G955" s="56" t="str">
        <f t="shared" si="379"/>
        <v/>
      </c>
      <c r="H955" s="42"/>
      <c r="I955" s="2" t="str">
        <f t="shared" si="380"/>
        <v/>
      </c>
      <c r="J955" s="54" t="str">
        <f t="shared" si="367"/>
        <v/>
      </c>
      <c r="K955" s="55" t="str">
        <f t="shared" si="381"/>
        <v/>
      </c>
      <c r="L955" s="63" t="str">
        <f t="shared" si="382"/>
        <v/>
      </c>
      <c r="M955" s="96" t="str">
        <f t="shared" si="368"/>
        <v/>
      </c>
      <c r="N955" s="96" t="str">
        <f>IF(A955="","",IF(A955=Expiry,0,EXP(-q*Q955)*_xlfn.NORM.S.DIST(Y955,0)/(sigma*SQRT(Q955))*I955*Mult/100))</f>
        <v/>
      </c>
      <c r="O955" s="96" t="str">
        <f>IF(A955="","",IF(A955=Expiry,0,D955*E955*E955*EXP(-q*Q955)*_xlfn.NORM.S.DIST(Y955,0)*SQRT(Q955)/100))</f>
        <v/>
      </c>
      <c r="P955" s="69" t="str">
        <f>IF(A955="","",IF(A955=Expiry,0,AK955*I955*Mult*((-EXP(-q*Q955)*E955*_xlfn.NORM.S.DIST(Y955,0)*sigma/(2*SQRT(Q955))-r_dom*K*EXP(-r_dom*Q955)*_xlfn.NORM.S.DIST(Z955,1)+q*E955*EXP(-q*Q955)*_xlfn.NORM.S.DIST(Y955,1))/365)))</f>
        <v/>
      </c>
      <c r="Q955" s="83" t="str">
        <f t="shared" si="383"/>
        <v/>
      </c>
      <c r="R955" s="38"/>
      <c r="S955" s="68" t="str">
        <f t="shared" si="384"/>
        <v/>
      </c>
      <c r="T955" s="69" t="str">
        <f t="shared" si="385"/>
        <v/>
      </c>
      <c r="U955" s="70" t="str">
        <f t="shared" si="386"/>
        <v/>
      </c>
      <c r="V955" s="72" t="str">
        <f t="shared" si="387"/>
        <v/>
      </c>
      <c r="W955" s="2" t="str">
        <f t="shared" si="374"/>
        <v/>
      </c>
      <c r="X955" s="2" t="str">
        <f t="shared" si="369"/>
        <v/>
      </c>
      <c r="Y955" s="35" t="str">
        <f t="shared" ca="1" si="388"/>
        <v/>
      </c>
      <c r="Z955" s="36" t="str">
        <f t="shared" ca="1" si="389"/>
        <v/>
      </c>
      <c r="AA955" s="70" t="str">
        <f t="shared" si="390"/>
        <v/>
      </c>
      <c r="AB955" s="2"/>
      <c r="AC955" s="94" t="str">
        <f t="shared" si="370"/>
        <v/>
      </c>
      <c r="AD955" s="95" t="str">
        <f t="shared" si="371"/>
        <v/>
      </c>
      <c r="AE955" s="96" t="str">
        <f t="shared" si="372"/>
        <v/>
      </c>
      <c r="AF955" s="124" t="str">
        <f t="shared" si="373"/>
        <v/>
      </c>
      <c r="AG955" s="2"/>
      <c r="AH955" s="2"/>
      <c r="AI955" s="2"/>
      <c r="AJ955" s="2"/>
      <c r="AK955" s="2"/>
      <c r="AL955" s="2"/>
    </row>
    <row r="956" spans="1:38" x14ac:dyDescent="0.2">
      <c r="A956" s="45"/>
      <c r="B956" s="43" t="str">
        <f t="shared" si="376"/>
        <v/>
      </c>
      <c r="C956" s="96" t="str">
        <f t="shared" si="375"/>
        <v/>
      </c>
      <c r="D956" s="44" t="str">
        <f t="shared" si="377"/>
        <v/>
      </c>
      <c r="E956" s="52"/>
      <c r="F956" s="63" t="str">
        <f t="shared" si="378"/>
        <v/>
      </c>
      <c r="G956" s="56" t="str">
        <f t="shared" si="379"/>
        <v/>
      </c>
      <c r="H956" s="42"/>
      <c r="I956" s="2" t="str">
        <f t="shared" si="380"/>
        <v/>
      </c>
      <c r="J956" s="54" t="str">
        <f t="shared" si="367"/>
        <v/>
      </c>
      <c r="K956" s="55" t="str">
        <f t="shared" si="381"/>
        <v/>
      </c>
      <c r="L956" s="63" t="str">
        <f t="shared" si="382"/>
        <v/>
      </c>
      <c r="M956" s="96" t="str">
        <f t="shared" si="368"/>
        <v/>
      </c>
      <c r="N956" s="96" t="str">
        <f>IF(A956="","",IF(A956=Expiry,0,EXP(-q*Q956)*_xlfn.NORM.S.DIST(Y956,0)/(sigma*SQRT(Q956))*I956*Mult/100))</f>
        <v/>
      </c>
      <c r="O956" s="96" t="str">
        <f>IF(A956="","",IF(A956=Expiry,0,D956*E956*E956*EXP(-q*Q956)*_xlfn.NORM.S.DIST(Y956,0)*SQRT(Q956)/100))</f>
        <v/>
      </c>
      <c r="P956" s="69" t="str">
        <f>IF(A956="","",IF(A956=Expiry,0,AK956*I956*Mult*((-EXP(-q*Q956)*E956*_xlfn.NORM.S.DIST(Y956,0)*sigma/(2*SQRT(Q956))-r_dom*K*EXP(-r_dom*Q956)*_xlfn.NORM.S.DIST(Z956,1)+q*E956*EXP(-q*Q956)*_xlfn.NORM.S.DIST(Y956,1))/365)))</f>
        <v/>
      </c>
      <c r="Q956" s="83" t="str">
        <f t="shared" si="383"/>
        <v/>
      </c>
      <c r="R956" s="38"/>
      <c r="S956" s="68" t="str">
        <f t="shared" si="384"/>
        <v/>
      </c>
      <c r="T956" s="69" t="str">
        <f t="shared" si="385"/>
        <v/>
      </c>
      <c r="U956" s="70" t="str">
        <f t="shared" si="386"/>
        <v/>
      </c>
      <c r="V956" s="72" t="str">
        <f t="shared" si="387"/>
        <v/>
      </c>
      <c r="W956" s="2" t="str">
        <f t="shared" si="374"/>
        <v/>
      </c>
      <c r="X956" s="2" t="str">
        <f t="shared" si="369"/>
        <v/>
      </c>
      <c r="Y956" s="35" t="str">
        <f t="shared" ca="1" si="388"/>
        <v/>
      </c>
      <c r="Z956" s="36" t="str">
        <f t="shared" ca="1" si="389"/>
        <v/>
      </c>
      <c r="AA956" s="70" t="str">
        <f t="shared" si="390"/>
        <v/>
      </c>
      <c r="AB956" s="2"/>
      <c r="AC956" s="94" t="str">
        <f t="shared" si="370"/>
        <v/>
      </c>
      <c r="AD956" s="95" t="str">
        <f t="shared" si="371"/>
        <v/>
      </c>
      <c r="AE956" s="96" t="str">
        <f t="shared" si="372"/>
        <v/>
      </c>
      <c r="AF956" s="124" t="str">
        <f t="shared" si="373"/>
        <v/>
      </c>
      <c r="AG956" s="2"/>
      <c r="AH956" s="2"/>
      <c r="AI956" s="2"/>
      <c r="AJ956" s="2"/>
      <c r="AK956" s="2"/>
      <c r="AL956" s="2"/>
    </row>
    <row r="957" spans="1:38" x14ac:dyDescent="0.2">
      <c r="A957" s="45"/>
      <c r="B957" s="43" t="str">
        <f t="shared" si="376"/>
        <v/>
      </c>
      <c r="C957" s="96" t="str">
        <f t="shared" si="375"/>
        <v/>
      </c>
      <c r="D957" s="44" t="str">
        <f t="shared" si="377"/>
        <v/>
      </c>
      <c r="E957" s="52"/>
      <c r="F957" s="63" t="str">
        <f t="shared" si="378"/>
        <v/>
      </c>
      <c r="G957" s="56" t="str">
        <f t="shared" si="379"/>
        <v/>
      </c>
      <c r="H957" s="42"/>
      <c r="I957" s="2" t="str">
        <f t="shared" si="380"/>
        <v/>
      </c>
      <c r="J957" s="54" t="str">
        <f t="shared" si="367"/>
        <v/>
      </c>
      <c r="K957" s="55" t="str">
        <f t="shared" si="381"/>
        <v/>
      </c>
      <c r="L957" s="63" t="str">
        <f t="shared" si="382"/>
        <v/>
      </c>
      <c r="M957" s="96" t="str">
        <f t="shared" si="368"/>
        <v/>
      </c>
      <c r="N957" s="96" t="str">
        <f>IF(A957="","",IF(A957=Expiry,0,EXP(-q*Q957)*_xlfn.NORM.S.DIST(Y957,0)/(sigma*SQRT(Q957))*I957*Mult/100))</f>
        <v/>
      </c>
      <c r="O957" s="96" t="str">
        <f>IF(A957="","",IF(A957=Expiry,0,D957*E957*E957*EXP(-q*Q957)*_xlfn.NORM.S.DIST(Y957,0)*SQRT(Q957)/100))</f>
        <v/>
      </c>
      <c r="P957" s="69" t="str">
        <f>IF(A957="","",IF(A957=Expiry,0,AK957*I957*Mult*((-EXP(-q*Q957)*E957*_xlfn.NORM.S.DIST(Y957,0)*sigma/(2*SQRT(Q957))-r_dom*K*EXP(-r_dom*Q957)*_xlfn.NORM.S.DIST(Z957,1)+q*E957*EXP(-q*Q957)*_xlfn.NORM.S.DIST(Y957,1))/365)))</f>
        <v/>
      </c>
      <c r="Q957" s="83" t="str">
        <f t="shared" si="383"/>
        <v/>
      </c>
      <c r="R957" s="38"/>
      <c r="S957" s="68" t="str">
        <f t="shared" si="384"/>
        <v/>
      </c>
      <c r="T957" s="69" t="str">
        <f t="shared" si="385"/>
        <v/>
      </c>
      <c r="U957" s="70" t="str">
        <f t="shared" si="386"/>
        <v/>
      </c>
      <c r="V957" s="72" t="str">
        <f t="shared" si="387"/>
        <v/>
      </c>
      <c r="W957" s="2" t="str">
        <f t="shared" si="374"/>
        <v/>
      </c>
      <c r="X957" s="2" t="str">
        <f t="shared" si="369"/>
        <v/>
      </c>
      <c r="Y957" s="35" t="str">
        <f t="shared" ca="1" si="388"/>
        <v/>
      </c>
      <c r="Z957" s="36" t="str">
        <f t="shared" ca="1" si="389"/>
        <v/>
      </c>
      <c r="AA957" s="70" t="str">
        <f t="shared" si="390"/>
        <v/>
      </c>
      <c r="AB957" s="2"/>
      <c r="AC957" s="94" t="str">
        <f t="shared" si="370"/>
        <v/>
      </c>
      <c r="AD957" s="95" t="str">
        <f t="shared" si="371"/>
        <v/>
      </c>
      <c r="AE957" s="96" t="str">
        <f t="shared" si="372"/>
        <v/>
      </c>
      <c r="AF957" s="124" t="str">
        <f t="shared" si="373"/>
        <v/>
      </c>
      <c r="AG957" s="2"/>
      <c r="AH957" s="2"/>
      <c r="AI957" s="2"/>
      <c r="AJ957" s="2"/>
      <c r="AK957" s="2"/>
      <c r="AL957" s="2"/>
    </row>
    <row r="958" spans="1:38" x14ac:dyDescent="0.2">
      <c r="A958" s="45"/>
      <c r="B958" s="43" t="str">
        <f t="shared" si="376"/>
        <v/>
      </c>
      <c r="C958" s="96" t="str">
        <f t="shared" si="375"/>
        <v/>
      </c>
      <c r="D958" s="44" t="str">
        <f t="shared" si="377"/>
        <v/>
      </c>
      <c r="E958" s="52"/>
      <c r="F958" s="63" t="str">
        <f t="shared" si="378"/>
        <v/>
      </c>
      <c r="G958" s="56" t="str">
        <f t="shared" si="379"/>
        <v/>
      </c>
      <c r="H958" s="42"/>
      <c r="I958" s="2" t="str">
        <f t="shared" si="380"/>
        <v/>
      </c>
      <c r="J958" s="54" t="str">
        <f t="shared" si="367"/>
        <v/>
      </c>
      <c r="K958" s="55" t="str">
        <f t="shared" si="381"/>
        <v/>
      </c>
      <c r="L958" s="63" t="str">
        <f t="shared" si="382"/>
        <v/>
      </c>
      <c r="M958" s="96" t="str">
        <f t="shared" si="368"/>
        <v/>
      </c>
      <c r="N958" s="96" t="str">
        <f>IF(A958="","",IF(A958=Expiry,0,EXP(-q*Q958)*_xlfn.NORM.S.DIST(Y958,0)/(sigma*SQRT(Q958))*I958*Mult/100))</f>
        <v/>
      </c>
      <c r="O958" s="96" t="str">
        <f>IF(A958="","",IF(A958=Expiry,0,D958*E958*E958*EXP(-q*Q958)*_xlfn.NORM.S.DIST(Y958,0)*SQRT(Q958)/100))</f>
        <v/>
      </c>
      <c r="P958" s="69" t="str">
        <f>IF(A958="","",IF(A958=Expiry,0,AK958*I958*Mult*((-EXP(-q*Q958)*E958*_xlfn.NORM.S.DIST(Y958,0)*sigma/(2*SQRT(Q958))-r_dom*K*EXP(-r_dom*Q958)*_xlfn.NORM.S.DIST(Z958,1)+q*E958*EXP(-q*Q958)*_xlfn.NORM.S.DIST(Y958,1))/365)))</f>
        <v/>
      </c>
      <c r="Q958" s="83" t="str">
        <f t="shared" si="383"/>
        <v/>
      </c>
      <c r="R958" s="38"/>
      <c r="S958" s="68" t="str">
        <f t="shared" si="384"/>
        <v/>
      </c>
      <c r="T958" s="69" t="str">
        <f t="shared" si="385"/>
        <v/>
      </c>
      <c r="U958" s="70" t="str">
        <f t="shared" si="386"/>
        <v/>
      </c>
      <c r="V958" s="72" t="str">
        <f t="shared" si="387"/>
        <v/>
      </c>
      <c r="W958" s="2" t="str">
        <f t="shared" si="374"/>
        <v/>
      </c>
      <c r="X958" s="2" t="str">
        <f t="shared" si="369"/>
        <v/>
      </c>
      <c r="Y958" s="35" t="str">
        <f t="shared" ca="1" si="388"/>
        <v/>
      </c>
      <c r="Z958" s="36" t="str">
        <f t="shared" ca="1" si="389"/>
        <v/>
      </c>
      <c r="AA958" s="70" t="str">
        <f t="shared" si="390"/>
        <v/>
      </c>
      <c r="AB958" s="2"/>
      <c r="AC958" s="94" t="str">
        <f t="shared" si="370"/>
        <v/>
      </c>
      <c r="AD958" s="95" t="str">
        <f t="shared" si="371"/>
        <v/>
      </c>
      <c r="AE958" s="96" t="str">
        <f t="shared" si="372"/>
        <v/>
      </c>
      <c r="AF958" s="124" t="str">
        <f t="shared" si="373"/>
        <v/>
      </c>
      <c r="AG958" s="2"/>
      <c r="AH958" s="2"/>
      <c r="AI958" s="2"/>
      <c r="AJ958" s="2"/>
      <c r="AK958" s="2"/>
      <c r="AL958" s="2"/>
    </row>
    <row r="959" spans="1:38" x14ac:dyDescent="0.2">
      <c r="A959" s="45"/>
      <c r="B959" s="43" t="str">
        <f t="shared" si="376"/>
        <v/>
      </c>
      <c r="C959" s="96" t="str">
        <f t="shared" si="375"/>
        <v/>
      </c>
      <c r="D959" s="44" t="str">
        <f t="shared" si="377"/>
        <v/>
      </c>
      <c r="E959" s="52"/>
      <c r="F959" s="63" t="str">
        <f t="shared" si="378"/>
        <v/>
      </c>
      <c r="G959" s="56" t="str">
        <f t="shared" si="379"/>
        <v/>
      </c>
      <c r="H959" s="42"/>
      <c r="I959" s="2" t="str">
        <f t="shared" si="380"/>
        <v/>
      </c>
      <c r="J959" s="54" t="str">
        <f t="shared" si="367"/>
        <v/>
      </c>
      <c r="K959" s="55" t="str">
        <f t="shared" si="381"/>
        <v/>
      </c>
      <c r="L959" s="63" t="str">
        <f t="shared" si="382"/>
        <v/>
      </c>
      <c r="M959" s="96" t="str">
        <f t="shared" si="368"/>
        <v/>
      </c>
      <c r="N959" s="96" t="str">
        <f>IF(A959="","",IF(A959=Expiry,0,EXP(-q*Q959)*_xlfn.NORM.S.DIST(Y959,0)/(sigma*SQRT(Q959))*I959*Mult/100))</f>
        <v/>
      </c>
      <c r="O959" s="96" t="str">
        <f>IF(A959="","",IF(A959=Expiry,0,D959*E959*E959*EXP(-q*Q959)*_xlfn.NORM.S.DIST(Y959,0)*SQRT(Q959)/100))</f>
        <v/>
      </c>
      <c r="P959" s="69" t="str">
        <f>IF(A959="","",IF(A959=Expiry,0,AK959*I959*Mult*((-EXP(-q*Q959)*E959*_xlfn.NORM.S.DIST(Y959,0)*sigma/(2*SQRT(Q959))-r_dom*K*EXP(-r_dom*Q959)*_xlfn.NORM.S.DIST(Z959,1)+q*E959*EXP(-q*Q959)*_xlfn.NORM.S.DIST(Y959,1))/365)))</f>
        <v/>
      </c>
      <c r="Q959" s="83" t="str">
        <f t="shared" si="383"/>
        <v/>
      </c>
      <c r="R959" s="38"/>
      <c r="S959" s="68" t="str">
        <f t="shared" si="384"/>
        <v/>
      </c>
      <c r="T959" s="69" t="str">
        <f t="shared" si="385"/>
        <v/>
      </c>
      <c r="U959" s="70" t="str">
        <f t="shared" si="386"/>
        <v/>
      </c>
      <c r="V959" s="72" t="str">
        <f t="shared" si="387"/>
        <v/>
      </c>
      <c r="W959" s="2" t="str">
        <f t="shared" si="374"/>
        <v/>
      </c>
      <c r="X959" s="2" t="str">
        <f t="shared" si="369"/>
        <v/>
      </c>
      <c r="Y959" s="35" t="str">
        <f t="shared" ca="1" si="388"/>
        <v/>
      </c>
      <c r="Z959" s="36" t="str">
        <f t="shared" ca="1" si="389"/>
        <v/>
      </c>
      <c r="AA959" s="70" t="str">
        <f t="shared" si="390"/>
        <v/>
      </c>
      <c r="AB959" s="2"/>
      <c r="AC959" s="94" t="str">
        <f t="shared" si="370"/>
        <v/>
      </c>
      <c r="AD959" s="95" t="str">
        <f t="shared" si="371"/>
        <v/>
      </c>
      <c r="AE959" s="96" t="str">
        <f t="shared" si="372"/>
        <v/>
      </c>
      <c r="AF959" s="124" t="str">
        <f t="shared" si="373"/>
        <v/>
      </c>
      <c r="AG959" s="2"/>
      <c r="AH959" s="2"/>
      <c r="AI959" s="2"/>
      <c r="AJ959" s="2"/>
      <c r="AK959" s="2"/>
      <c r="AL959" s="2"/>
    </row>
    <row r="960" spans="1:38" x14ac:dyDescent="0.2">
      <c r="A960" s="45"/>
      <c r="B960" s="43" t="str">
        <f t="shared" si="376"/>
        <v/>
      </c>
      <c r="C960" s="96" t="str">
        <f t="shared" si="375"/>
        <v/>
      </c>
      <c r="D960" s="44" t="str">
        <f t="shared" si="377"/>
        <v/>
      </c>
      <c r="E960" s="52"/>
      <c r="F960" s="63" t="str">
        <f t="shared" si="378"/>
        <v/>
      </c>
      <c r="G960" s="56" t="str">
        <f t="shared" si="379"/>
        <v/>
      </c>
      <c r="H960" s="42"/>
      <c r="I960" s="2" t="str">
        <f t="shared" si="380"/>
        <v/>
      </c>
      <c r="J960" s="54" t="str">
        <f t="shared" si="367"/>
        <v/>
      </c>
      <c r="K960" s="55" t="str">
        <f t="shared" si="381"/>
        <v/>
      </c>
      <c r="L960" s="63" t="str">
        <f t="shared" si="382"/>
        <v/>
      </c>
      <c r="M960" s="96" t="str">
        <f t="shared" si="368"/>
        <v/>
      </c>
      <c r="N960" s="96" t="str">
        <f>IF(A960="","",IF(A960=Expiry,0,EXP(-q*Q960)*_xlfn.NORM.S.DIST(Y960,0)/(sigma*SQRT(Q960))*I960*Mult/100))</f>
        <v/>
      </c>
      <c r="O960" s="96" t="str">
        <f>IF(A960="","",IF(A960=Expiry,0,D960*E960*E960*EXP(-q*Q960)*_xlfn.NORM.S.DIST(Y960,0)*SQRT(Q960)/100))</f>
        <v/>
      </c>
      <c r="P960" s="69" t="str">
        <f>IF(A960="","",IF(A960=Expiry,0,AK960*I960*Mult*((-EXP(-q*Q960)*E960*_xlfn.NORM.S.DIST(Y960,0)*sigma/(2*SQRT(Q960))-r_dom*K*EXP(-r_dom*Q960)*_xlfn.NORM.S.DIST(Z960,1)+q*E960*EXP(-q*Q960)*_xlfn.NORM.S.DIST(Y960,1))/365)))</f>
        <v/>
      </c>
      <c r="Q960" s="83" t="str">
        <f t="shared" si="383"/>
        <v/>
      </c>
      <c r="R960" s="38"/>
      <c r="S960" s="68" t="str">
        <f t="shared" si="384"/>
        <v/>
      </c>
      <c r="T960" s="69" t="str">
        <f t="shared" si="385"/>
        <v/>
      </c>
      <c r="U960" s="70" t="str">
        <f t="shared" si="386"/>
        <v/>
      </c>
      <c r="V960" s="72" t="str">
        <f t="shared" si="387"/>
        <v/>
      </c>
      <c r="W960" s="2" t="str">
        <f t="shared" si="374"/>
        <v/>
      </c>
      <c r="X960" s="2" t="str">
        <f t="shared" si="369"/>
        <v/>
      </c>
      <c r="Y960" s="35" t="str">
        <f t="shared" ca="1" si="388"/>
        <v/>
      </c>
      <c r="Z960" s="36" t="str">
        <f t="shared" ca="1" si="389"/>
        <v/>
      </c>
      <c r="AA960" s="70" t="str">
        <f t="shared" si="390"/>
        <v/>
      </c>
      <c r="AB960" s="2"/>
      <c r="AC960" s="94" t="str">
        <f t="shared" si="370"/>
        <v/>
      </c>
      <c r="AD960" s="95" t="str">
        <f t="shared" si="371"/>
        <v/>
      </c>
      <c r="AE960" s="96" t="str">
        <f t="shared" si="372"/>
        <v/>
      </c>
      <c r="AF960" s="124" t="str">
        <f t="shared" si="373"/>
        <v/>
      </c>
      <c r="AG960" s="2"/>
      <c r="AH960" s="2"/>
      <c r="AI960" s="2"/>
      <c r="AJ960" s="2"/>
      <c r="AK960" s="2"/>
      <c r="AL960" s="2"/>
    </row>
    <row r="961" spans="1:38" x14ac:dyDescent="0.2">
      <c r="A961" s="45"/>
      <c r="B961" s="43" t="str">
        <f t="shared" si="376"/>
        <v/>
      </c>
      <c r="C961" s="96" t="str">
        <f t="shared" si="375"/>
        <v/>
      </c>
      <c r="D961" s="44" t="str">
        <f t="shared" si="377"/>
        <v/>
      </c>
      <c r="E961" s="52"/>
      <c r="F961" s="63" t="str">
        <f t="shared" si="378"/>
        <v/>
      </c>
      <c r="G961" s="56" t="str">
        <f t="shared" si="379"/>
        <v/>
      </c>
      <c r="H961" s="42"/>
      <c r="I961" s="2" t="str">
        <f t="shared" si="380"/>
        <v/>
      </c>
      <c r="J961" s="54" t="str">
        <f t="shared" si="367"/>
        <v/>
      </c>
      <c r="K961" s="55" t="str">
        <f t="shared" si="381"/>
        <v/>
      </c>
      <c r="L961" s="63" t="str">
        <f t="shared" si="382"/>
        <v/>
      </c>
      <c r="M961" s="96" t="str">
        <f t="shared" si="368"/>
        <v/>
      </c>
      <c r="N961" s="96" t="str">
        <f>IF(A961="","",IF(A961=Expiry,0,EXP(-q*Q961)*_xlfn.NORM.S.DIST(Y961,0)/(sigma*SQRT(Q961))*I961*Mult/100))</f>
        <v/>
      </c>
      <c r="O961" s="96" t="str">
        <f>IF(A961="","",IF(A961=Expiry,0,D961*E961*E961*EXP(-q*Q961)*_xlfn.NORM.S.DIST(Y961,0)*SQRT(Q961)/100))</f>
        <v/>
      </c>
      <c r="P961" s="69" t="str">
        <f>IF(A961="","",IF(A961=Expiry,0,AK961*I961*Mult*((-EXP(-q*Q961)*E961*_xlfn.NORM.S.DIST(Y961,0)*sigma/(2*SQRT(Q961))-r_dom*K*EXP(-r_dom*Q961)*_xlfn.NORM.S.DIST(Z961,1)+q*E961*EXP(-q*Q961)*_xlfn.NORM.S.DIST(Y961,1))/365)))</f>
        <v/>
      </c>
      <c r="Q961" s="83" t="str">
        <f t="shared" si="383"/>
        <v/>
      </c>
      <c r="R961" s="38"/>
      <c r="S961" s="68" t="str">
        <f t="shared" si="384"/>
        <v/>
      </c>
      <c r="T961" s="69" t="str">
        <f t="shared" si="385"/>
        <v/>
      </c>
      <c r="U961" s="70" t="str">
        <f t="shared" si="386"/>
        <v/>
      </c>
      <c r="V961" s="72" t="str">
        <f t="shared" si="387"/>
        <v/>
      </c>
      <c r="W961" s="2" t="str">
        <f t="shared" si="374"/>
        <v/>
      </c>
      <c r="X961" s="2" t="str">
        <f t="shared" si="369"/>
        <v/>
      </c>
      <c r="Y961" s="35" t="str">
        <f t="shared" ca="1" si="388"/>
        <v/>
      </c>
      <c r="Z961" s="36" t="str">
        <f t="shared" ca="1" si="389"/>
        <v/>
      </c>
      <c r="AA961" s="70" t="str">
        <f t="shared" si="390"/>
        <v/>
      </c>
      <c r="AB961" s="2"/>
      <c r="AC961" s="94" t="str">
        <f t="shared" si="370"/>
        <v/>
      </c>
      <c r="AD961" s="95" t="str">
        <f t="shared" si="371"/>
        <v/>
      </c>
      <c r="AE961" s="96" t="str">
        <f t="shared" si="372"/>
        <v/>
      </c>
      <c r="AF961" s="124" t="str">
        <f t="shared" si="373"/>
        <v/>
      </c>
      <c r="AG961" s="2"/>
      <c r="AH961" s="2"/>
      <c r="AI961" s="2"/>
      <c r="AJ961" s="2"/>
      <c r="AK961" s="2"/>
      <c r="AL961" s="2"/>
    </row>
    <row r="962" spans="1:38" x14ac:dyDescent="0.2">
      <c r="A962" s="45"/>
      <c r="B962" s="43" t="str">
        <f t="shared" si="376"/>
        <v/>
      </c>
      <c r="C962" s="96" t="str">
        <f t="shared" si="375"/>
        <v/>
      </c>
      <c r="D962" s="44" t="str">
        <f t="shared" si="377"/>
        <v/>
      </c>
      <c r="E962" s="52"/>
      <c r="F962" s="63" t="str">
        <f t="shared" si="378"/>
        <v/>
      </c>
      <c r="G962" s="56" t="str">
        <f t="shared" si="379"/>
        <v/>
      </c>
      <c r="H962" s="42"/>
      <c r="I962" s="2" t="str">
        <f t="shared" si="380"/>
        <v/>
      </c>
      <c r="J962" s="54" t="str">
        <f t="shared" si="367"/>
        <v/>
      </c>
      <c r="K962" s="55" t="str">
        <f t="shared" si="381"/>
        <v/>
      </c>
      <c r="L962" s="63" t="str">
        <f t="shared" si="382"/>
        <v/>
      </c>
      <c r="M962" s="96" t="str">
        <f t="shared" si="368"/>
        <v/>
      </c>
      <c r="N962" s="96" t="str">
        <f>IF(A962="","",IF(A962=Expiry,0,EXP(-q*Q962)*_xlfn.NORM.S.DIST(Y962,0)/(sigma*SQRT(Q962))*I962*Mult/100))</f>
        <v/>
      </c>
      <c r="O962" s="96" t="str">
        <f>IF(A962="","",IF(A962=Expiry,0,D962*E962*E962*EXP(-q*Q962)*_xlfn.NORM.S.DIST(Y962,0)*SQRT(Q962)/100))</f>
        <v/>
      </c>
      <c r="P962" s="69" t="str">
        <f>IF(A962="","",IF(A962=Expiry,0,AK962*I962*Mult*((-EXP(-q*Q962)*E962*_xlfn.NORM.S.DIST(Y962,0)*sigma/(2*SQRT(Q962))-r_dom*K*EXP(-r_dom*Q962)*_xlfn.NORM.S.DIST(Z962,1)+q*E962*EXP(-q*Q962)*_xlfn.NORM.S.DIST(Y962,1))/365)))</f>
        <v/>
      </c>
      <c r="Q962" s="83" t="str">
        <f t="shared" si="383"/>
        <v/>
      </c>
      <c r="R962" s="38"/>
      <c r="S962" s="68" t="str">
        <f t="shared" si="384"/>
        <v/>
      </c>
      <c r="T962" s="69" t="str">
        <f t="shared" si="385"/>
        <v/>
      </c>
      <c r="U962" s="70" t="str">
        <f t="shared" si="386"/>
        <v/>
      </c>
      <c r="V962" s="72" t="str">
        <f t="shared" si="387"/>
        <v/>
      </c>
      <c r="W962" s="2" t="str">
        <f t="shared" si="374"/>
        <v/>
      </c>
      <c r="X962" s="2" t="str">
        <f t="shared" si="369"/>
        <v/>
      </c>
      <c r="Y962" s="35" t="str">
        <f t="shared" ca="1" si="388"/>
        <v/>
      </c>
      <c r="Z962" s="36" t="str">
        <f t="shared" ca="1" si="389"/>
        <v/>
      </c>
      <c r="AA962" s="70" t="str">
        <f t="shared" si="390"/>
        <v/>
      </c>
      <c r="AB962" s="2"/>
      <c r="AC962" s="94" t="str">
        <f t="shared" si="370"/>
        <v/>
      </c>
      <c r="AD962" s="95" t="str">
        <f t="shared" si="371"/>
        <v/>
      </c>
      <c r="AE962" s="96" t="str">
        <f t="shared" si="372"/>
        <v/>
      </c>
      <c r="AF962" s="124" t="str">
        <f t="shared" si="373"/>
        <v/>
      </c>
      <c r="AG962" s="2"/>
      <c r="AH962" s="2"/>
      <c r="AI962" s="2"/>
      <c r="AJ962" s="2"/>
      <c r="AK962" s="2"/>
      <c r="AL962" s="2"/>
    </row>
    <row r="963" spans="1:38" x14ac:dyDescent="0.2">
      <c r="A963" s="45"/>
      <c r="B963" s="43" t="str">
        <f t="shared" si="376"/>
        <v/>
      </c>
      <c r="C963" s="96" t="str">
        <f t="shared" si="375"/>
        <v/>
      </c>
      <c r="D963" s="44" t="str">
        <f t="shared" si="377"/>
        <v/>
      </c>
      <c r="E963" s="52"/>
      <c r="F963" s="63" t="str">
        <f t="shared" si="378"/>
        <v/>
      </c>
      <c r="G963" s="56" t="str">
        <f t="shared" si="379"/>
        <v/>
      </c>
      <c r="H963" s="42"/>
      <c r="I963" s="2" t="str">
        <f t="shared" si="380"/>
        <v/>
      </c>
      <c r="J963" s="54" t="str">
        <f t="shared" si="367"/>
        <v/>
      </c>
      <c r="K963" s="55" t="str">
        <f t="shared" si="381"/>
        <v/>
      </c>
      <c r="L963" s="63" t="str">
        <f t="shared" si="382"/>
        <v/>
      </c>
      <c r="M963" s="96" t="str">
        <f t="shared" si="368"/>
        <v/>
      </c>
      <c r="N963" s="96" t="str">
        <f>IF(A963="","",IF(A963=Expiry,0,EXP(-q*Q963)*_xlfn.NORM.S.DIST(Y963,0)/(sigma*SQRT(Q963))*I963*Mult/100))</f>
        <v/>
      </c>
      <c r="O963" s="96" t="str">
        <f>IF(A963="","",IF(A963=Expiry,0,D963*E963*E963*EXP(-q*Q963)*_xlfn.NORM.S.DIST(Y963,0)*SQRT(Q963)/100))</f>
        <v/>
      </c>
      <c r="P963" s="69" t="str">
        <f>IF(A963="","",IF(A963=Expiry,0,AK963*I963*Mult*((-EXP(-q*Q963)*E963*_xlfn.NORM.S.DIST(Y963,0)*sigma/(2*SQRT(Q963))-r_dom*K*EXP(-r_dom*Q963)*_xlfn.NORM.S.DIST(Z963,1)+q*E963*EXP(-q*Q963)*_xlfn.NORM.S.DIST(Y963,1))/365)))</f>
        <v/>
      </c>
      <c r="Q963" s="83" t="str">
        <f t="shared" si="383"/>
        <v/>
      </c>
      <c r="R963" s="38"/>
      <c r="S963" s="68" t="str">
        <f t="shared" si="384"/>
        <v/>
      </c>
      <c r="T963" s="69" t="str">
        <f t="shared" si="385"/>
        <v/>
      </c>
      <c r="U963" s="70" t="str">
        <f t="shared" si="386"/>
        <v/>
      </c>
      <c r="V963" s="72" t="str">
        <f t="shared" si="387"/>
        <v/>
      </c>
      <c r="W963" s="2" t="str">
        <f t="shared" si="374"/>
        <v/>
      </c>
      <c r="X963" s="2" t="str">
        <f t="shared" si="369"/>
        <v/>
      </c>
      <c r="Y963" s="35" t="str">
        <f t="shared" ca="1" si="388"/>
        <v/>
      </c>
      <c r="Z963" s="36" t="str">
        <f t="shared" ca="1" si="389"/>
        <v/>
      </c>
      <c r="AA963" s="70" t="str">
        <f t="shared" si="390"/>
        <v/>
      </c>
      <c r="AB963" s="2"/>
      <c r="AC963" s="94" t="str">
        <f t="shared" si="370"/>
        <v/>
      </c>
      <c r="AD963" s="95" t="str">
        <f t="shared" si="371"/>
        <v/>
      </c>
      <c r="AE963" s="96" t="str">
        <f t="shared" si="372"/>
        <v/>
      </c>
      <c r="AF963" s="124" t="str">
        <f t="shared" si="373"/>
        <v/>
      </c>
      <c r="AG963" s="2"/>
      <c r="AH963" s="2"/>
      <c r="AI963" s="2"/>
      <c r="AJ963" s="2"/>
      <c r="AK963" s="2"/>
      <c r="AL963" s="2"/>
    </row>
    <row r="964" spans="1:38" x14ac:dyDescent="0.2">
      <c r="A964" s="45"/>
      <c r="B964" s="43" t="str">
        <f t="shared" si="376"/>
        <v/>
      </c>
      <c r="C964" s="96" t="str">
        <f t="shared" si="375"/>
        <v/>
      </c>
      <c r="D964" s="44" t="str">
        <f t="shared" si="377"/>
        <v/>
      </c>
      <c r="E964" s="52"/>
      <c r="F964" s="63" t="str">
        <f t="shared" si="378"/>
        <v/>
      </c>
      <c r="G964" s="56" t="str">
        <f t="shared" si="379"/>
        <v/>
      </c>
      <c r="H964" s="42"/>
      <c r="I964" s="2" t="str">
        <f t="shared" si="380"/>
        <v/>
      </c>
      <c r="J964" s="54" t="str">
        <f t="shared" si="367"/>
        <v/>
      </c>
      <c r="K964" s="55" t="str">
        <f t="shared" si="381"/>
        <v/>
      </c>
      <c r="L964" s="63" t="str">
        <f t="shared" si="382"/>
        <v/>
      </c>
      <c r="M964" s="96" t="str">
        <f t="shared" si="368"/>
        <v/>
      </c>
      <c r="N964" s="96" t="str">
        <f>IF(A964="","",IF(A964=Expiry,0,EXP(-q*Q964)*_xlfn.NORM.S.DIST(Y964,0)/(sigma*SQRT(Q964))*I964*Mult/100))</f>
        <v/>
      </c>
      <c r="O964" s="96" t="str">
        <f>IF(A964="","",IF(A964=Expiry,0,D964*E964*E964*EXP(-q*Q964)*_xlfn.NORM.S.DIST(Y964,0)*SQRT(Q964)/100))</f>
        <v/>
      </c>
      <c r="P964" s="69" t="str">
        <f>IF(A964="","",IF(A964=Expiry,0,AK964*I964*Mult*((-EXP(-q*Q964)*E964*_xlfn.NORM.S.DIST(Y964,0)*sigma/(2*SQRT(Q964))-r_dom*K*EXP(-r_dom*Q964)*_xlfn.NORM.S.DIST(Z964,1)+q*E964*EXP(-q*Q964)*_xlfn.NORM.S.DIST(Y964,1))/365)))</f>
        <v/>
      </c>
      <c r="Q964" s="83" t="str">
        <f t="shared" si="383"/>
        <v/>
      </c>
      <c r="R964" s="38"/>
      <c r="S964" s="68" t="str">
        <f t="shared" si="384"/>
        <v/>
      </c>
      <c r="T964" s="69" t="str">
        <f t="shared" si="385"/>
        <v/>
      </c>
      <c r="U964" s="70" t="str">
        <f t="shared" si="386"/>
        <v/>
      </c>
      <c r="V964" s="72" t="str">
        <f t="shared" si="387"/>
        <v/>
      </c>
      <c r="W964" s="2" t="str">
        <f t="shared" si="374"/>
        <v/>
      </c>
      <c r="X964" s="2" t="str">
        <f t="shared" si="369"/>
        <v/>
      </c>
      <c r="Y964" s="35" t="str">
        <f t="shared" ca="1" si="388"/>
        <v/>
      </c>
      <c r="Z964" s="36" t="str">
        <f t="shared" ca="1" si="389"/>
        <v/>
      </c>
      <c r="AA964" s="70" t="str">
        <f t="shared" si="390"/>
        <v/>
      </c>
      <c r="AB964" s="2"/>
      <c r="AC964" s="94" t="str">
        <f t="shared" si="370"/>
        <v/>
      </c>
      <c r="AD964" s="95" t="str">
        <f t="shared" si="371"/>
        <v/>
      </c>
      <c r="AE964" s="96" t="str">
        <f t="shared" si="372"/>
        <v/>
      </c>
      <c r="AF964" s="124" t="str">
        <f t="shared" si="373"/>
        <v/>
      </c>
      <c r="AG964" s="2"/>
      <c r="AH964" s="2"/>
      <c r="AI964" s="2"/>
      <c r="AJ964" s="2"/>
      <c r="AK964" s="2"/>
      <c r="AL964" s="2"/>
    </row>
    <row r="965" spans="1:38" x14ac:dyDescent="0.2">
      <c r="A965" s="45"/>
      <c r="B965" s="43" t="str">
        <f t="shared" si="376"/>
        <v/>
      </c>
      <c r="C965" s="96" t="str">
        <f t="shared" si="375"/>
        <v/>
      </c>
      <c r="D965" s="44" t="str">
        <f t="shared" si="377"/>
        <v/>
      </c>
      <c r="E965" s="52"/>
      <c r="F965" s="63" t="str">
        <f t="shared" si="378"/>
        <v/>
      </c>
      <c r="G965" s="56" t="str">
        <f t="shared" si="379"/>
        <v/>
      </c>
      <c r="H965" s="42"/>
      <c r="I965" s="2" t="str">
        <f t="shared" si="380"/>
        <v/>
      </c>
      <c r="J965" s="54" t="str">
        <f t="shared" si="367"/>
        <v/>
      </c>
      <c r="K965" s="55" t="str">
        <f t="shared" si="381"/>
        <v/>
      </c>
      <c r="L965" s="63" t="str">
        <f t="shared" si="382"/>
        <v/>
      </c>
      <c r="M965" s="96" t="str">
        <f t="shared" si="368"/>
        <v/>
      </c>
      <c r="N965" s="96" t="str">
        <f>IF(A965="","",IF(A965=Expiry,0,EXP(-q*Q965)*_xlfn.NORM.S.DIST(Y965,0)/(sigma*SQRT(Q965))*I965*Mult/100))</f>
        <v/>
      </c>
      <c r="O965" s="96" t="str">
        <f>IF(A965="","",IF(A965=Expiry,0,D965*E965*E965*EXP(-q*Q965)*_xlfn.NORM.S.DIST(Y965,0)*SQRT(Q965)/100))</f>
        <v/>
      </c>
      <c r="P965" s="69" t="str">
        <f>IF(A965="","",IF(A965=Expiry,0,AK965*I965*Mult*((-EXP(-q*Q965)*E965*_xlfn.NORM.S.DIST(Y965,0)*sigma/(2*SQRT(Q965))-r_dom*K*EXP(-r_dom*Q965)*_xlfn.NORM.S.DIST(Z965,1)+q*E965*EXP(-q*Q965)*_xlfn.NORM.S.DIST(Y965,1))/365)))</f>
        <v/>
      </c>
      <c r="Q965" s="83" t="str">
        <f t="shared" si="383"/>
        <v/>
      </c>
      <c r="R965" s="38"/>
      <c r="S965" s="68" t="str">
        <f t="shared" si="384"/>
        <v/>
      </c>
      <c r="T965" s="69" t="str">
        <f t="shared" si="385"/>
        <v/>
      </c>
      <c r="U965" s="70" t="str">
        <f t="shared" si="386"/>
        <v/>
      </c>
      <c r="V965" s="72" t="str">
        <f t="shared" si="387"/>
        <v/>
      </c>
      <c r="W965" s="2" t="str">
        <f t="shared" si="374"/>
        <v/>
      </c>
      <c r="X965" s="2" t="str">
        <f t="shared" si="369"/>
        <v/>
      </c>
      <c r="Y965" s="35" t="str">
        <f t="shared" ca="1" si="388"/>
        <v/>
      </c>
      <c r="Z965" s="36" t="str">
        <f t="shared" ca="1" si="389"/>
        <v/>
      </c>
      <c r="AA965" s="70" t="str">
        <f t="shared" si="390"/>
        <v/>
      </c>
      <c r="AB965" s="2"/>
      <c r="AC965" s="94" t="str">
        <f t="shared" si="370"/>
        <v/>
      </c>
      <c r="AD965" s="95" t="str">
        <f t="shared" si="371"/>
        <v/>
      </c>
      <c r="AE965" s="96" t="str">
        <f t="shared" si="372"/>
        <v/>
      </c>
      <c r="AF965" s="124" t="str">
        <f t="shared" si="373"/>
        <v/>
      </c>
      <c r="AG965" s="2"/>
      <c r="AH965" s="2"/>
      <c r="AI965" s="2"/>
      <c r="AJ965" s="2"/>
      <c r="AK965" s="2"/>
      <c r="AL965" s="2"/>
    </row>
    <row r="966" spans="1:38" x14ac:dyDescent="0.2">
      <c r="A966" s="45"/>
      <c r="B966" s="43" t="str">
        <f t="shared" si="376"/>
        <v/>
      </c>
      <c r="C966" s="96" t="str">
        <f t="shared" si="375"/>
        <v/>
      </c>
      <c r="D966" s="44" t="str">
        <f t="shared" si="377"/>
        <v/>
      </c>
      <c r="E966" s="52"/>
      <c r="F966" s="63" t="str">
        <f t="shared" si="378"/>
        <v/>
      </c>
      <c r="G966" s="56" t="str">
        <f t="shared" si="379"/>
        <v/>
      </c>
      <c r="H966" s="42"/>
      <c r="I966" s="2" t="str">
        <f t="shared" si="380"/>
        <v/>
      </c>
      <c r="J966" s="54" t="str">
        <f t="shared" si="367"/>
        <v/>
      </c>
      <c r="K966" s="55" t="str">
        <f t="shared" si="381"/>
        <v/>
      </c>
      <c r="L966" s="63" t="str">
        <f t="shared" si="382"/>
        <v/>
      </c>
      <c r="M966" s="96" t="str">
        <f t="shared" si="368"/>
        <v/>
      </c>
      <c r="N966" s="96" t="str">
        <f>IF(A966="","",IF(A966=Expiry,0,EXP(-q*Q966)*_xlfn.NORM.S.DIST(Y966,0)/(sigma*SQRT(Q966))*I966*Mult/100))</f>
        <v/>
      </c>
      <c r="O966" s="96" t="str">
        <f>IF(A966="","",IF(A966=Expiry,0,D966*E966*E966*EXP(-q*Q966)*_xlfn.NORM.S.DIST(Y966,0)*SQRT(Q966)/100))</f>
        <v/>
      </c>
      <c r="P966" s="69" t="str">
        <f>IF(A966="","",IF(A966=Expiry,0,AK966*I966*Mult*((-EXP(-q*Q966)*E966*_xlfn.NORM.S.DIST(Y966,0)*sigma/(2*SQRT(Q966))-r_dom*K*EXP(-r_dom*Q966)*_xlfn.NORM.S.DIST(Z966,1)+q*E966*EXP(-q*Q966)*_xlfn.NORM.S.DIST(Y966,1))/365)))</f>
        <v/>
      </c>
      <c r="Q966" s="83" t="str">
        <f t="shared" si="383"/>
        <v/>
      </c>
      <c r="R966" s="38"/>
      <c r="S966" s="68" t="str">
        <f t="shared" si="384"/>
        <v/>
      </c>
      <c r="T966" s="69" t="str">
        <f t="shared" si="385"/>
        <v/>
      </c>
      <c r="U966" s="70" t="str">
        <f t="shared" si="386"/>
        <v/>
      </c>
      <c r="V966" s="72" t="str">
        <f t="shared" si="387"/>
        <v/>
      </c>
      <c r="W966" s="2" t="str">
        <f t="shared" si="374"/>
        <v/>
      </c>
      <c r="X966" s="2" t="str">
        <f t="shared" si="369"/>
        <v/>
      </c>
      <c r="Y966" s="35" t="str">
        <f t="shared" ca="1" si="388"/>
        <v/>
      </c>
      <c r="Z966" s="36" t="str">
        <f t="shared" ca="1" si="389"/>
        <v/>
      </c>
      <c r="AA966" s="70" t="str">
        <f t="shared" si="390"/>
        <v/>
      </c>
      <c r="AB966" s="2"/>
      <c r="AC966" s="94" t="str">
        <f t="shared" si="370"/>
        <v/>
      </c>
      <c r="AD966" s="95" t="str">
        <f t="shared" si="371"/>
        <v/>
      </c>
      <c r="AE966" s="96" t="str">
        <f t="shared" si="372"/>
        <v/>
      </c>
      <c r="AF966" s="124" t="str">
        <f t="shared" si="373"/>
        <v/>
      </c>
      <c r="AG966" s="2"/>
      <c r="AH966" s="2"/>
      <c r="AI966" s="2"/>
      <c r="AJ966" s="2"/>
      <c r="AK966" s="2"/>
      <c r="AL966" s="2"/>
    </row>
    <row r="967" spans="1:38" x14ac:dyDescent="0.2">
      <c r="A967" s="45"/>
      <c r="B967" s="43" t="str">
        <f t="shared" si="376"/>
        <v/>
      </c>
      <c r="C967" s="96" t="str">
        <f t="shared" si="375"/>
        <v/>
      </c>
      <c r="D967" s="44" t="str">
        <f t="shared" si="377"/>
        <v/>
      </c>
      <c r="E967" s="52"/>
      <c r="F967" s="63" t="str">
        <f t="shared" si="378"/>
        <v/>
      </c>
      <c r="G967" s="56" t="str">
        <f t="shared" si="379"/>
        <v/>
      </c>
      <c r="H967" s="42"/>
      <c r="I967" s="2" t="str">
        <f t="shared" si="380"/>
        <v/>
      </c>
      <c r="J967" s="54" t="str">
        <f t="shared" si="367"/>
        <v/>
      </c>
      <c r="K967" s="55" t="str">
        <f t="shared" si="381"/>
        <v/>
      </c>
      <c r="L967" s="63" t="str">
        <f t="shared" si="382"/>
        <v/>
      </c>
      <c r="M967" s="96" t="str">
        <f t="shared" si="368"/>
        <v/>
      </c>
      <c r="N967" s="96" t="str">
        <f>IF(A967="","",IF(A967=Expiry,0,EXP(-q*Q967)*_xlfn.NORM.S.DIST(Y967,0)/(sigma*SQRT(Q967))*I967*Mult/100))</f>
        <v/>
      </c>
      <c r="O967" s="96" t="str">
        <f>IF(A967="","",IF(A967=Expiry,0,D967*E967*E967*EXP(-q*Q967)*_xlfn.NORM.S.DIST(Y967,0)*SQRT(Q967)/100))</f>
        <v/>
      </c>
      <c r="P967" s="69" t="str">
        <f>IF(A967="","",IF(A967=Expiry,0,AK967*I967*Mult*((-EXP(-q*Q967)*E967*_xlfn.NORM.S.DIST(Y967,0)*sigma/(2*SQRT(Q967))-r_dom*K*EXP(-r_dom*Q967)*_xlfn.NORM.S.DIST(Z967,1)+q*E967*EXP(-q*Q967)*_xlfn.NORM.S.DIST(Y967,1))/365)))</f>
        <v/>
      </c>
      <c r="Q967" s="83" t="str">
        <f t="shared" si="383"/>
        <v/>
      </c>
      <c r="R967" s="38"/>
      <c r="S967" s="68" t="str">
        <f t="shared" si="384"/>
        <v/>
      </c>
      <c r="T967" s="69" t="str">
        <f t="shared" si="385"/>
        <v/>
      </c>
      <c r="U967" s="70" t="str">
        <f t="shared" si="386"/>
        <v/>
      </c>
      <c r="V967" s="72" t="str">
        <f t="shared" si="387"/>
        <v/>
      </c>
      <c r="W967" s="2" t="str">
        <f t="shared" si="374"/>
        <v/>
      </c>
      <c r="X967" s="2" t="str">
        <f t="shared" si="369"/>
        <v/>
      </c>
      <c r="Y967" s="35" t="str">
        <f t="shared" ca="1" si="388"/>
        <v/>
      </c>
      <c r="Z967" s="36" t="str">
        <f t="shared" ca="1" si="389"/>
        <v/>
      </c>
      <c r="AA967" s="70" t="str">
        <f t="shared" si="390"/>
        <v/>
      </c>
      <c r="AB967" s="2"/>
      <c r="AC967" s="94" t="str">
        <f t="shared" si="370"/>
        <v/>
      </c>
      <c r="AD967" s="95" t="str">
        <f t="shared" si="371"/>
        <v/>
      </c>
      <c r="AE967" s="96" t="str">
        <f t="shared" si="372"/>
        <v/>
      </c>
      <c r="AF967" s="124" t="str">
        <f t="shared" si="373"/>
        <v/>
      </c>
      <c r="AG967" s="2"/>
      <c r="AH967" s="2"/>
      <c r="AI967" s="2"/>
      <c r="AJ967" s="2"/>
      <c r="AK967" s="2"/>
      <c r="AL967" s="2"/>
    </row>
    <row r="968" spans="1:38" x14ac:dyDescent="0.2">
      <c r="A968" s="45"/>
      <c r="B968" s="43" t="str">
        <f t="shared" si="376"/>
        <v/>
      </c>
      <c r="C968" s="96" t="str">
        <f t="shared" si="375"/>
        <v/>
      </c>
      <c r="D968" s="44" t="str">
        <f t="shared" si="377"/>
        <v/>
      </c>
      <c r="E968" s="52"/>
      <c r="F968" s="63" t="str">
        <f t="shared" si="378"/>
        <v/>
      </c>
      <c r="G968" s="56" t="str">
        <f t="shared" si="379"/>
        <v/>
      </c>
      <c r="H968" s="42"/>
      <c r="I968" s="2" t="str">
        <f t="shared" si="380"/>
        <v/>
      </c>
      <c r="J968" s="54" t="str">
        <f t="shared" si="367"/>
        <v/>
      </c>
      <c r="K968" s="55" t="str">
        <f t="shared" si="381"/>
        <v/>
      </c>
      <c r="L968" s="63" t="str">
        <f t="shared" si="382"/>
        <v/>
      </c>
      <c r="M968" s="96" t="str">
        <f t="shared" si="368"/>
        <v/>
      </c>
      <c r="N968" s="96" t="str">
        <f>IF(A968="","",IF(A968=Expiry,0,EXP(-q*Q968)*_xlfn.NORM.S.DIST(Y968,0)/(sigma*SQRT(Q968))*I968*Mult/100))</f>
        <v/>
      </c>
      <c r="O968" s="96" t="str">
        <f>IF(A968="","",IF(A968=Expiry,0,D968*E968*E968*EXP(-q*Q968)*_xlfn.NORM.S.DIST(Y968,0)*SQRT(Q968)/100))</f>
        <v/>
      </c>
      <c r="P968" s="69" t="str">
        <f>IF(A968="","",IF(A968=Expiry,0,AK968*I968*Mult*((-EXP(-q*Q968)*E968*_xlfn.NORM.S.DIST(Y968,0)*sigma/(2*SQRT(Q968))-r_dom*K*EXP(-r_dom*Q968)*_xlfn.NORM.S.DIST(Z968,1)+q*E968*EXP(-q*Q968)*_xlfn.NORM.S.DIST(Y968,1))/365)))</f>
        <v/>
      </c>
      <c r="Q968" s="83" t="str">
        <f t="shared" si="383"/>
        <v/>
      </c>
      <c r="R968" s="38"/>
      <c r="S968" s="68" t="str">
        <f t="shared" si="384"/>
        <v/>
      </c>
      <c r="T968" s="69" t="str">
        <f t="shared" si="385"/>
        <v/>
      </c>
      <c r="U968" s="70" t="str">
        <f t="shared" si="386"/>
        <v/>
      </c>
      <c r="V968" s="72" t="str">
        <f t="shared" si="387"/>
        <v/>
      </c>
      <c r="W968" s="2" t="str">
        <f t="shared" si="374"/>
        <v/>
      </c>
      <c r="X968" s="2" t="str">
        <f t="shared" si="369"/>
        <v/>
      </c>
      <c r="Y968" s="35" t="str">
        <f t="shared" ca="1" si="388"/>
        <v/>
      </c>
      <c r="Z968" s="36" t="str">
        <f t="shared" ca="1" si="389"/>
        <v/>
      </c>
      <c r="AA968" s="70" t="str">
        <f t="shared" si="390"/>
        <v/>
      </c>
      <c r="AB968" s="2"/>
      <c r="AC968" s="94" t="str">
        <f t="shared" si="370"/>
        <v/>
      </c>
      <c r="AD968" s="95" t="str">
        <f t="shared" si="371"/>
        <v/>
      </c>
      <c r="AE968" s="96" t="str">
        <f t="shared" si="372"/>
        <v/>
      </c>
      <c r="AF968" s="124" t="str">
        <f t="shared" si="373"/>
        <v/>
      </c>
      <c r="AG968" s="2"/>
      <c r="AH968" s="2"/>
      <c r="AI968" s="2"/>
      <c r="AJ968" s="2"/>
      <c r="AK968" s="2"/>
      <c r="AL968" s="2"/>
    </row>
    <row r="969" spans="1:38" x14ac:dyDescent="0.2">
      <c r="A969" s="45"/>
      <c r="B969" s="43" t="str">
        <f t="shared" si="376"/>
        <v/>
      </c>
      <c r="C969" s="96" t="str">
        <f t="shared" si="375"/>
        <v/>
      </c>
      <c r="D969" s="44" t="str">
        <f t="shared" si="377"/>
        <v/>
      </c>
      <c r="E969" s="52"/>
      <c r="F969" s="63" t="str">
        <f t="shared" si="378"/>
        <v/>
      </c>
      <c r="G969" s="56" t="str">
        <f t="shared" si="379"/>
        <v/>
      </c>
      <c r="H969" s="42"/>
      <c r="I969" s="2" t="str">
        <f t="shared" si="380"/>
        <v/>
      </c>
      <c r="J969" s="54" t="str">
        <f t="shared" si="367"/>
        <v/>
      </c>
      <c r="K969" s="55" t="str">
        <f t="shared" si="381"/>
        <v/>
      </c>
      <c r="L969" s="63" t="str">
        <f t="shared" si="382"/>
        <v/>
      </c>
      <c r="M969" s="96" t="str">
        <f t="shared" si="368"/>
        <v/>
      </c>
      <c r="N969" s="96" t="str">
        <f>IF(A969="","",IF(A969=Expiry,0,EXP(-q*Q969)*_xlfn.NORM.S.DIST(Y969,0)/(sigma*SQRT(Q969))*I969*Mult/100))</f>
        <v/>
      </c>
      <c r="O969" s="96" t="str">
        <f>IF(A969="","",IF(A969=Expiry,0,D969*E969*E969*EXP(-q*Q969)*_xlfn.NORM.S.DIST(Y969,0)*SQRT(Q969)/100))</f>
        <v/>
      </c>
      <c r="P969" s="69" t="str">
        <f>IF(A969="","",IF(A969=Expiry,0,AK969*I969*Mult*((-EXP(-q*Q969)*E969*_xlfn.NORM.S.DIST(Y969,0)*sigma/(2*SQRT(Q969))-r_dom*K*EXP(-r_dom*Q969)*_xlfn.NORM.S.DIST(Z969,1)+q*E969*EXP(-q*Q969)*_xlfn.NORM.S.DIST(Y969,1))/365)))</f>
        <v/>
      </c>
      <c r="Q969" s="83" t="str">
        <f t="shared" si="383"/>
        <v/>
      </c>
      <c r="R969" s="38"/>
      <c r="S969" s="68" t="str">
        <f t="shared" si="384"/>
        <v/>
      </c>
      <c r="T969" s="69" t="str">
        <f t="shared" si="385"/>
        <v/>
      </c>
      <c r="U969" s="70" t="str">
        <f t="shared" si="386"/>
        <v/>
      </c>
      <c r="V969" s="72" t="str">
        <f t="shared" si="387"/>
        <v/>
      </c>
      <c r="W969" s="2" t="str">
        <f t="shared" si="374"/>
        <v/>
      </c>
      <c r="X969" s="2" t="str">
        <f t="shared" si="369"/>
        <v/>
      </c>
      <c r="Y969" s="35" t="str">
        <f t="shared" ca="1" si="388"/>
        <v/>
      </c>
      <c r="Z969" s="36" t="str">
        <f t="shared" ca="1" si="389"/>
        <v/>
      </c>
      <c r="AA969" s="70" t="str">
        <f t="shared" si="390"/>
        <v/>
      </c>
      <c r="AB969" s="2"/>
      <c r="AC969" s="94" t="str">
        <f t="shared" si="370"/>
        <v/>
      </c>
      <c r="AD969" s="95" t="str">
        <f t="shared" si="371"/>
        <v/>
      </c>
      <c r="AE969" s="96" t="str">
        <f t="shared" si="372"/>
        <v/>
      </c>
      <c r="AF969" s="124" t="str">
        <f t="shared" si="373"/>
        <v/>
      </c>
      <c r="AG969" s="2"/>
      <c r="AH969" s="2"/>
      <c r="AI969" s="2"/>
      <c r="AJ969" s="2"/>
      <c r="AK969" s="2"/>
      <c r="AL969" s="2"/>
    </row>
    <row r="970" spans="1:38" x14ac:dyDescent="0.2">
      <c r="A970" s="45"/>
      <c r="B970" s="43" t="str">
        <f t="shared" si="376"/>
        <v/>
      </c>
      <c r="C970" s="96" t="str">
        <f t="shared" si="375"/>
        <v/>
      </c>
      <c r="D970" s="44" t="str">
        <f t="shared" si="377"/>
        <v/>
      </c>
      <c r="E970" s="52"/>
      <c r="F970" s="63" t="str">
        <f t="shared" si="378"/>
        <v/>
      </c>
      <c r="G970" s="56" t="str">
        <f t="shared" si="379"/>
        <v/>
      </c>
      <c r="H970" s="42"/>
      <c r="I970" s="2" t="str">
        <f t="shared" si="380"/>
        <v/>
      </c>
      <c r="J970" s="54" t="str">
        <f t="shared" si="367"/>
        <v/>
      </c>
      <c r="K970" s="55" t="str">
        <f t="shared" si="381"/>
        <v/>
      </c>
      <c r="L970" s="63" t="str">
        <f t="shared" si="382"/>
        <v/>
      </c>
      <c r="M970" s="96" t="str">
        <f t="shared" si="368"/>
        <v/>
      </c>
      <c r="N970" s="96" t="str">
        <f>IF(A970="","",IF(A970=Expiry,0,EXP(-q*Q970)*_xlfn.NORM.S.DIST(Y970,0)/(sigma*SQRT(Q970))*I970*Mult/100))</f>
        <v/>
      </c>
      <c r="O970" s="96" t="str">
        <f>IF(A970="","",IF(A970=Expiry,0,D970*E970*E970*EXP(-q*Q970)*_xlfn.NORM.S.DIST(Y970,0)*SQRT(Q970)/100))</f>
        <v/>
      </c>
      <c r="P970" s="69" t="str">
        <f>IF(A970="","",IF(A970=Expiry,0,AK970*I970*Mult*((-EXP(-q*Q970)*E970*_xlfn.NORM.S.DIST(Y970,0)*sigma/(2*SQRT(Q970))-r_dom*K*EXP(-r_dom*Q970)*_xlfn.NORM.S.DIST(Z970,1)+q*E970*EXP(-q*Q970)*_xlfn.NORM.S.DIST(Y970,1))/365)))</f>
        <v/>
      </c>
      <c r="Q970" s="83" t="str">
        <f t="shared" si="383"/>
        <v/>
      </c>
      <c r="R970" s="38"/>
      <c r="S970" s="68" t="str">
        <f t="shared" si="384"/>
        <v/>
      </c>
      <c r="T970" s="69" t="str">
        <f t="shared" si="385"/>
        <v/>
      </c>
      <c r="U970" s="70" t="str">
        <f t="shared" si="386"/>
        <v/>
      </c>
      <c r="V970" s="72" t="str">
        <f t="shared" si="387"/>
        <v/>
      </c>
      <c r="W970" s="2" t="str">
        <f t="shared" si="374"/>
        <v/>
      </c>
      <c r="X970" s="2" t="str">
        <f t="shared" si="369"/>
        <v/>
      </c>
      <c r="Y970" s="35" t="str">
        <f t="shared" ca="1" si="388"/>
        <v/>
      </c>
      <c r="Z970" s="36" t="str">
        <f t="shared" ca="1" si="389"/>
        <v/>
      </c>
      <c r="AA970" s="70" t="str">
        <f t="shared" si="390"/>
        <v/>
      </c>
      <c r="AB970" s="2"/>
      <c r="AC970" s="94" t="str">
        <f t="shared" si="370"/>
        <v/>
      </c>
      <c r="AD970" s="95" t="str">
        <f t="shared" si="371"/>
        <v/>
      </c>
      <c r="AE970" s="96" t="str">
        <f t="shared" si="372"/>
        <v/>
      </c>
      <c r="AF970" s="124" t="str">
        <f t="shared" si="373"/>
        <v/>
      </c>
      <c r="AG970" s="2"/>
      <c r="AH970" s="2"/>
      <c r="AI970" s="2"/>
      <c r="AJ970" s="2"/>
      <c r="AK970" s="2"/>
      <c r="AL970" s="2"/>
    </row>
    <row r="971" spans="1:38" x14ac:dyDescent="0.2">
      <c r="A971" s="45"/>
      <c r="B971" s="43" t="str">
        <f t="shared" si="376"/>
        <v/>
      </c>
      <c r="C971" s="96" t="str">
        <f t="shared" si="375"/>
        <v/>
      </c>
      <c r="D971" s="44" t="str">
        <f t="shared" si="377"/>
        <v/>
      </c>
      <c r="E971" s="52"/>
      <c r="F971" s="63" t="str">
        <f t="shared" si="378"/>
        <v/>
      </c>
      <c r="G971" s="56" t="str">
        <f t="shared" si="379"/>
        <v/>
      </c>
      <c r="H971" s="42"/>
      <c r="I971" s="2" t="str">
        <f t="shared" si="380"/>
        <v/>
      </c>
      <c r="J971" s="54" t="str">
        <f t="shared" si="367"/>
        <v/>
      </c>
      <c r="K971" s="55" t="str">
        <f t="shared" si="381"/>
        <v/>
      </c>
      <c r="L971" s="63" t="str">
        <f t="shared" si="382"/>
        <v/>
      </c>
      <c r="M971" s="96" t="str">
        <f t="shared" si="368"/>
        <v/>
      </c>
      <c r="N971" s="96" t="str">
        <f>IF(A971="","",IF(A971=Expiry,0,EXP(-q*Q971)*_xlfn.NORM.S.DIST(Y971,0)/(sigma*SQRT(Q971))*I971*Mult/100))</f>
        <v/>
      </c>
      <c r="O971" s="96" t="str">
        <f>IF(A971="","",IF(A971=Expiry,0,D971*E971*E971*EXP(-q*Q971)*_xlfn.NORM.S.DIST(Y971,0)*SQRT(Q971)/100))</f>
        <v/>
      </c>
      <c r="P971" s="69" t="str">
        <f>IF(A971="","",IF(A971=Expiry,0,AK971*I971*Mult*((-EXP(-q*Q971)*E971*_xlfn.NORM.S.DIST(Y971,0)*sigma/(2*SQRT(Q971))-r_dom*K*EXP(-r_dom*Q971)*_xlfn.NORM.S.DIST(Z971,1)+q*E971*EXP(-q*Q971)*_xlfn.NORM.S.DIST(Y971,1))/365)))</f>
        <v/>
      </c>
      <c r="Q971" s="83" t="str">
        <f t="shared" si="383"/>
        <v/>
      </c>
      <c r="R971" s="38"/>
      <c r="S971" s="68" t="str">
        <f t="shared" si="384"/>
        <v/>
      </c>
      <c r="T971" s="69" t="str">
        <f t="shared" si="385"/>
        <v/>
      </c>
      <c r="U971" s="70" t="str">
        <f t="shared" si="386"/>
        <v/>
      </c>
      <c r="V971" s="72" t="str">
        <f t="shared" si="387"/>
        <v/>
      </c>
      <c r="W971" s="2" t="str">
        <f t="shared" si="374"/>
        <v/>
      </c>
      <c r="X971" s="2" t="str">
        <f t="shared" si="369"/>
        <v/>
      </c>
      <c r="Y971" s="35" t="str">
        <f t="shared" ca="1" si="388"/>
        <v/>
      </c>
      <c r="Z971" s="36" t="str">
        <f t="shared" ca="1" si="389"/>
        <v/>
      </c>
      <c r="AA971" s="70" t="str">
        <f t="shared" si="390"/>
        <v/>
      </c>
      <c r="AB971" s="2"/>
      <c r="AC971" s="94" t="str">
        <f t="shared" si="370"/>
        <v/>
      </c>
      <c r="AD971" s="95" t="str">
        <f t="shared" si="371"/>
        <v/>
      </c>
      <c r="AE971" s="96" t="str">
        <f t="shared" si="372"/>
        <v/>
      </c>
      <c r="AF971" s="124" t="str">
        <f t="shared" si="373"/>
        <v/>
      </c>
      <c r="AG971" s="2"/>
      <c r="AH971" s="2"/>
      <c r="AI971" s="2"/>
      <c r="AJ971" s="2"/>
      <c r="AK971" s="2"/>
      <c r="AL971" s="2"/>
    </row>
    <row r="972" spans="1:38" x14ac:dyDescent="0.2">
      <c r="A972" s="45"/>
      <c r="B972" s="43" t="str">
        <f t="shared" si="376"/>
        <v/>
      </c>
      <c r="C972" s="96" t="str">
        <f t="shared" si="375"/>
        <v/>
      </c>
      <c r="D972" s="44" t="str">
        <f t="shared" si="377"/>
        <v/>
      </c>
      <c r="E972" s="52"/>
      <c r="F972" s="63" t="str">
        <f t="shared" si="378"/>
        <v/>
      </c>
      <c r="G972" s="56" t="str">
        <f t="shared" si="379"/>
        <v/>
      </c>
      <c r="H972" s="42"/>
      <c r="I972" s="2" t="str">
        <f t="shared" si="380"/>
        <v/>
      </c>
      <c r="J972" s="54" t="str">
        <f t="shared" si="367"/>
        <v/>
      </c>
      <c r="K972" s="55" t="str">
        <f t="shared" si="381"/>
        <v/>
      </c>
      <c r="L972" s="63" t="str">
        <f t="shared" si="382"/>
        <v/>
      </c>
      <c r="M972" s="96" t="str">
        <f t="shared" si="368"/>
        <v/>
      </c>
      <c r="N972" s="96" t="str">
        <f>IF(A972="","",IF(A972=Expiry,0,EXP(-q*Q972)*_xlfn.NORM.S.DIST(Y972,0)/(sigma*SQRT(Q972))*I972*Mult/100))</f>
        <v/>
      </c>
      <c r="O972" s="96" t="str">
        <f>IF(A972="","",IF(A972=Expiry,0,D972*E972*E972*EXP(-q*Q972)*_xlfn.NORM.S.DIST(Y972,0)*SQRT(Q972)/100))</f>
        <v/>
      </c>
      <c r="P972" s="69" t="str">
        <f>IF(A972="","",IF(A972=Expiry,0,AK972*I972*Mult*((-EXP(-q*Q972)*E972*_xlfn.NORM.S.DIST(Y972,0)*sigma/(2*SQRT(Q972))-r_dom*K*EXP(-r_dom*Q972)*_xlfn.NORM.S.DIST(Z972,1)+q*E972*EXP(-q*Q972)*_xlfn.NORM.S.DIST(Y972,1))/365)))</f>
        <v/>
      </c>
      <c r="Q972" s="83" t="str">
        <f t="shared" si="383"/>
        <v/>
      </c>
      <c r="R972" s="38"/>
      <c r="S972" s="68" t="str">
        <f t="shared" si="384"/>
        <v/>
      </c>
      <c r="T972" s="69" t="str">
        <f t="shared" si="385"/>
        <v/>
      </c>
      <c r="U972" s="70" t="str">
        <f t="shared" si="386"/>
        <v/>
      </c>
      <c r="V972" s="72" t="str">
        <f t="shared" si="387"/>
        <v/>
      </c>
      <c r="W972" s="2" t="str">
        <f t="shared" si="374"/>
        <v/>
      </c>
      <c r="X972" s="2" t="str">
        <f t="shared" si="369"/>
        <v/>
      </c>
      <c r="Y972" s="35" t="str">
        <f t="shared" ca="1" si="388"/>
        <v/>
      </c>
      <c r="Z972" s="36" t="str">
        <f t="shared" ca="1" si="389"/>
        <v/>
      </c>
      <c r="AA972" s="70" t="str">
        <f t="shared" si="390"/>
        <v/>
      </c>
      <c r="AB972" s="2"/>
      <c r="AC972" s="94" t="str">
        <f t="shared" si="370"/>
        <v/>
      </c>
      <c r="AD972" s="95" t="str">
        <f t="shared" si="371"/>
        <v/>
      </c>
      <c r="AE972" s="96" t="str">
        <f t="shared" si="372"/>
        <v/>
      </c>
      <c r="AF972" s="124" t="str">
        <f t="shared" si="373"/>
        <v/>
      </c>
      <c r="AG972" s="2"/>
      <c r="AH972" s="2"/>
      <c r="AI972" s="2"/>
      <c r="AJ972" s="2"/>
      <c r="AK972" s="2"/>
      <c r="AL972" s="2"/>
    </row>
    <row r="973" spans="1:38" x14ac:dyDescent="0.2">
      <c r="A973" s="45"/>
      <c r="B973" s="43" t="str">
        <f t="shared" si="376"/>
        <v/>
      </c>
      <c r="C973" s="96" t="str">
        <f t="shared" si="375"/>
        <v/>
      </c>
      <c r="D973" s="44" t="str">
        <f t="shared" si="377"/>
        <v/>
      </c>
      <c r="E973" s="52"/>
      <c r="F973" s="63" t="str">
        <f t="shared" si="378"/>
        <v/>
      </c>
      <c r="G973" s="56" t="str">
        <f t="shared" si="379"/>
        <v/>
      </c>
      <c r="H973" s="42"/>
      <c r="I973" s="2" t="str">
        <f t="shared" si="380"/>
        <v/>
      </c>
      <c r="J973" s="54" t="str">
        <f t="shared" si="367"/>
        <v/>
      </c>
      <c r="K973" s="55" t="str">
        <f t="shared" si="381"/>
        <v/>
      </c>
      <c r="L973" s="63" t="str">
        <f t="shared" si="382"/>
        <v/>
      </c>
      <c r="M973" s="96" t="str">
        <f t="shared" si="368"/>
        <v/>
      </c>
      <c r="N973" s="96" t="str">
        <f>IF(A973="","",IF(A973=Expiry,0,EXP(-q*Q973)*_xlfn.NORM.S.DIST(Y973,0)/(sigma*SQRT(Q973))*I973*Mult/100))</f>
        <v/>
      </c>
      <c r="O973" s="96" t="str">
        <f>IF(A973="","",IF(A973=Expiry,0,D973*E973*E973*EXP(-q*Q973)*_xlfn.NORM.S.DIST(Y973,0)*SQRT(Q973)/100))</f>
        <v/>
      </c>
      <c r="P973" s="69" t="str">
        <f>IF(A973="","",IF(A973=Expiry,0,AK973*I973*Mult*((-EXP(-q*Q973)*E973*_xlfn.NORM.S.DIST(Y973,0)*sigma/(2*SQRT(Q973))-r_dom*K*EXP(-r_dom*Q973)*_xlfn.NORM.S.DIST(Z973,1)+q*E973*EXP(-q*Q973)*_xlfn.NORM.S.DIST(Y973,1))/365)))</f>
        <v/>
      </c>
      <c r="Q973" s="83" t="str">
        <f t="shared" si="383"/>
        <v/>
      </c>
      <c r="R973" s="38"/>
      <c r="S973" s="68" t="str">
        <f t="shared" si="384"/>
        <v/>
      </c>
      <c r="T973" s="69" t="str">
        <f t="shared" si="385"/>
        <v/>
      </c>
      <c r="U973" s="70" t="str">
        <f t="shared" si="386"/>
        <v/>
      </c>
      <c r="V973" s="72" t="str">
        <f t="shared" si="387"/>
        <v/>
      </c>
      <c r="W973" s="2" t="str">
        <f t="shared" si="374"/>
        <v/>
      </c>
      <c r="X973" s="2" t="str">
        <f t="shared" si="369"/>
        <v/>
      </c>
      <c r="Y973" s="35" t="str">
        <f t="shared" ca="1" si="388"/>
        <v/>
      </c>
      <c r="Z973" s="36" t="str">
        <f t="shared" ca="1" si="389"/>
        <v/>
      </c>
      <c r="AA973" s="70" t="str">
        <f t="shared" si="390"/>
        <v/>
      </c>
      <c r="AB973" s="2"/>
      <c r="AC973" s="94" t="str">
        <f t="shared" si="370"/>
        <v/>
      </c>
      <c r="AD973" s="95" t="str">
        <f t="shared" si="371"/>
        <v/>
      </c>
      <c r="AE973" s="96" t="str">
        <f t="shared" si="372"/>
        <v/>
      </c>
      <c r="AF973" s="124" t="str">
        <f t="shared" si="373"/>
        <v/>
      </c>
      <c r="AG973" s="2"/>
      <c r="AH973" s="2"/>
      <c r="AI973" s="2"/>
      <c r="AJ973" s="2"/>
      <c r="AK973" s="2"/>
      <c r="AL973" s="2"/>
    </row>
    <row r="974" spans="1:38" x14ac:dyDescent="0.2">
      <c r="A974" s="45"/>
      <c r="B974" s="43" t="str">
        <f t="shared" si="376"/>
        <v/>
      </c>
      <c r="C974" s="96" t="str">
        <f t="shared" si="375"/>
        <v/>
      </c>
      <c r="D974" s="44" t="str">
        <f t="shared" si="377"/>
        <v/>
      </c>
      <c r="E974" s="52"/>
      <c r="F974" s="63" t="str">
        <f t="shared" si="378"/>
        <v/>
      </c>
      <c r="G974" s="56" t="str">
        <f t="shared" si="379"/>
        <v/>
      </c>
      <c r="H974" s="42"/>
      <c r="I974" s="2" t="str">
        <f t="shared" si="380"/>
        <v/>
      </c>
      <c r="J974" s="54" t="str">
        <f t="shared" si="367"/>
        <v/>
      </c>
      <c r="K974" s="55" t="str">
        <f t="shared" si="381"/>
        <v/>
      </c>
      <c r="L974" s="63" t="str">
        <f t="shared" si="382"/>
        <v/>
      </c>
      <c r="M974" s="96" t="str">
        <f t="shared" si="368"/>
        <v/>
      </c>
      <c r="N974" s="96" t="str">
        <f>IF(A974="","",IF(A974=Expiry,0,EXP(-q*Q974)*_xlfn.NORM.S.DIST(Y974,0)/(sigma*SQRT(Q974))*I974*Mult/100))</f>
        <v/>
      </c>
      <c r="O974" s="96" t="str">
        <f>IF(A974="","",IF(A974=Expiry,0,D974*E974*E974*EXP(-q*Q974)*_xlfn.NORM.S.DIST(Y974,0)*SQRT(Q974)/100))</f>
        <v/>
      </c>
      <c r="P974" s="69" t="str">
        <f>IF(A974="","",IF(A974=Expiry,0,AK974*I974*Mult*((-EXP(-q*Q974)*E974*_xlfn.NORM.S.DIST(Y974,0)*sigma/(2*SQRT(Q974))-r_dom*K*EXP(-r_dom*Q974)*_xlfn.NORM.S.DIST(Z974,1)+q*E974*EXP(-q*Q974)*_xlfn.NORM.S.DIST(Y974,1))/365)))</f>
        <v/>
      </c>
      <c r="Q974" s="83" t="str">
        <f t="shared" si="383"/>
        <v/>
      </c>
      <c r="R974" s="38"/>
      <c r="S974" s="68" t="str">
        <f t="shared" si="384"/>
        <v/>
      </c>
      <c r="T974" s="69" t="str">
        <f t="shared" si="385"/>
        <v/>
      </c>
      <c r="U974" s="70" t="str">
        <f t="shared" si="386"/>
        <v/>
      </c>
      <c r="V974" s="72" t="str">
        <f t="shared" si="387"/>
        <v/>
      </c>
      <c r="W974" s="2" t="str">
        <f t="shared" si="374"/>
        <v/>
      </c>
      <c r="X974" s="2" t="str">
        <f t="shared" si="369"/>
        <v/>
      </c>
      <c r="Y974" s="35" t="str">
        <f t="shared" ca="1" si="388"/>
        <v/>
      </c>
      <c r="Z974" s="36" t="str">
        <f t="shared" ca="1" si="389"/>
        <v/>
      </c>
      <c r="AA974" s="70" t="str">
        <f t="shared" si="390"/>
        <v/>
      </c>
      <c r="AB974" s="2"/>
      <c r="AC974" s="94" t="str">
        <f t="shared" si="370"/>
        <v/>
      </c>
      <c r="AD974" s="95" t="str">
        <f t="shared" si="371"/>
        <v/>
      </c>
      <c r="AE974" s="96" t="str">
        <f t="shared" si="372"/>
        <v/>
      </c>
      <c r="AF974" s="124" t="str">
        <f t="shared" si="373"/>
        <v/>
      </c>
      <c r="AG974" s="2"/>
      <c r="AH974" s="2"/>
      <c r="AI974" s="2"/>
      <c r="AJ974" s="2"/>
      <c r="AK974" s="2"/>
      <c r="AL974" s="2"/>
    </row>
    <row r="975" spans="1:38" x14ac:dyDescent="0.2">
      <c r="A975" s="45"/>
      <c r="B975" s="43" t="str">
        <f t="shared" si="376"/>
        <v/>
      </c>
      <c r="C975" s="96" t="str">
        <f t="shared" si="375"/>
        <v/>
      </c>
      <c r="D975" s="44" t="str">
        <f t="shared" si="377"/>
        <v/>
      </c>
      <c r="E975" s="52"/>
      <c r="F975" s="63" t="str">
        <f t="shared" si="378"/>
        <v/>
      </c>
      <c r="G975" s="56" t="str">
        <f t="shared" si="379"/>
        <v/>
      </c>
      <c r="H975" s="42"/>
      <c r="I975" s="2" t="str">
        <f t="shared" si="380"/>
        <v/>
      </c>
      <c r="J975" s="54" t="str">
        <f t="shared" si="367"/>
        <v/>
      </c>
      <c r="K975" s="55" t="str">
        <f t="shared" si="381"/>
        <v/>
      </c>
      <c r="L975" s="63" t="str">
        <f t="shared" si="382"/>
        <v/>
      </c>
      <c r="M975" s="96" t="str">
        <f t="shared" si="368"/>
        <v/>
      </c>
      <c r="N975" s="96" t="str">
        <f>IF(A975="","",IF(A975=Expiry,0,EXP(-q*Q975)*_xlfn.NORM.S.DIST(Y975,0)/(sigma*SQRT(Q975))*I975*Mult/100))</f>
        <v/>
      </c>
      <c r="O975" s="96" t="str">
        <f>IF(A975="","",IF(A975=Expiry,0,D975*E975*E975*EXP(-q*Q975)*_xlfn.NORM.S.DIST(Y975,0)*SQRT(Q975)/100))</f>
        <v/>
      </c>
      <c r="P975" s="69" t="str">
        <f>IF(A975="","",IF(A975=Expiry,0,AK975*I975*Mult*((-EXP(-q*Q975)*E975*_xlfn.NORM.S.DIST(Y975,0)*sigma/(2*SQRT(Q975))-r_dom*K*EXP(-r_dom*Q975)*_xlfn.NORM.S.DIST(Z975,1)+q*E975*EXP(-q*Q975)*_xlfn.NORM.S.DIST(Y975,1))/365)))</f>
        <v/>
      </c>
      <c r="Q975" s="83" t="str">
        <f t="shared" si="383"/>
        <v/>
      </c>
      <c r="R975" s="38"/>
      <c r="S975" s="68" t="str">
        <f t="shared" si="384"/>
        <v/>
      </c>
      <c r="T975" s="69" t="str">
        <f t="shared" si="385"/>
        <v/>
      </c>
      <c r="U975" s="70" t="str">
        <f t="shared" si="386"/>
        <v/>
      </c>
      <c r="V975" s="72" t="str">
        <f t="shared" si="387"/>
        <v/>
      </c>
      <c r="W975" s="2" t="str">
        <f t="shared" si="374"/>
        <v/>
      </c>
      <c r="X975" s="2" t="str">
        <f t="shared" si="369"/>
        <v/>
      </c>
      <c r="Y975" s="35" t="str">
        <f t="shared" ca="1" si="388"/>
        <v/>
      </c>
      <c r="Z975" s="36" t="str">
        <f t="shared" ca="1" si="389"/>
        <v/>
      </c>
      <c r="AA975" s="70" t="str">
        <f t="shared" si="390"/>
        <v/>
      </c>
      <c r="AB975" s="2"/>
      <c r="AC975" s="94" t="str">
        <f t="shared" si="370"/>
        <v/>
      </c>
      <c r="AD975" s="95" t="str">
        <f t="shared" si="371"/>
        <v/>
      </c>
      <c r="AE975" s="96" t="str">
        <f t="shared" si="372"/>
        <v/>
      </c>
      <c r="AF975" s="124" t="str">
        <f t="shared" si="373"/>
        <v/>
      </c>
      <c r="AG975" s="2"/>
      <c r="AH975" s="2"/>
      <c r="AI975" s="2"/>
      <c r="AJ975" s="2"/>
      <c r="AK975" s="2"/>
      <c r="AL975" s="2"/>
    </row>
    <row r="976" spans="1:38" x14ac:dyDescent="0.2">
      <c r="A976" s="45"/>
      <c r="B976" s="43" t="str">
        <f t="shared" si="376"/>
        <v/>
      </c>
      <c r="C976" s="96" t="str">
        <f t="shared" si="375"/>
        <v/>
      </c>
      <c r="D976" s="44" t="str">
        <f t="shared" si="377"/>
        <v/>
      </c>
      <c r="E976" s="52"/>
      <c r="F976" s="63" t="str">
        <f t="shared" si="378"/>
        <v/>
      </c>
      <c r="G976" s="56" t="str">
        <f t="shared" si="379"/>
        <v/>
      </c>
      <c r="H976" s="42"/>
      <c r="I976" s="2" t="str">
        <f t="shared" si="380"/>
        <v/>
      </c>
      <c r="J976" s="54" t="str">
        <f t="shared" si="367"/>
        <v/>
      </c>
      <c r="K976" s="55" t="str">
        <f t="shared" si="381"/>
        <v/>
      </c>
      <c r="L976" s="63" t="str">
        <f t="shared" si="382"/>
        <v/>
      </c>
      <c r="M976" s="96" t="str">
        <f t="shared" si="368"/>
        <v/>
      </c>
      <c r="N976" s="96" t="str">
        <f>IF(A976="","",IF(A976=Expiry,0,EXP(-q*Q976)*_xlfn.NORM.S.DIST(Y976,0)/(sigma*SQRT(Q976))*I976*Mult/100))</f>
        <v/>
      </c>
      <c r="O976" s="96" t="str">
        <f>IF(A976="","",IF(A976=Expiry,0,D976*E976*E976*EXP(-q*Q976)*_xlfn.NORM.S.DIST(Y976,0)*SQRT(Q976)/100))</f>
        <v/>
      </c>
      <c r="P976" s="69" t="str">
        <f>IF(A976="","",IF(A976=Expiry,0,AK976*I976*Mult*((-EXP(-q*Q976)*E976*_xlfn.NORM.S.DIST(Y976,0)*sigma/(2*SQRT(Q976))-r_dom*K*EXP(-r_dom*Q976)*_xlfn.NORM.S.DIST(Z976,1)+q*E976*EXP(-q*Q976)*_xlfn.NORM.S.DIST(Y976,1))/365)))</f>
        <v/>
      </c>
      <c r="Q976" s="83" t="str">
        <f t="shared" si="383"/>
        <v/>
      </c>
      <c r="R976" s="38"/>
      <c r="S976" s="68" t="str">
        <f t="shared" si="384"/>
        <v/>
      </c>
      <c r="T976" s="69" t="str">
        <f t="shared" si="385"/>
        <v/>
      </c>
      <c r="U976" s="70" t="str">
        <f t="shared" si="386"/>
        <v/>
      </c>
      <c r="V976" s="72" t="str">
        <f t="shared" si="387"/>
        <v/>
      </c>
      <c r="W976" s="2" t="str">
        <f t="shared" si="374"/>
        <v/>
      </c>
      <c r="X976" s="2" t="str">
        <f t="shared" si="369"/>
        <v/>
      </c>
      <c r="Y976" s="35" t="str">
        <f t="shared" ca="1" si="388"/>
        <v/>
      </c>
      <c r="Z976" s="36" t="str">
        <f t="shared" ca="1" si="389"/>
        <v/>
      </c>
      <c r="AA976" s="70" t="str">
        <f t="shared" si="390"/>
        <v/>
      </c>
      <c r="AB976" s="2"/>
      <c r="AC976" s="94" t="str">
        <f t="shared" si="370"/>
        <v/>
      </c>
      <c r="AD976" s="95" t="str">
        <f t="shared" si="371"/>
        <v/>
      </c>
      <c r="AE976" s="96" t="str">
        <f t="shared" si="372"/>
        <v/>
      </c>
      <c r="AF976" s="124" t="str">
        <f t="shared" si="373"/>
        <v/>
      </c>
      <c r="AG976" s="2"/>
      <c r="AH976" s="2"/>
      <c r="AI976" s="2"/>
      <c r="AJ976" s="2"/>
      <c r="AK976" s="2"/>
      <c r="AL976" s="2"/>
    </row>
    <row r="977" spans="1:38" x14ac:dyDescent="0.2">
      <c r="A977" s="45"/>
      <c r="B977" s="43" t="str">
        <f t="shared" si="376"/>
        <v/>
      </c>
      <c r="C977" s="96" t="str">
        <f t="shared" si="375"/>
        <v/>
      </c>
      <c r="D977" s="44" t="str">
        <f t="shared" si="377"/>
        <v/>
      </c>
      <c r="E977" s="52"/>
      <c r="F977" s="63" t="str">
        <f t="shared" si="378"/>
        <v/>
      </c>
      <c r="G977" s="56" t="str">
        <f t="shared" si="379"/>
        <v/>
      </c>
      <c r="H977" s="42"/>
      <c r="I977" s="2" t="str">
        <f t="shared" si="380"/>
        <v/>
      </c>
      <c r="J977" s="54" t="str">
        <f t="shared" si="367"/>
        <v/>
      </c>
      <c r="K977" s="55" t="str">
        <f t="shared" si="381"/>
        <v/>
      </c>
      <c r="L977" s="63" t="str">
        <f t="shared" si="382"/>
        <v/>
      </c>
      <c r="M977" s="96" t="str">
        <f t="shared" si="368"/>
        <v/>
      </c>
      <c r="N977" s="96" t="str">
        <f>IF(A977="","",IF(A977=Expiry,0,EXP(-q*Q977)*_xlfn.NORM.S.DIST(Y977,0)/(sigma*SQRT(Q977))*I977*Mult/100))</f>
        <v/>
      </c>
      <c r="O977" s="96" t="str">
        <f>IF(A977="","",IF(A977=Expiry,0,D977*E977*E977*EXP(-q*Q977)*_xlfn.NORM.S.DIST(Y977,0)*SQRT(Q977)/100))</f>
        <v/>
      </c>
      <c r="P977" s="69" t="str">
        <f>IF(A977="","",IF(A977=Expiry,0,AK977*I977*Mult*((-EXP(-q*Q977)*E977*_xlfn.NORM.S.DIST(Y977,0)*sigma/(2*SQRT(Q977))-r_dom*K*EXP(-r_dom*Q977)*_xlfn.NORM.S.DIST(Z977,1)+q*E977*EXP(-q*Q977)*_xlfn.NORM.S.DIST(Y977,1))/365)))</f>
        <v/>
      </c>
      <c r="Q977" s="83" t="str">
        <f t="shared" si="383"/>
        <v/>
      </c>
      <c r="R977" s="38"/>
      <c r="S977" s="68" t="str">
        <f t="shared" si="384"/>
        <v/>
      </c>
      <c r="T977" s="69" t="str">
        <f t="shared" si="385"/>
        <v/>
      </c>
      <c r="U977" s="70" t="str">
        <f t="shared" si="386"/>
        <v/>
      </c>
      <c r="V977" s="72" t="str">
        <f t="shared" si="387"/>
        <v/>
      </c>
      <c r="W977" s="2" t="str">
        <f t="shared" si="374"/>
        <v/>
      </c>
      <c r="X977" s="2" t="str">
        <f t="shared" si="369"/>
        <v/>
      </c>
      <c r="Y977" s="35" t="str">
        <f t="shared" ca="1" si="388"/>
        <v/>
      </c>
      <c r="Z977" s="36" t="str">
        <f t="shared" ca="1" si="389"/>
        <v/>
      </c>
      <c r="AA977" s="70" t="str">
        <f t="shared" si="390"/>
        <v/>
      </c>
      <c r="AB977" s="2"/>
      <c r="AC977" s="94" t="str">
        <f t="shared" si="370"/>
        <v/>
      </c>
      <c r="AD977" s="95" t="str">
        <f t="shared" si="371"/>
        <v/>
      </c>
      <c r="AE977" s="96" t="str">
        <f t="shared" si="372"/>
        <v/>
      </c>
      <c r="AF977" s="124" t="str">
        <f t="shared" si="373"/>
        <v/>
      </c>
      <c r="AG977" s="2"/>
      <c r="AH977" s="2"/>
      <c r="AI977" s="2"/>
      <c r="AJ977" s="2"/>
      <c r="AK977" s="2"/>
      <c r="AL977" s="2"/>
    </row>
    <row r="978" spans="1:38" x14ac:dyDescent="0.2">
      <c r="A978" s="45"/>
      <c r="B978" s="43" t="str">
        <f t="shared" si="376"/>
        <v/>
      </c>
      <c r="C978" s="96" t="str">
        <f t="shared" si="375"/>
        <v/>
      </c>
      <c r="D978" s="44" t="str">
        <f t="shared" si="377"/>
        <v/>
      </c>
      <c r="E978" s="52"/>
      <c r="F978" s="63" t="str">
        <f t="shared" si="378"/>
        <v/>
      </c>
      <c r="G978" s="56" t="str">
        <f t="shared" si="379"/>
        <v/>
      </c>
      <c r="H978" s="42"/>
      <c r="I978" s="2" t="str">
        <f t="shared" si="380"/>
        <v/>
      </c>
      <c r="J978" s="54" t="str">
        <f t="shared" si="367"/>
        <v/>
      </c>
      <c r="K978" s="55" t="str">
        <f t="shared" si="381"/>
        <v/>
      </c>
      <c r="L978" s="63" t="str">
        <f t="shared" si="382"/>
        <v/>
      </c>
      <c r="M978" s="96" t="str">
        <f t="shared" si="368"/>
        <v/>
      </c>
      <c r="N978" s="96" t="str">
        <f>IF(A978="","",IF(A978=Expiry,0,EXP(-q*Q978)*_xlfn.NORM.S.DIST(Y978,0)/(sigma*SQRT(Q978))*I978*Mult/100))</f>
        <v/>
      </c>
      <c r="O978" s="96" t="str">
        <f>IF(A978="","",IF(A978=Expiry,0,D978*E978*E978*EXP(-q*Q978)*_xlfn.NORM.S.DIST(Y978,0)*SQRT(Q978)/100))</f>
        <v/>
      </c>
      <c r="P978" s="69" t="str">
        <f>IF(A978="","",IF(A978=Expiry,0,AK978*I978*Mult*((-EXP(-q*Q978)*E978*_xlfn.NORM.S.DIST(Y978,0)*sigma/(2*SQRT(Q978))-r_dom*K*EXP(-r_dom*Q978)*_xlfn.NORM.S.DIST(Z978,1)+q*E978*EXP(-q*Q978)*_xlfn.NORM.S.DIST(Y978,1))/365)))</f>
        <v/>
      </c>
      <c r="Q978" s="83" t="str">
        <f t="shared" si="383"/>
        <v/>
      </c>
      <c r="R978" s="38"/>
      <c r="S978" s="68" t="str">
        <f t="shared" si="384"/>
        <v/>
      </c>
      <c r="T978" s="69" t="str">
        <f t="shared" si="385"/>
        <v/>
      </c>
      <c r="U978" s="70" t="str">
        <f t="shared" si="386"/>
        <v/>
      </c>
      <c r="V978" s="72" t="str">
        <f t="shared" si="387"/>
        <v/>
      </c>
      <c r="W978" s="2" t="str">
        <f t="shared" si="374"/>
        <v/>
      </c>
      <c r="X978" s="2" t="str">
        <f t="shared" si="369"/>
        <v/>
      </c>
      <c r="Y978" s="35" t="str">
        <f t="shared" ca="1" si="388"/>
        <v/>
      </c>
      <c r="Z978" s="36" t="str">
        <f t="shared" ca="1" si="389"/>
        <v/>
      </c>
      <c r="AA978" s="70" t="str">
        <f t="shared" si="390"/>
        <v/>
      </c>
      <c r="AB978" s="2"/>
      <c r="AC978" s="94" t="str">
        <f t="shared" si="370"/>
        <v/>
      </c>
      <c r="AD978" s="95" t="str">
        <f t="shared" si="371"/>
        <v/>
      </c>
      <c r="AE978" s="96" t="str">
        <f t="shared" si="372"/>
        <v/>
      </c>
      <c r="AF978" s="124" t="str">
        <f t="shared" si="373"/>
        <v/>
      </c>
      <c r="AG978" s="2"/>
      <c r="AH978" s="2"/>
      <c r="AI978" s="2"/>
      <c r="AJ978" s="2"/>
      <c r="AK978" s="2"/>
      <c r="AL978" s="2"/>
    </row>
    <row r="979" spans="1:38" x14ac:dyDescent="0.2">
      <c r="A979" s="45"/>
      <c r="B979" s="43" t="str">
        <f t="shared" si="376"/>
        <v/>
      </c>
      <c r="C979" s="96" t="str">
        <f t="shared" si="375"/>
        <v/>
      </c>
      <c r="D979" s="44" t="str">
        <f t="shared" si="377"/>
        <v/>
      </c>
      <c r="E979" s="52"/>
      <c r="F979" s="63" t="str">
        <f t="shared" si="378"/>
        <v/>
      </c>
      <c r="G979" s="56" t="str">
        <f t="shared" si="379"/>
        <v/>
      </c>
      <c r="H979" s="42"/>
      <c r="I979" s="2" t="str">
        <f t="shared" si="380"/>
        <v/>
      </c>
      <c r="J979" s="54" t="str">
        <f t="shared" si="367"/>
        <v/>
      </c>
      <c r="K979" s="55" t="str">
        <f t="shared" si="381"/>
        <v/>
      </c>
      <c r="L979" s="63" t="str">
        <f t="shared" si="382"/>
        <v/>
      </c>
      <c r="M979" s="96" t="str">
        <f t="shared" si="368"/>
        <v/>
      </c>
      <c r="N979" s="96" t="str">
        <f>IF(A979="","",IF(A979=Expiry,0,EXP(-q*Q979)*_xlfn.NORM.S.DIST(Y979,0)/(sigma*SQRT(Q979))*I979*Mult/100))</f>
        <v/>
      </c>
      <c r="O979" s="96" t="str">
        <f>IF(A979="","",IF(A979=Expiry,0,D979*E979*E979*EXP(-q*Q979)*_xlfn.NORM.S.DIST(Y979,0)*SQRT(Q979)/100))</f>
        <v/>
      </c>
      <c r="P979" s="69" t="str">
        <f>IF(A979="","",IF(A979=Expiry,0,AK979*I979*Mult*((-EXP(-q*Q979)*E979*_xlfn.NORM.S.DIST(Y979,0)*sigma/(2*SQRT(Q979))-r_dom*K*EXP(-r_dom*Q979)*_xlfn.NORM.S.DIST(Z979,1)+q*E979*EXP(-q*Q979)*_xlfn.NORM.S.DIST(Y979,1))/365)))</f>
        <v/>
      </c>
      <c r="Q979" s="83" t="str">
        <f t="shared" si="383"/>
        <v/>
      </c>
      <c r="R979" s="38"/>
      <c r="S979" s="68" t="str">
        <f t="shared" si="384"/>
        <v/>
      </c>
      <c r="T979" s="69" t="str">
        <f t="shared" si="385"/>
        <v/>
      </c>
      <c r="U979" s="70" t="str">
        <f t="shared" si="386"/>
        <v/>
      </c>
      <c r="V979" s="72" t="str">
        <f t="shared" si="387"/>
        <v/>
      </c>
      <c r="W979" s="2" t="str">
        <f t="shared" si="374"/>
        <v/>
      </c>
      <c r="X979" s="2" t="str">
        <f t="shared" si="369"/>
        <v/>
      </c>
      <c r="Y979" s="35" t="str">
        <f t="shared" ca="1" si="388"/>
        <v/>
      </c>
      <c r="Z979" s="36" t="str">
        <f t="shared" ca="1" si="389"/>
        <v/>
      </c>
      <c r="AA979" s="70" t="str">
        <f t="shared" si="390"/>
        <v/>
      </c>
      <c r="AB979" s="2"/>
      <c r="AC979" s="94" t="str">
        <f t="shared" si="370"/>
        <v/>
      </c>
      <c r="AD979" s="95" t="str">
        <f t="shared" si="371"/>
        <v/>
      </c>
      <c r="AE979" s="96" t="str">
        <f t="shared" si="372"/>
        <v/>
      </c>
      <c r="AF979" s="124" t="str">
        <f t="shared" si="373"/>
        <v/>
      </c>
      <c r="AG979" s="2"/>
      <c r="AH979" s="2"/>
      <c r="AI979" s="2"/>
      <c r="AJ979" s="2"/>
      <c r="AK979" s="2"/>
      <c r="AL979" s="2"/>
    </row>
    <row r="980" spans="1:38" x14ac:dyDescent="0.2">
      <c r="A980" s="45"/>
      <c r="B980" s="43" t="str">
        <f t="shared" si="376"/>
        <v/>
      </c>
      <c r="C980" s="96" t="str">
        <f t="shared" si="375"/>
        <v/>
      </c>
      <c r="D980" s="44" t="str">
        <f t="shared" si="377"/>
        <v/>
      </c>
      <c r="E980" s="52"/>
      <c r="F980" s="63" t="str">
        <f t="shared" si="378"/>
        <v/>
      </c>
      <c r="G980" s="56" t="str">
        <f t="shared" si="379"/>
        <v/>
      </c>
      <c r="H980" s="42"/>
      <c r="I980" s="2" t="str">
        <f t="shared" si="380"/>
        <v/>
      </c>
      <c r="J980" s="54" t="str">
        <f t="shared" si="367"/>
        <v/>
      </c>
      <c r="K980" s="55" t="str">
        <f t="shared" si="381"/>
        <v/>
      </c>
      <c r="L980" s="63" t="str">
        <f t="shared" si="382"/>
        <v/>
      </c>
      <c r="M980" s="96" t="str">
        <f t="shared" si="368"/>
        <v/>
      </c>
      <c r="N980" s="96" t="str">
        <f>IF(A980="","",IF(A980=Expiry,0,EXP(-q*Q980)*_xlfn.NORM.S.DIST(Y980,0)/(sigma*SQRT(Q980))*I980*Mult/100))</f>
        <v/>
      </c>
      <c r="O980" s="96" t="str">
        <f>IF(A980="","",IF(A980=Expiry,0,D980*E980*E980*EXP(-q*Q980)*_xlfn.NORM.S.DIST(Y980,0)*SQRT(Q980)/100))</f>
        <v/>
      </c>
      <c r="P980" s="69" t="str">
        <f>IF(A980="","",IF(A980=Expiry,0,AK980*I980*Mult*((-EXP(-q*Q980)*E980*_xlfn.NORM.S.DIST(Y980,0)*sigma/(2*SQRT(Q980))-r_dom*K*EXP(-r_dom*Q980)*_xlfn.NORM.S.DIST(Z980,1)+q*E980*EXP(-q*Q980)*_xlfn.NORM.S.DIST(Y980,1))/365)))</f>
        <v/>
      </c>
      <c r="Q980" s="83" t="str">
        <f t="shared" si="383"/>
        <v/>
      </c>
      <c r="R980" s="38"/>
      <c r="S980" s="68" t="str">
        <f t="shared" si="384"/>
        <v/>
      </c>
      <c r="T980" s="69" t="str">
        <f t="shared" si="385"/>
        <v/>
      </c>
      <c r="U980" s="70" t="str">
        <f t="shared" si="386"/>
        <v/>
      </c>
      <c r="V980" s="72" t="str">
        <f t="shared" si="387"/>
        <v/>
      </c>
      <c r="W980" s="2" t="str">
        <f t="shared" si="374"/>
        <v/>
      </c>
      <c r="X980" s="2" t="str">
        <f t="shared" si="369"/>
        <v/>
      </c>
      <c r="Y980" s="35" t="str">
        <f t="shared" ca="1" si="388"/>
        <v/>
      </c>
      <c r="Z980" s="36" t="str">
        <f t="shared" ca="1" si="389"/>
        <v/>
      </c>
      <c r="AA980" s="70" t="str">
        <f t="shared" si="390"/>
        <v/>
      </c>
      <c r="AB980" s="2"/>
      <c r="AC980" s="94" t="str">
        <f t="shared" si="370"/>
        <v/>
      </c>
      <c r="AD980" s="95" t="str">
        <f t="shared" si="371"/>
        <v/>
      </c>
      <c r="AE980" s="96" t="str">
        <f t="shared" si="372"/>
        <v/>
      </c>
      <c r="AF980" s="124" t="str">
        <f t="shared" si="373"/>
        <v/>
      </c>
      <c r="AG980" s="2"/>
      <c r="AH980" s="2"/>
      <c r="AI980" s="2"/>
      <c r="AJ980" s="2"/>
      <c r="AK980" s="2"/>
      <c r="AL980" s="2"/>
    </row>
    <row r="981" spans="1:38" x14ac:dyDescent="0.2">
      <c r="A981" s="45"/>
      <c r="B981" s="43" t="str">
        <f t="shared" si="376"/>
        <v/>
      </c>
      <c r="C981" s="96" t="str">
        <f t="shared" si="375"/>
        <v/>
      </c>
      <c r="D981" s="44" t="str">
        <f t="shared" si="377"/>
        <v/>
      </c>
      <c r="E981" s="52"/>
      <c r="F981" s="63" t="str">
        <f t="shared" si="378"/>
        <v/>
      </c>
      <c r="G981" s="56" t="str">
        <f t="shared" si="379"/>
        <v/>
      </c>
      <c r="H981" s="42"/>
      <c r="I981" s="2" t="str">
        <f t="shared" si="380"/>
        <v/>
      </c>
      <c r="J981" s="54" t="str">
        <f t="shared" si="367"/>
        <v/>
      </c>
      <c r="K981" s="55" t="str">
        <f t="shared" si="381"/>
        <v/>
      </c>
      <c r="L981" s="63" t="str">
        <f t="shared" si="382"/>
        <v/>
      </c>
      <c r="M981" s="96" t="str">
        <f t="shared" si="368"/>
        <v/>
      </c>
      <c r="N981" s="96" t="str">
        <f>IF(A981="","",IF(A981=Expiry,0,EXP(-q*Q981)*_xlfn.NORM.S.DIST(Y981,0)/(sigma*SQRT(Q981))*I981*Mult/100))</f>
        <v/>
      </c>
      <c r="O981" s="96" t="str">
        <f>IF(A981="","",IF(A981=Expiry,0,D981*E981*E981*EXP(-q*Q981)*_xlfn.NORM.S.DIST(Y981,0)*SQRT(Q981)/100))</f>
        <v/>
      </c>
      <c r="P981" s="69" t="str">
        <f>IF(A981="","",IF(A981=Expiry,0,AK981*I981*Mult*((-EXP(-q*Q981)*E981*_xlfn.NORM.S.DIST(Y981,0)*sigma/(2*SQRT(Q981))-r_dom*K*EXP(-r_dom*Q981)*_xlfn.NORM.S.DIST(Z981,1)+q*E981*EXP(-q*Q981)*_xlfn.NORM.S.DIST(Y981,1))/365)))</f>
        <v/>
      </c>
      <c r="Q981" s="83" t="str">
        <f t="shared" si="383"/>
        <v/>
      </c>
      <c r="R981" s="38"/>
      <c r="S981" s="68" t="str">
        <f t="shared" si="384"/>
        <v/>
      </c>
      <c r="T981" s="69" t="str">
        <f t="shared" si="385"/>
        <v/>
      </c>
      <c r="U981" s="70" t="str">
        <f t="shared" si="386"/>
        <v/>
      </c>
      <c r="V981" s="72" t="str">
        <f t="shared" si="387"/>
        <v/>
      </c>
      <c r="W981" s="2" t="str">
        <f t="shared" si="374"/>
        <v/>
      </c>
      <c r="X981" s="2" t="str">
        <f t="shared" si="369"/>
        <v/>
      </c>
      <c r="Y981" s="35" t="str">
        <f t="shared" ca="1" si="388"/>
        <v/>
      </c>
      <c r="Z981" s="36" t="str">
        <f t="shared" ca="1" si="389"/>
        <v/>
      </c>
      <c r="AA981" s="70" t="str">
        <f t="shared" si="390"/>
        <v/>
      </c>
      <c r="AB981" s="2"/>
      <c r="AC981" s="94" t="str">
        <f t="shared" si="370"/>
        <v/>
      </c>
      <c r="AD981" s="95" t="str">
        <f t="shared" si="371"/>
        <v/>
      </c>
      <c r="AE981" s="96" t="str">
        <f t="shared" si="372"/>
        <v/>
      </c>
      <c r="AF981" s="124" t="str">
        <f t="shared" si="373"/>
        <v/>
      </c>
      <c r="AG981" s="2"/>
      <c r="AH981" s="2"/>
      <c r="AI981" s="2"/>
      <c r="AJ981" s="2"/>
      <c r="AK981" s="2"/>
      <c r="AL981" s="2"/>
    </row>
    <row r="982" spans="1:38" x14ac:dyDescent="0.2">
      <c r="A982" s="45"/>
      <c r="B982" s="43" t="str">
        <f t="shared" si="376"/>
        <v/>
      </c>
      <c r="C982" s="96" t="str">
        <f t="shared" si="375"/>
        <v/>
      </c>
      <c r="D982" s="44" t="str">
        <f t="shared" si="377"/>
        <v/>
      </c>
      <c r="E982" s="52"/>
      <c r="F982" s="63" t="str">
        <f t="shared" si="378"/>
        <v/>
      </c>
      <c r="G982" s="56" t="str">
        <f t="shared" si="379"/>
        <v/>
      </c>
      <c r="H982" s="42"/>
      <c r="I982" s="2" t="str">
        <f t="shared" si="380"/>
        <v/>
      </c>
      <c r="J982" s="54" t="str">
        <f t="shared" si="367"/>
        <v/>
      </c>
      <c r="K982" s="55" t="str">
        <f t="shared" si="381"/>
        <v/>
      </c>
      <c r="L982" s="63" t="str">
        <f t="shared" si="382"/>
        <v/>
      </c>
      <c r="M982" s="96" t="str">
        <f t="shared" si="368"/>
        <v/>
      </c>
      <c r="N982" s="96" t="str">
        <f>IF(A982="","",IF(A982=Expiry,0,EXP(-q*Q982)*_xlfn.NORM.S.DIST(Y982,0)/(sigma*SQRT(Q982))*I982*Mult/100))</f>
        <v/>
      </c>
      <c r="O982" s="96" t="str">
        <f>IF(A982="","",IF(A982=Expiry,0,D982*E982*E982*EXP(-q*Q982)*_xlfn.NORM.S.DIST(Y982,0)*SQRT(Q982)/100))</f>
        <v/>
      </c>
      <c r="P982" s="69" t="str">
        <f>IF(A982="","",IF(A982=Expiry,0,AK982*I982*Mult*((-EXP(-q*Q982)*E982*_xlfn.NORM.S.DIST(Y982,0)*sigma/(2*SQRT(Q982))-r_dom*K*EXP(-r_dom*Q982)*_xlfn.NORM.S.DIST(Z982,1)+q*E982*EXP(-q*Q982)*_xlfn.NORM.S.DIST(Y982,1))/365)))</f>
        <v/>
      </c>
      <c r="Q982" s="83" t="str">
        <f t="shared" si="383"/>
        <v/>
      </c>
      <c r="R982" s="38"/>
      <c r="S982" s="68" t="str">
        <f t="shared" si="384"/>
        <v/>
      </c>
      <c r="T982" s="69" t="str">
        <f t="shared" si="385"/>
        <v/>
      </c>
      <c r="U982" s="70" t="str">
        <f t="shared" si="386"/>
        <v/>
      </c>
      <c r="V982" s="72" t="str">
        <f t="shared" si="387"/>
        <v/>
      </c>
      <c r="W982" s="2" t="str">
        <f t="shared" si="374"/>
        <v/>
      </c>
      <c r="X982" s="2" t="str">
        <f t="shared" si="369"/>
        <v/>
      </c>
      <c r="Y982" s="35" t="str">
        <f t="shared" ca="1" si="388"/>
        <v/>
      </c>
      <c r="Z982" s="36" t="str">
        <f t="shared" ca="1" si="389"/>
        <v/>
      </c>
      <c r="AA982" s="70" t="str">
        <f t="shared" si="390"/>
        <v/>
      </c>
      <c r="AB982" s="2"/>
      <c r="AC982" s="94" t="str">
        <f t="shared" si="370"/>
        <v/>
      </c>
      <c r="AD982" s="95" t="str">
        <f t="shared" si="371"/>
        <v/>
      </c>
      <c r="AE982" s="96" t="str">
        <f t="shared" si="372"/>
        <v/>
      </c>
      <c r="AF982" s="124" t="str">
        <f t="shared" si="373"/>
        <v/>
      </c>
      <c r="AG982" s="2"/>
      <c r="AH982" s="2"/>
      <c r="AI982" s="2"/>
      <c r="AJ982" s="2"/>
      <c r="AK982" s="2"/>
      <c r="AL982" s="2"/>
    </row>
    <row r="983" spans="1:38" x14ac:dyDescent="0.2">
      <c r="A983" s="45"/>
      <c r="B983" s="43" t="str">
        <f t="shared" si="376"/>
        <v/>
      </c>
      <c r="C983" s="96" t="str">
        <f t="shared" si="375"/>
        <v/>
      </c>
      <c r="D983" s="44" t="str">
        <f t="shared" si="377"/>
        <v/>
      </c>
      <c r="E983" s="52"/>
      <c r="F983" s="63" t="str">
        <f t="shared" si="378"/>
        <v/>
      </c>
      <c r="G983" s="56" t="str">
        <f t="shared" si="379"/>
        <v/>
      </c>
      <c r="H983" s="42"/>
      <c r="I983" s="2" t="str">
        <f t="shared" si="380"/>
        <v/>
      </c>
      <c r="J983" s="54" t="str">
        <f t="shared" si="367"/>
        <v/>
      </c>
      <c r="K983" s="55" t="str">
        <f t="shared" si="381"/>
        <v/>
      </c>
      <c r="L983" s="63" t="str">
        <f t="shared" si="382"/>
        <v/>
      </c>
      <c r="M983" s="96" t="str">
        <f t="shared" si="368"/>
        <v/>
      </c>
      <c r="N983" s="96" t="str">
        <f>IF(A983="","",IF(A983=Expiry,0,EXP(-q*Q983)*_xlfn.NORM.S.DIST(Y983,0)/(sigma*SQRT(Q983))*I983*Mult/100))</f>
        <v/>
      </c>
      <c r="O983" s="96" t="str">
        <f>IF(A983="","",IF(A983=Expiry,0,D983*E983*E983*EXP(-q*Q983)*_xlfn.NORM.S.DIST(Y983,0)*SQRT(Q983)/100))</f>
        <v/>
      </c>
      <c r="P983" s="69" t="str">
        <f>IF(A983="","",IF(A983=Expiry,0,AK983*I983*Mult*((-EXP(-q*Q983)*E983*_xlfn.NORM.S.DIST(Y983,0)*sigma/(2*SQRT(Q983))-r_dom*K*EXP(-r_dom*Q983)*_xlfn.NORM.S.DIST(Z983,1)+q*E983*EXP(-q*Q983)*_xlfn.NORM.S.DIST(Y983,1))/365)))</f>
        <v/>
      </c>
      <c r="Q983" s="83" t="str">
        <f t="shared" si="383"/>
        <v/>
      </c>
      <c r="R983" s="38"/>
      <c r="S983" s="68" t="str">
        <f t="shared" si="384"/>
        <v/>
      </c>
      <c r="T983" s="69" t="str">
        <f t="shared" si="385"/>
        <v/>
      </c>
      <c r="U983" s="70" t="str">
        <f t="shared" si="386"/>
        <v/>
      </c>
      <c r="V983" s="72" t="str">
        <f t="shared" si="387"/>
        <v/>
      </c>
      <c r="W983" s="2" t="str">
        <f t="shared" si="374"/>
        <v/>
      </c>
      <c r="X983" s="2" t="str">
        <f t="shared" si="369"/>
        <v/>
      </c>
      <c r="Y983" s="35" t="str">
        <f t="shared" ca="1" si="388"/>
        <v/>
      </c>
      <c r="Z983" s="36" t="str">
        <f t="shared" ca="1" si="389"/>
        <v/>
      </c>
      <c r="AA983" s="70" t="str">
        <f t="shared" si="390"/>
        <v/>
      </c>
      <c r="AB983" s="2"/>
      <c r="AC983" s="94" t="str">
        <f t="shared" si="370"/>
        <v/>
      </c>
      <c r="AD983" s="95" t="str">
        <f t="shared" si="371"/>
        <v/>
      </c>
      <c r="AE983" s="96" t="str">
        <f t="shared" si="372"/>
        <v/>
      </c>
      <c r="AF983" s="124" t="str">
        <f t="shared" si="373"/>
        <v/>
      </c>
      <c r="AG983" s="2"/>
      <c r="AH983" s="2"/>
      <c r="AI983" s="2"/>
      <c r="AJ983" s="2"/>
      <c r="AK983" s="2"/>
      <c r="AL983" s="2"/>
    </row>
    <row r="984" spans="1:38" x14ac:dyDescent="0.2">
      <c r="A984" s="45"/>
      <c r="B984" s="43" t="str">
        <f t="shared" si="376"/>
        <v/>
      </c>
      <c r="C984" s="96" t="str">
        <f t="shared" si="375"/>
        <v/>
      </c>
      <c r="D984" s="44" t="str">
        <f t="shared" si="377"/>
        <v/>
      </c>
      <c r="E984" s="52"/>
      <c r="F984" s="63" t="str">
        <f t="shared" si="378"/>
        <v/>
      </c>
      <c r="G984" s="56" t="str">
        <f t="shared" si="379"/>
        <v/>
      </c>
      <c r="H984" s="42"/>
      <c r="I984" s="2" t="str">
        <f t="shared" si="380"/>
        <v/>
      </c>
      <c r="J984" s="54" t="str">
        <f t="shared" si="367"/>
        <v/>
      </c>
      <c r="K984" s="55" t="str">
        <f t="shared" si="381"/>
        <v/>
      </c>
      <c r="L984" s="63" t="str">
        <f t="shared" si="382"/>
        <v/>
      </c>
      <c r="M984" s="96" t="str">
        <f t="shared" si="368"/>
        <v/>
      </c>
      <c r="N984" s="96" t="str">
        <f>IF(A984="","",IF(A984=Expiry,0,EXP(-q*Q984)*_xlfn.NORM.S.DIST(Y984,0)/(sigma*SQRT(Q984))*I984*Mult/100))</f>
        <v/>
      </c>
      <c r="O984" s="96" t="str">
        <f>IF(A984="","",IF(A984=Expiry,0,D984*E984*E984*EXP(-q*Q984)*_xlfn.NORM.S.DIST(Y984,0)*SQRT(Q984)/100))</f>
        <v/>
      </c>
      <c r="P984" s="69" t="str">
        <f>IF(A984="","",IF(A984=Expiry,0,AK984*I984*Mult*((-EXP(-q*Q984)*E984*_xlfn.NORM.S.DIST(Y984,0)*sigma/(2*SQRT(Q984))-r_dom*K*EXP(-r_dom*Q984)*_xlfn.NORM.S.DIST(Z984,1)+q*E984*EXP(-q*Q984)*_xlfn.NORM.S.DIST(Y984,1))/365)))</f>
        <v/>
      </c>
      <c r="Q984" s="83" t="str">
        <f t="shared" si="383"/>
        <v/>
      </c>
      <c r="R984" s="38"/>
      <c r="S984" s="68" t="str">
        <f t="shared" si="384"/>
        <v/>
      </c>
      <c r="T984" s="69" t="str">
        <f t="shared" si="385"/>
        <v/>
      </c>
      <c r="U984" s="70" t="str">
        <f t="shared" si="386"/>
        <v/>
      </c>
      <c r="V984" s="72" t="str">
        <f t="shared" si="387"/>
        <v/>
      </c>
      <c r="W984" s="2" t="str">
        <f t="shared" si="374"/>
        <v/>
      </c>
      <c r="X984" s="2" t="str">
        <f t="shared" si="369"/>
        <v/>
      </c>
      <c r="Y984" s="35" t="str">
        <f t="shared" ca="1" si="388"/>
        <v/>
      </c>
      <c r="Z984" s="36" t="str">
        <f t="shared" ca="1" si="389"/>
        <v/>
      </c>
      <c r="AA984" s="70" t="str">
        <f t="shared" si="390"/>
        <v/>
      </c>
      <c r="AB984" s="2"/>
      <c r="AC984" s="94" t="str">
        <f t="shared" si="370"/>
        <v/>
      </c>
      <c r="AD984" s="95" t="str">
        <f t="shared" si="371"/>
        <v/>
      </c>
      <c r="AE984" s="96" t="str">
        <f t="shared" si="372"/>
        <v/>
      </c>
      <c r="AF984" s="124" t="str">
        <f t="shared" si="373"/>
        <v/>
      </c>
      <c r="AG984" s="2"/>
      <c r="AH984" s="2"/>
      <c r="AI984" s="2"/>
      <c r="AJ984" s="2"/>
      <c r="AK984" s="2"/>
      <c r="AL984" s="2"/>
    </row>
    <row r="985" spans="1:38" x14ac:dyDescent="0.2">
      <c r="A985" s="45"/>
      <c r="B985" s="43" t="str">
        <f t="shared" si="376"/>
        <v/>
      </c>
      <c r="C985" s="96" t="str">
        <f t="shared" si="375"/>
        <v/>
      </c>
      <c r="D985" s="44" t="str">
        <f t="shared" si="377"/>
        <v/>
      </c>
      <c r="E985" s="52"/>
      <c r="F985" s="63" t="str">
        <f t="shared" si="378"/>
        <v/>
      </c>
      <c r="G985" s="56" t="str">
        <f t="shared" si="379"/>
        <v/>
      </c>
      <c r="H985" s="42"/>
      <c r="I985" s="2" t="str">
        <f t="shared" si="380"/>
        <v/>
      </c>
      <c r="J985" s="54" t="str">
        <f t="shared" si="367"/>
        <v/>
      </c>
      <c r="K985" s="55" t="str">
        <f t="shared" si="381"/>
        <v/>
      </c>
      <c r="L985" s="63" t="str">
        <f t="shared" si="382"/>
        <v/>
      </c>
      <c r="M985" s="96" t="str">
        <f t="shared" si="368"/>
        <v/>
      </c>
      <c r="N985" s="96" t="str">
        <f>IF(A985="","",IF(A985=Expiry,0,EXP(-q*Q985)*_xlfn.NORM.S.DIST(Y985,0)/(sigma*SQRT(Q985))*I985*Mult/100))</f>
        <v/>
      </c>
      <c r="O985" s="96" t="str">
        <f>IF(A985="","",IF(A985=Expiry,0,D985*E985*E985*EXP(-q*Q985)*_xlfn.NORM.S.DIST(Y985,0)*SQRT(Q985)/100))</f>
        <v/>
      </c>
      <c r="P985" s="69" t="str">
        <f>IF(A985="","",IF(A985=Expiry,0,AK985*I985*Mult*((-EXP(-q*Q985)*E985*_xlfn.NORM.S.DIST(Y985,0)*sigma/(2*SQRT(Q985))-r_dom*K*EXP(-r_dom*Q985)*_xlfn.NORM.S.DIST(Z985,1)+q*E985*EXP(-q*Q985)*_xlfn.NORM.S.DIST(Y985,1))/365)))</f>
        <v/>
      </c>
      <c r="Q985" s="83" t="str">
        <f t="shared" si="383"/>
        <v/>
      </c>
      <c r="R985" s="38"/>
      <c r="S985" s="68" t="str">
        <f t="shared" si="384"/>
        <v/>
      </c>
      <c r="T985" s="69" t="str">
        <f t="shared" si="385"/>
        <v/>
      </c>
      <c r="U985" s="70" t="str">
        <f t="shared" si="386"/>
        <v/>
      </c>
      <c r="V985" s="72" t="str">
        <f t="shared" si="387"/>
        <v/>
      </c>
      <c r="W985" s="2" t="str">
        <f t="shared" si="374"/>
        <v/>
      </c>
      <c r="X985" s="2" t="str">
        <f t="shared" si="369"/>
        <v/>
      </c>
      <c r="Y985" s="35" t="str">
        <f t="shared" ca="1" si="388"/>
        <v/>
      </c>
      <c r="Z985" s="36" t="str">
        <f t="shared" ca="1" si="389"/>
        <v/>
      </c>
      <c r="AA985" s="70" t="str">
        <f t="shared" si="390"/>
        <v/>
      </c>
      <c r="AB985" s="2"/>
      <c r="AC985" s="94" t="str">
        <f t="shared" si="370"/>
        <v/>
      </c>
      <c r="AD985" s="95" t="str">
        <f t="shared" si="371"/>
        <v/>
      </c>
      <c r="AE985" s="96" t="str">
        <f t="shared" si="372"/>
        <v/>
      </c>
      <c r="AF985" s="124" t="str">
        <f t="shared" si="373"/>
        <v/>
      </c>
      <c r="AG985" s="2"/>
      <c r="AH985" s="2"/>
      <c r="AI985" s="2"/>
      <c r="AJ985" s="2"/>
      <c r="AK985" s="2"/>
      <c r="AL985" s="2"/>
    </row>
    <row r="986" spans="1:38" x14ac:dyDescent="0.2">
      <c r="A986" s="45"/>
      <c r="B986" s="43" t="str">
        <f t="shared" si="376"/>
        <v/>
      </c>
      <c r="C986" s="96" t="str">
        <f t="shared" si="375"/>
        <v/>
      </c>
      <c r="D986" s="44" t="str">
        <f t="shared" si="377"/>
        <v/>
      </c>
      <c r="E986" s="52"/>
      <c r="F986" s="63" t="str">
        <f t="shared" si="378"/>
        <v/>
      </c>
      <c r="G986" s="56" t="str">
        <f t="shared" si="379"/>
        <v/>
      </c>
      <c r="H986" s="42"/>
      <c r="I986" s="2" t="str">
        <f t="shared" si="380"/>
        <v/>
      </c>
      <c r="J986" s="54" t="str">
        <f t="shared" si="367"/>
        <v/>
      </c>
      <c r="K986" s="55" t="str">
        <f t="shared" si="381"/>
        <v/>
      </c>
      <c r="L986" s="63" t="str">
        <f t="shared" si="382"/>
        <v/>
      </c>
      <c r="M986" s="96" t="str">
        <f t="shared" si="368"/>
        <v/>
      </c>
      <c r="N986" s="96" t="str">
        <f>IF(A986="","",IF(A986=Expiry,0,EXP(-q*Q986)*_xlfn.NORM.S.DIST(Y986,0)/(sigma*SQRT(Q986))*I986*Mult/100))</f>
        <v/>
      </c>
      <c r="O986" s="96" t="str">
        <f>IF(A986="","",IF(A986=Expiry,0,D986*E986*E986*EXP(-q*Q986)*_xlfn.NORM.S.DIST(Y986,0)*SQRT(Q986)/100))</f>
        <v/>
      </c>
      <c r="P986" s="69" t="str">
        <f>IF(A986="","",IF(A986=Expiry,0,AK986*I986*Mult*((-EXP(-q*Q986)*E986*_xlfn.NORM.S.DIST(Y986,0)*sigma/(2*SQRT(Q986))-r_dom*K*EXP(-r_dom*Q986)*_xlfn.NORM.S.DIST(Z986,1)+q*E986*EXP(-q*Q986)*_xlfn.NORM.S.DIST(Y986,1))/365)))</f>
        <v/>
      </c>
      <c r="Q986" s="83" t="str">
        <f t="shared" si="383"/>
        <v/>
      </c>
      <c r="R986" s="38"/>
      <c r="S986" s="68" t="str">
        <f t="shared" si="384"/>
        <v/>
      </c>
      <c r="T986" s="69" t="str">
        <f t="shared" si="385"/>
        <v/>
      </c>
      <c r="U986" s="70" t="str">
        <f t="shared" si="386"/>
        <v/>
      </c>
      <c r="V986" s="72" t="str">
        <f t="shared" si="387"/>
        <v/>
      </c>
      <c r="W986" s="2" t="str">
        <f t="shared" si="374"/>
        <v/>
      </c>
      <c r="X986" s="2" t="str">
        <f t="shared" si="369"/>
        <v/>
      </c>
      <c r="Y986" s="35" t="str">
        <f t="shared" ca="1" si="388"/>
        <v/>
      </c>
      <c r="Z986" s="36" t="str">
        <f t="shared" ca="1" si="389"/>
        <v/>
      </c>
      <c r="AA986" s="70" t="str">
        <f t="shared" si="390"/>
        <v/>
      </c>
      <c r="AB986" s="2"/>
      <c r="AC986" s="94" t="str">
        <f t="shared" si="370"/>
        <v/>
      </c>
      <c r="AD986" s="95" t="str">
        <f t="shared" si="371"/>
        <v/>
      </c>
      <c r="AE986" s="96" t="str">
        <f t="shared" si="372"/>
        <v/>
      </c>
      <c r="AF986" s="124" t="str">
        <f t="shared" si="373"/>
        <v/>
      </c>
      <c r="AG986" s="2"/>
      <c r="AH986" s="2"/>
      <c r="AI986" s="2"/>
      <c r="AJ986" s="2"/>
      <c r="AK986" s="2"/>
      <c r="AL986" s="2"/>
    </row>
    <row r="987" spans="1:38" x14ac:dyDescent="0.2">
      <c r="A987" s="45"/>
      <c r="B987" s="43" t="str">
        <f t="shared" si="376"/>
        <v/>
      </c>
      <c r="C987" s="96" t="str">
        <f t="shared" si="375"/>
        <v/>
      </c>
      <c r="D987" s="44" t="str">
        <f t="shared" si="377"/>
        <v/>
      </c>
      <c r="E987" s="52"/>
      <c r="F987" s="63" t="str">
        <f t="shared" si="378"/>
        <v/>
      </c>
      <c r="G987" s="56" t="str">
        <f t="shared" si="379"/>
        <v/>
      </c>
      <c r="H987" s="42"/>
      <c r="I987" s="2" t="str">
        <f t="shared" si="380"/>
        <v/>
      </c>
      <c r="J987" s="54" t="str">
        <f t="shared" si="367"/>
        <v/>
      </c>
      <c r="K987" s="55" t="str">
        <f t="shared" si="381"/>
        <v/>
      </c>
      <c r="L987" s="63" t="str">
        <f t="shared" si="382"/>
        <v/>
      </c>
      <c r="M987" s="96" t="str">
        <f t="shared" si="368"/>
        <v/>
      </c>
      <c r="N987" s="96" t="str">
        <f>IF(A987="","",IF(A987=Expiry,0,EXP(-q*Q987)*_xlfn.NORM.S.DIST(Y987,0)/(sigma*SQRT(Q987))*I987*Mult/100))</f>
        <v/>
      </c>
      <c r="O987" s="96" t="str">
        <f>IF(A987="","",IF(A987=Expiry,0,D987*E987*E987*EXP(-q*Q987)*_xlfn.NORM.S.DIST(Y987,0)*SQRT(Q987)/100))</f>
        <v/>
      </c>
      <c r="P987" s="69" t="str">
        <f>IF(A987="","",IF(A987=Expiry,0,AK987*I987*Mult*((-EXP(-q*Q987)*E987*_xlfn.NORM.S.DIST(Y987,0)*sigma/(2*SQRT(Q987))-r_dom*K*EXP(-r_dom*Q987)*_xlfn.NORM.S.DIST(Z987,1)+q*E987*EXP(-q*Q987)*_xlfn.NORM.S.DIST(Y987,1))/365)))</f>
        <v/>
      </c>
      <c r="Q987" s="83" t="str">
        <f t="shared" si="383"/>
        <v/>
      </c>
      <c r="R987" s="38"/>
      <c r="S987" s="68" t="str">
        <f t="shared" si="384"/>
        <v/>
      </c>
      <c r="T987" s="69" t="str">
        <f t="shared" si="385"/>
        <v/>
      </c>
      <c r="U987" s="70" t="str">
        <f t="shared" si="386"/>
        <v/>
      </c>
      <c r="V987" s="72" t="str">
        <f t="shared" si="387"/>
        <v/>
      </c>
      <c r="W987" s="2" t="str">
        <f t="shared" si="374"/>
        <v/>
      </c>
      <c r="X987" s="2" t="str">
        <f t="shared" si="369"/>
        <v/>
      </c>
      <c r="Y987" s="35" t="str">
        <f t="shared" ca="1" si="388"/>
        <v/>
      </c>
      <c r="Z987" s="36" t="str">
        <f t="shared" ca="1" si="389"/>
        <v/>
      </c>
      <c r="AA987" s="70" t="str">
        <f t="shared" si="390"/>
        <v/>
      </c>
      <c r="AB987" s="2"/>
      <c r="AC987" s="94" t="str">
        <f t="shared" si="370"/>
        <v/>
      </c>
      <c r="AD987" s="95" t="str">
        <f t="shared" si="371"/>
        <v/>
      </c>
      <c r="AE987" s="96" t="str">
        <f t="shared" si="372"/>
        <v/>
      </c>
      <c r="AF987" s="124" t="str">
        <f t="shared" si="373"/>
        <v/>
      </c>
      <c r="AG987" s="2"/>
      <c r="AH987" s="2"/>
      <c r="AI987" s="2"/>
      <c r="AJ987" s="2"/>
      <c r="AK987" s="2"/>
      <c r="AL987" s="2"/>
    </row>
    <row r="988" spans="1:38" x14ac:dyDescent="0.2">
      <c r="A988" s="45"/>
      <c r="B988" s="43" t="str">
        <f t="shared" si="376"/>
        <v/>
      </c>
      <c r="C988" s="96" t="str">
        <f t="shared" si="375"/>
        <v/>
      </c>
      <c r="D988" s="44" t="str">
        <f t="shared" si="377"/>
        <v/>
      </c>
      <c r="E988" s="52"/>
      <c r="F988" s="63" t="str">
        <f t="shared" si="378"/>
        <v/>
      </c>
      <c r="G988" s="56" t="str">
        <f t="shared" si="379"/>
        <v/>
      </c>
      <c r="H988" s="42"/>
      <c r="I988" s="2" t="str">
        <f t="shared" si="380"/>
        <v/>
      </c>
      <c r="J988" s="54" t="str">
        <f t="shared" si="367"/>
        <v/>
      </c>
      <c r="K988" s="55" t="str">
        <f t="shared" si="381"/>
        <v/>
      </c>
      <c r="L988" s="63" t="str">
        <f t="shared" si="382"/>
        <v/>
      </c>
      <c r="M988" s="96" t="str">
        <f t="shared" si="368"/>
        <v/>
      </c>
      <c r="N988" s="96" t="str">
        <f>IF(A988="","",IF(A988=Expiry,0,EXP(-q*Q988)*_xlfn.NORM.S.DIST(Y988,0)/(sigma*SQRT(Q988))*I988*Mult/100))</f>
        <v/>
      </c>
      <c r="O988" s="96" t="str">
        <f>IF(A988="","",IF(A988=Expiry,0,D988*E988*E988*EXP(-q*Q988)*_xlfn.NORM.S.DIST(Y988,0)*SQRT(Q988)/100))</f>
        <v/>
      </c>
      <c r="P988" s="69" t="str">
        <f>IF(A988="","",IF(A988=Expiry,0,AK988*I988*Mult*((-EXP(-q*Q988)*E988*_xlfn.NORM.S.DIST(Y988,0)*sigma/(2*SQRT(Q988))-r_dom*K*EXP(-r_dom*Q988)*_xlfn.NORM.S.DIST(Z988,1)+q*E988*EXP(-q*Q988)*_xlfn.NORM.S.DIST(Y988,1))/365)))</f>
        <v/>
      </c>
      <c r="Q988" s="83" t="str">
        <f t="shared" si="383"/>
        <v/>
      </c>
      <c r="R988" s="38"/>
      <c r="S988" s="68" t="str">
        <f t="shared" si="384"/>
        <v/>
      </c>
      <c r="T988" s="69" t="str">
        <f t="shared" si="385"/>
        <v/>
      </c>
      <c r="U988" s="70" t="str">
        <f t="shared" si="386"/>
        <v/>
      </c>
      <c r="V988" s="72" t="str">
        <f t="shared" si="387"/>
        <v/>
      </c>
      <c r="W988" s="2" t="str">
        <f t="shared" si="374"/>
        <v/>
      </c>
      <c r="X988" s="2" t="str">
        <f t="shared" si="369"/>
        <v/>
      </c>
      <c r="Y988" s="35" t="str">
        <f t="shared" ca="1" si="388"/>
        <v/>
      </c>
      <c r="Z988" s="36" t="str">
        <f t="shared" ca="1" si="389"/>
        <v/>
      </c>
      <c r="AA988" s="70" t="str">
        <f t="shared" si="390"/>
        <v/>
      </c>
      <c r="AB988" s="2"/>
      <c r="AC988" s="94" t="str">
        <f t="shared" si="370"/>
        <v/>
      </c>
      <c r="AD988" s="95" t="str">
        <f t="shared" si="371"/>
        <v/>
      </c>
      <c r="AE988" s="96" t="str">
        <f t="shared" si="372"/>
        <v/>
      </c>
      <c r="AF988" s="124" t="str">
        <f t="shared" si="373"/>
        <v/>
      </c>
      <c r="AG988" s="2"/>
      <c r="AH988" s="2"/>
      <c r="AI988" s="2"/>
      <c r="AJ988" s="2"/>
      <c r="AK988" s="2"/>
      <c r="AL988" s="2"/>
    </row>
    <row r="989" spans="1:38" x14ac:dyDescent="0.2">
      <c r="A989" s="45"/>
      <c r="B989" s="43" t="str">
        <f t="shared" si="376"/>
        <v/>
      </c>
      <c r="C989" s="96" t="str">
        <f t="shared" si="375"/>
        <v/>
      </c>
      <c r="D989" s="44" t="str">
        <f t="shared" si="377"/>
        <v/>
      </c>
      <c r="E989" s="52"/>
      <c r="F989" s="63" t="str">
        <f t="shared" si="378"/>
        <v/>
      </c>
      <c r="G989" s="56" t="str">
        <f t="shared" si="379"/>
        <v/>
      </c>
      <c r="H989" s="42"/>
      <c r="I989" s="2" t="str">
        <f t="shared" si="380"/>
        <v/>
      </c>
      <c r="J989" s="54" t="str">
        <f t="shared" si="367"/>
        <v/>
      </c>
      <c r="K989" s="55" t="str">
        <f t="shared" si="381"/>
        <v/>
      </c>
      <c r="L989" s="63" t="str">
        <f t="shared" si="382"/>
        <v/>
      </c>
      <c r="M989" s="96" t="str">
        <f t="shared" si="368"/>
        <v/>
      </c>
      <c r="N989" s="96" t="str">
        <f>IF(A989="","",IF(A989=Expiry,0,EXP(-q*Q989)*_xlfn.NORM.S.DIST(Y989,0)/(sigma*SQRT(Q989))*I989*Mult/100))</f>
        <v/>
      </c>
      <c r="O989" s="96" t="str">
        <f>IF(A989="","",IF(A989=Expiry,0,D989*E989*E989*EXP(-q*Q989)*_xlfn.NORM.S.DIST(Y989,0)*SQRT(Q989)/100))</f>
        <v/>
      </c>
      <c r="P989" s="69" t="str">
        <f>IF(A989="","",IF(A989=Expiry,0,AK989*I989*Mult*((-EXP(-q*Q989)*E989*_xlfn.NORM.S.DIST(Y989,0)*sigma/(2*SQRT(Q989))-r_dom*K*EXP(-r_dom*Q989)*_xlfn.NORM.S.DIST(Z989,1)+q*E989*EXP(-q*Q989)*_xlfn.NORM.S.DIST(Y989,1))/365)))</f>
        <v/>
      </c>
      <c r="Q989" s="83" t="str">
        <f t="shared" si="383"/>
        <v/>
      </c>
      <c r="R989" s="38"/>
      <c r="S989" s="68" t="str">
        <f t="shared" si="384"/>
        <v/>
      </c>
      <c r="T989" s="69" t="str">
        <f t="shared" si="385"/>
        <v/>
      </c>
      <c r="U989" s="70" t="str">
        <f t="shared" si="386"/>
        <v/>
      </c>
      <c r="V989" s="72" t="str">
        <f t="shared" si="387"/>
        <v/>
      </c>
      <c r="W989" s="2" t="str">
        <f t="shared" si="374"/>
        <v/>
      </c>
      <c r="X989" s="2" t="str">
        <f t="shared" si="369"/>
        <v/>
      </c>
      <c r="Y989" s="35" t="str">
        <f t="shared" ca="1" si="388"/>
        <v/>
      </c>
      <c r="Z989" s="36" t="str">
        <f t="shared" ca="1" si="389"/>
        <v/>
      </c>
      <c r="AA989" s="70" t="str">
        <f t="shared" si="390"/>
        <v/>
      </c>
      <c r="AB989" s="2"/>
      <c r="AC989" s="94" t="str">
        <f t="shared" si="370"/>
        <v/>
      </c>
      <c r="AD989" s="95" t="str">
        <f t="shared" si="371"/>
        <v/>
      </c>
      <c r="AE989" s="96" t="str">
        <f t="shared" si="372"/>
        <v/>
      </c>
      <c r="AF989" s="124" t="str">
        <f t="shared" si="373"/>
        <v/>
      </c>
      <c r="AG989" s="2"/>
      <c r="AH989" s="2"/>
      <c r="AI989" s="2"/>
      <c r="AJ989" s="2"/>
      <c r="AK989" s="2"/>
      <c r="AL989" s="2"/>
    </row>
    <row r="990" spans="1:38" x14ac:dyDescent="0.2">
      <c r="A990" s="45"/>
      <c r="B990" s="43" t="str">
        <f t="shared" si="376"/>
        <v/>
      </c>
      <c r="C990" s="96" t="str">
        <f t="shared" si="375"/>
        <v/>
      </c>
      <c r="D990" s="44" t="str">
        <f t="shared" si="377"/>
        <v/>
      </c>
      <c r="E990" s="52"/>
      <c r="F990" s="63" t="str">
        <f t="shared" si="378"/>
        <v/>
      </c>
      <c r="G990" s="56" t="str">
        <f t="shared" si="379"/>
        <v/>
      </c>
      <c r="H990" s="42"/>
      <c r="I990" s="2" t="str">
        <f t="shared" si="380"/>
        <v/>
      </c>
      <c r="J990" s="54" t="str">
        <f t="shared" si="367"/>
        <v/>
      </c>
      <c r="K990" s="55" t="str">
        <f t="shared" si="381"/>
        <v/>
      </c>
      <c r="L990" s="63" t="str">
        <f t="shared" si="382"/>
        <v/>
      </c>
      <c r="M990" s="96" t="str">
        <f t="shared" si="368"/>
        <v/>
      </c>
      <c r="N990" s="96" t="str">
        <f>IF(A990="","",IF(A990=Expiry,0,EXP(-q*Q990)*_xlfn.NORM.S.DIST(Y990,0)/(sigma*SQRT(Q990))*I990*Mult/100))</f>
        <v/>
      </c>
      <c r="O990" s="96" t="str">
        <f>IF(A990="","",IF(A990=Expiry,0,D990*E990*E990*EXP(-q*Q990)*_xlfn.NORM.S.DIST(Y990,0)*SQRT(Q990)/100))</f>
        <v/>
      </c>
      <c r="P990" s="69" t="str">
        <f>IF(A990="","",IF(A990=Expiry,0,AK990*I990*Mult*((-EXP(-q*Q990)*E990*_xlfn.NORM.S.DIST(Y990,0)*sigma/(2*SQRT(Q990))-r_dom*K*EXP(-r_dom*Q990)*_xlfn.NORM.S.DIST(Z990,1)+q*E990*EXP(-q*Q990)*_xlfn.NORM.S.DIST(Y990,1))/365)))</f>
        <v/>
      </c>
      <c r="Q990" s="83" t="str">
        <f t="shared" si="383"/>
        <v/>
      </c>
      <c r="R990" s="38"/>
      <c r="S990" s="68" t="str">
        <f t="shared" si="384"/>
        <v/>
      </c>
      <c r="T990" s="69" t="str">
        <f t="shared" si="385"/>
        <v/>
      </c>
      <c r="U990" s="70" t="str">
        <f t="shared" si="386"/>
        <v/>
      </c>
      <c r="V990" s="72" t="str">
        <f t="shared" si="387"/>
        <v/>
      </c>
      <c r="W990" s="2" t="str">
        <f t="shared" si="374"/>
        <v/>
      </c>
      <c r="X990" s="2" t="str">
        <f t="shared" si="369"/>
        <v/>
      </c>
      <c r="Y990" s="35" t="str">
        <f t="shared" ca="1" si="388"/>
        <v/>
      </c>
      <c r="Z990" s="36" t="str">
        <f t="shared" ca="1" si="389"/>
        <v/>
      </c>
      <c r="AA990" s="70" t="str">
        <f t="shared" si="390"/>
        <v/>
      </c>
      <c r="AB990" s="2"/>
      <c r="AC990" s="94" t="str">
        <f t="shared" si="370"/>
        <v/>
      </c>
      <c r="AD990" s="95" t="str">
        <f t="shared" si="371"/>
        <v/>
      </c>
      <c r="AE990" s="96" t="str">
        <f t="shared" si="372"/>
        <v/>
      </c>
      <c r="AF990" s="124" t="str">
        <f t="shared" si="373"/>
        <v/>
      </c>
      <c r="AG990" s="2"/>
      <c r="AH990" s="2"/>
      <c r="AI990" s="2"/>
      <c r="AJ990" s="2"/>
      <c r="AK990" s="2"/>
      <c r="AL990" s="2"/>
    </row>
    <row r="991" spans="1:38" x14ac:dyDescent="0.2">
      <c r="A991" s="45"/>
      <c r="B991" s="43" t="str">
        <f t="shared" si="376"/>
        <v/>
      </c>
      <c r="C991" s="96" t="str">
        <f t="shared" si="375"/>
        <v/>
      </c>
      <c r="D991" s="44" t="str">
        <f t="shared" si="377"/>
        <v/>
      </c>
      <c r="E991" s="52"/>
      <c r="F991" s="63" t="str">
        <f t="shared" si="378"/>
        <v/>
      </c>
      <c r="G991" s="56" t="str">
        <f t="shared" si="379"/>
        <v/>
      </c>
      <c r="H991" s="42"/>
      <c r="I991" s="2" t="str">
        <f t="shared" si="380"/>
        <v/>
      </c>
      <c r="J991" s="54" t="str">
        <f t="shared" si="367"/>
        <v/>
      </c>
      <c r="K991" s="55" t="str">
        <f t="shared" si="381"/>
        <v/>
      </c>
      <c r="L991" s="63" t="str">
        <f t="shared" si="382"/>
        <v/>
      </c>
      <c r="M991" s="96" t="str">
        <f t="shared" si="368"/>
        <v/>
      </c>
      <c r="N991" s="96" t="str">
        <f>IF(A991="","",IF(A991=Expiry,0,EXP(-q*Q991)*_xlfn.NORM.S.DIST(Y991,0)/(sigma*SQRT(Q991))*I991*Mult/100))</f>
        <v/>
      </c>
      <c r="O991" s="96" t="str">
        <f>IF(A991="","",IF(A991=Expiry,0,D991*E991*E991*EXP(-q*Q991)*_xlfn.NORM.S.DIST(Y991,0)*SQRT(Q991)/100))</f>
        <v/>
      </c>
      <c r="P991" s="69" t="str">
        <f>IF(A991="","",IF(A991=Expiry,0,AK991*I991*Mult*((-EXP(-q*Q991)*E991*_xlfn.NORM.S.DIST(Y991,0)*sigma/(2*SQRT(Q991))-r_dom*K*EXP(-r_dom*Q991)*_xlfn.NORM.S.DIST(Z991,1)+q*E991*EXP(-q*Q991)*_xlfn.NORM.S.DIST(Y991,1))/365)))</f>
        <v/>
      </c>
      <c r="Q991" s="83" t="str">
        <f t="shared" si="383"/>
        <v/>
      </c>
      <c r="R991" s="38"/>
      <c r="S991" s="68" t="str">
        <f t="shared" si="384"/>
        <v/>
      </c>
      <c r="T991" s="69" t="str">
        <f t="shared" si="385"/>
        <v/>
      </c>
      <c r="U991" s="70" t="str">
        <f t="shared" si="386"/>
        <v/>
      </c>
      <c r="V991" s="72" t="str">
        <f t="shared" si="387"/>
        <v/>
      </c>
      <c r="W991" s="2" t="str">
        <f t="shared" si="374"/>
        <v/>
      </c>
      <c r="X991" s="2" t="str">
        <f t="shared" si="369"/>
        <v/>
      </c>
      <c r="Y991" s="35" t="str">
        <f t="shared" ca="1" si="388"/>
        <v/>
      </c>
      <c r="Z991" s="36" t="str">
        <f t="shared" ca="1" si="389"/>
        <v/>
      </c>
      <c r="AA991" s="70" t="str">
        <f t="shared" si="390"/>
        <v/>
      </c>
      <c r="AB991" s="2"/>
      <c r="AC991" s="94" t="str">
        <f t="shared" si="370"/>
        <v/>
      </c>
      <c r="AD991" s="95" t="str">
        <f t="shared" si="371"/>
        <v/>
      </c>
      <c r="AE991" s="96" t="str">
        <f t="shared" si="372"/>
        <v/>
      </c>
      <c r="AF991" s="124" t="str">
        <f t="shared" si="373"/>
        <v/>
      </c>
      <c r="AG991" s="2"/>
      <c r="AH991" s="2"/>
      <c r="AI991" s="2"/>
      <c r="AJ991" s="2"/>
      <c r="AK991" s="2"/>
      <c r="AL991" s="2"/>
    </row>
    <row r="992" spans="1:38" x14ac:dyDescent="0.2">
      <c r="A992" s="45"/>
      <c r="B992" s="43" t="str">
        <f t="shared" si="376"/>
        <v/>
      </c>
      <c r="C992" s="96" t="str">
        <f t="shared" si="375"/>
        <v/>
      </c>
      <c r="D992" s="44" t="str">
        <f t="shared" si="377"/>
        <v/>
      </c>
      <c r="E992" s="52"/>
      <c r="F992" s="63" t="str">
        <f t="shared" si="378"/>
        <v/>
      </c>
      <c r="G992" s="56" t="str">
        <f t="shared" si="379"/>
        <v/>
      </c>
      <c r="H992" s="42"/>
      <c r="I992" s="2" t="str">
        <f t="shared" si="380"/>
        <v/>
      </c>
      <c r="J992" s="54" t="str">
        <f t="shared" si="367"/>
        <v/>
      </c>
      <c r="K992" s="55" t="str">
        <f t="shared" si="381"/>
        <v/>
      </c>
      <c r="L992" s="63" t="str">
        <f t="shared" si="382"/>
        <v/>
      </c>
      <c r="M992" s="96" t="str">
        <f t="shared" si="368"/>
        <v/>
      </c>
      <c r="N992" s="96" t="str">
        <f>IF(A992="","",IF(A992=Expiry,0,EXP(-q*Q992)*_xlfn.NORM.S.DIST(Y992,0)/(sigma*SQRT(Q992))*I992*Mult/100))</f>
        <v/>
      </c>
      <c r="O992" s="96" t="str">
        <f>IF(A992="","",IF(A992=Expiry,0,D992*E992*E992*EXP(-q*Q992)*_xlfn.NORM.S.DIST(Y992,0)*SQRT(Q992)/100))</f>
        <v/>
      </c>
      <c r="P992" s="69" t="str">
        <f>IF(A992="","",IF(A992=Expiry,0,AK992*I992*Mult*((-EXP(-q*Q992)*E992*_xlfn.NORM.S.DIST(Y992,0)*sigma/(2*SQRT(Q992))-r_dom*K*EXP(-r_dom*Q992)*_xlfn.NORM.S.DIST(Z992,1)+q*E992*EXP(-q*Q992)*_xlfn.NORM.S.DIST(Y992,1))/365)))</f>
        <v/>
      </c>
      <c r="Q992" s="83" t="str">
        <f t="shared" si="383"/>
        <v/>
      </c>
      <c r="R992" s="38"/>
      <c r="S992" s="68" t="str">
        <f t="shared" si="384"/>
        <v/>
      </c>
      <c r="T992" s="69" t="str">
        <f t="shared" si="385"/>
        <v/>
      </c>
      <c r="U992" s="70" t="str">
        <f t="shared" si="386"/>
        <v/>
      </c>
      <c r="V992" s="72" t="str">
        <f t="shared" si="387"/>
        <v/>
      </c>
      <c r="W992" s="2" t="str">
        <f t="shared" si="374"/>
        <v/>
      </c>
      <c r="X992" s="2" t="str">
        <f t="shared" si="369"/>
        <v/>
      </c>
      <c r="Y992" s="35" t="str">
        <f t="shared" ca="1" si="388"/>
        <v/>
      </c>
      <c r="Z992" s="36" t="str">
        <f t="shared" ca="1" si="389"/>
        <v/>
      </c>
      <c r="AA992" s="70" t="str">
        <f t="shared" si="390"/>
        <v/>
      </c>
      <c r="AB992" s="2"/>
      <c r="AC992" s="94" t="str">
        <f t="shared" si="370"/>
        <v/>
      </c>
      <c r="AD992" s="95" t="str">
        <f t="shared" si="371"/>
        <v/>
      </c>
      <c r="AE992" s="96" t="str">
        <f t="shared" si="372"/>
        <v/>
      </c>
      <c r="AF992" s="124" t="str">
        <f t="shared" si="373"/>
        <v/>
      </c>
      <c r="AG992" s="2"/>
      <c r="AH992" s="2"/>
      <c r="AI992" s="2"/>
      <c r="AJ992" s="2"/>
      <c r="AK992" s="2"/>
      <c r="AL992" s="2"/>
    </row>
    <row r="993" spans="1:38" x14ac:dyDescent="0.2">
      <c r="A993" s="45"/>
      <c r="B993" s="43" t="str">
        <f t="shared" si="376"/>
        <v/>
      </c>
      <c r="C993" s="96" t="str">
        <f t="shared" si="375"/>
        <v/>
      </c>
      <c r="D993" s="44" t="str">
        <f t="shared" si="377"/>
        <v/>
      </c>
      <c r="E993" s="52"/>
      <c r="F993" s="63" t="str">
        <f t="shared" si="378"/>
        <v/>
      </c>
      <c r="G993" s="56" t="str">
        <f t="shared" si="379"/>
        <v/>
      </c>
      <c r="H993" s="42"/>
      <c r="I993" s="2" t="str">
        <f t="shared" si="380"/>
        <v/>
      </c>
      <c r="J993" s="54" t="str">
        <f t="shared" si="367"/>
        <v/>
      </c>
      <c r="K993" s="55" t="str">
        <f t="shared" si="381"/>
        <v/>
      </c>
      <c r="L993" s="63" t="str">
        <f t="shared" si="382"/>
        <v/>
      </c>
      <c r="M993" s="96" t="str">
        <f t="shared" si="368"/>
        <v/>
      </c>
      <c r="N993" s="96" t="str">
        <f>IF(A993="","",IF(A993=Expiry,0,EXP(-q*Q993)*_xlfn.NORM.S.DIST(Y993,0)/(sigma*SQRT(Q993))*I993*Mult/100))</f>
        <v/>
      </c>
      <c r="O993" s="96" t="str">
        <f>IF(A993="","",IF(A993=Expiry,0,D993*E993*E993*EXP(-q*Q993)*_xlfn.NORM.S.DIST(Y993,0)*SQRT(Q993)/100))</f>
        <v/>
      </c>
      <c r="P993" s="69" t="str">
        <f>IF(A993="","",IF(A993=Expiry,0,AK993*I993*Mult*((-EXP(-q*Q993)*E993*_xlfn.NORM.S.DIST(Y993,0)*sigma/(2*SQRT(Q993))-r_dom*K*EXP(-r_dom*Q993)*_xlfn.NORM.S.DIST(Z993,1)+q*E993*EXP(-q*Q993)*_xlfn.NORM.S.DIST(Y993,1))/365)))</f>
        <v/>
      </c>
      <c r="Q993" s="83" t="str">
        <f t="shared" si="383"/>
        <v/>
      </c>
      <c r="R993" s="38"/>
      <c r="S993" s="68" t="str">
        <f t="shared" si="384"/>
        <v/>
      </c>
      <c r="T993" s="69" t="str">
        <f t="shared" si="385"/>
        <v/>
      </c>
      <c r="U993" s="70" t="str">
        <f t="shared" si="386"/>
        <v/>
      </c>
      <c r="V993" s="72" t="str">
        <f t="shared" si="387"/>
        <v/>
      </c>
      <c r="W993" s="2" t="str">
        <f t="shared" si="374"/>
        <v/>
      </c>
      <c r="X993" s="2" t="str">
        <f t="shared" si="369"/>
        <v/>
      </c>
      <c r="Y993" s="35" t="str">
        <f t="shared" ca="1" si="388"/>
        <v/>
      </c>
      <c r="Z993" s="36" t="str">
        <f t="shared" ca="1" si="389"/>
        <v/>
      </c>
      <c r="AA993" s="70" t="str">
        <f t="shared" si="390"/>
        <v/>
      </c>
      <c r="AB993" s="2"/>
      <c r="AC993" s="94" t="str">
        <f t="shared" si="370"/>
        <v/>
      </c>
      <c r="AD993" s="95" t="str">
        <f t="shared" si="371"/>
        <v/>
      </c>
      <c r="AE993" s="96" t="str">
        <f t="shared" si="372"/>
        <v/>
      </c>
      <c r="AF993" s="124" t="str">
        <f t="shared" si="373"/>
        <v/>
      </c>
      <c r="AG993" s="2"/>
      <c r="AH993" s="2"/>
      <c r="AI993" s="2"/>
      <c r="AJ993" s="2"/>
      <c r="AK993" s="2"/>
      <c r="AL993" s="2"/>
    </row>
    <row r="994" spans="1:38" x14ac:dyDescent="0.2">
      <c r="A994" s="45"/>
      <c r="B994" s="43" t="str">
        <f t="shared" si="376"/>
        <v/>
      </c>
      <c r="C994" s="96" t="str">
        <f t="shared" si="375"/>
        <v/>
      </c>
      <c r="D994" s="44" t="str">
        <f t="shared" si="377"/>
        <v/>
      </c>
      <c r="E994" s="52"/>
      <c r="F994" s="63" t="str">
        <f t="shared" si="378"/>
        <v/>
      </c>
      <c r="G994" s="56" t="str">
        <f t="shared" si="379"/>
        <v/>
      </c>
      <c r="H994" s="42"/>
      <c r="I994" s="2" t="str">
        <f t="shared" si="380"/>
        <v/>
      </c>
      <c r="J994" s="54" t="str">
        <f t="shared" si="367"/>
        <v/>
      </c>
      <c r="K994" s="55" t="str">
        <f t="shared" si="381"/>
        <v/>
      </c>
      <c r="L994" s="63" t="str">
        <f t="shared" si="382"/>
        <v/>
      </c>
      <c r="M994" s="96" t="str">
        <f t="shared" si="368"/>
        <v/>
      </c>
      <c r="N994" s="96" t="str">
        <f>IF(A994="","",IF(A994=Expiry,0,EXP(-q*Q994)*_xlfn.NORM.S.DIST(Y994,0)/(sigma*SQRT(Q994))*I994*Mult/100))</f>
        <v/>
      </c>
      <c r="O994" s="96" t="str">
        <f>IF(A994="","",IF(A994=Expiry,0,D994*E994*E994*EXP(-q*Q994)*_xlfn.NORM.S.DIST(Y994,0)*SQRT(Q994)/100))</f>
        <v/>
      </c>
      <c r="P994" s="69" t="str">
        <f>IF(A994="","",IF(A994=Expiry,0,AK994*I994*Mult*((-EXP(-q*Q994)*E994*_xlfn.NORM.S.DIST(Y994,0)*sigma/(2*SQRT(Q994))-r_dom*K*EXP(-r_dom*Q994)*_xlfn.NORM.S.DIST(Z994,1)+q*E994*EXP(-q*Q994)*_xlfn.NORM.S.DIST(Y994,1))/365)))</f>
        <v/>
      </c>
      <c r="Q994" s="83" t="str">
        <f t="shared" si="383"/>
        <v/>
      </c>
      <c r="R994" s="38"/>
      <c r="S994" s="68" t="str">
        <f t="shared" si="384"/>
        <v/>
      </c>
      <c r="T994" s="69" t="str">
        <f t="shared" si="385"/>
        <v/>
      </c>
      <c r="U994" s="70" t="str">
        <f t="shared" si="386"/>
        <v/>
      </c>
      <c r="V994" s="72" t="str">
        <f t="shared" si="387"/>
        <v/>
      </c>
      <c r="W994" s="2" t="str">
        <f t="shared" si="374"/>
        <v/>
      </c>
      <c r="X994" s="2" t="str">
        <f t="shared" si="369"/>
        <v/>
      </c>
      <c r="Y994" s="35" t="str">
        <f t="shared" ca="1" si="388"/>
        <v/>
      </c>
      <c r="Z994" s="36" t="str">
        <f t="shared" ca="1" si="389"/>
        <v/>
      </c>
      <c r="AA994" s="70" t="str">
        <f t="shared" si="390"/>
        <v/>
      </c>
      <c r="AB994" s="2"/>
      <c r="AC994" s="94" t="str">
        <f t="shared" si="370"/>
        <v/>
      </c>
      <c r="AD994" s="95" t="str">
        <f t="shared" si="371"/>
        <v/>
      </c>
      <c r="AE994" s="96" t="str">
        <f t="shared" si="372"/>
        <v/>
      </c>
      <c r="AF994" s="124" t="str">
        <f t="shared" si="373"/>
        <v/>
      </c>
      <c r="AG994" s="2"/>
      <c r="AH994" s="2"/>
      <c r="AI994" s="2"/>
      <c r="AJ994" s="2"/>
      <c r="AK994" s="2"/>
      <c r="AL994" s="2"/>
    </row>
    <row r="995" spans="1:38" x14ac:dyDescent="0.2">
      <c r="A995" s="45"/>
      <c r="B995" s="43" t="str">
        <f t="shared" si="376"/>
        <v/>
      </c>
      <c r="C995" s="96" t="str">
        <f t="shared" si="375"/>
        <v/>
      </c>
      <c r="D995" s="44" t="str">
        <f t="shared" si="377"/>
        <v/>
      </c>
      <c r="E995" s="52"/>
      <c r="F995" s="63" t="str">
        <f t="shared" si="378"/>
        <v/>
      </c>
      <c r="G995" s="56" t="str">
        <f t="shared" si="379"/>
        <v/>
      </c>
      <c r="H995" s="42"/>
      <c r="I995" s="2" t="str">
        <f t="shared" si="380"/>
        <v/>
      </c>
      <c r="J995" s="54" t="str">
        <f t="shared" si="367"/>
        <v/>
      </c>
      <c r="K995" s="55" t="str">
        <f t="shared" si="381"/>
        <v/>
      </c>
      <c r="L995" s="63" t="str">
        <f t="shared" si="382"/>
        <v/>
      </c>
      <c r="M995" s="96" t="str">
        <f t="shared" si="368"/>
        <v/>
      </c>
      <c r="N995" s="96" t="str">
        <f>IF(A995="","",IF(A995=Expiry,0,EXP(-q*Q995)*_xlfn.NORM.S.DIST(Y995,0)/(sigma*SQRT(Q995))*I995*Mult/100))</f>
        <v/>
      </c>
      <c r="O995" s="96" t="str">
        <f>IF(A995="","",IF(A995=Expiry,0,D995*E995*E995*EXP(-q*Q995)*_xlfn.NORM.S.DIST(Y995,0)*SQRT(Q995)/100))</f>
        <v/>
      </c>
      <c r="P995" s="69" t="str">
        <f>IF(A995="","",IF(A995=Expiry,0,AK995*I995*Mult*((-EXP(-q*Q995)*E995*_xlfn.NORM.S.DIST(Y995,0)*sigma/(2*SQRT(Q995))-r_dom*K*EXP(-r_dom*Q995)*_xlfn.NORM.S.DIST(Z995,1)+q*E995*EXP(-q*Q995)*_xlfn.NORM.S.DIST(Y995,1))/365)))</f>
        <v/>
      </c>
      <c r="Q995" s="83" t="str">
        <f t="shared" si="383"/>
        <v/>
      </c>
      <c r="R995" s="38"/>
      <c r="S995" s="68" t="str">
        <f t="shared" si="384"/>
        <v/>
      </c>
      <c r="T995" s="69" t="str">
        <f t="shared" si="385"/>
        <v/>
      </c>
      <c r="U995" s="70" t="str">
        <f t="shared" si="386"/>
        <v/>
      </c>
      <c r="V995" s="72" t="str">
        <f t="shared" si="387"/>
        <v/>
      </c>
      <c r="W995" s="2" t="str">
        <f t="shared" si="374"/>
        <v/>
      </c>
      <c r="X995" s="2" t="str">
        <f t="shared" si="369"/>
        <v/>
      </c>
      <c r="Y995" s="35" t="str">
        <f t="shared" ca="1" si="388"/>
        <v/>
      </c>
      <c r="Z995" s="36" t="str">
        <f t="shared" ca="1" si="389"/>
        <v/>
      </c>
      <c r="AA995" s="70" t="str">
        <f t="shared" si="390"/>
        <v/>
      </c>
      <c r="AB995" s="2"/>
      <c r="AC995" s="94" t="str">
        <f t="shared" si="370"/>
        <v/>
      </c>
      <c r="AD995" s="95" t="str">
        <f t="shared" si="371"/>
        <v/>
      </c>
      <c r="AE995" s="96" t="str">
        <f t="shared" si="372"/>
        <v/>
      </c>
      <c r="AF995" s="124" t="str">
        <f t="shared" si="373"/>
        <v/>
      </c>
      <c r="AG995" s="2"/>
      <c r="AH995" s="2"/>
      <c r="AI995" s="2"/>
      <c r="AJ995" s="2"/>
      <c r="AK995" s="2"/>
      <c r="AL995" s="2"/>
    </row>
    <row r="996" spans="1:38" x14ac:dyDescent="0.2">
      <c r="A996" s="45"/>
      <c r="B996" s="43" t="str">
        <f t="shared" si="376"/>
        <v/>
      </c>
      <c r="C996" s="96" t="str">
        <f t="shared" si="375"/>
        <v/>
      </c>
      <c r="D996" s="44" t="str">
        <f t="shared" si="377"/>
        <v/>
      </c>
      <c r="E996" s="52"/>
      <c r="F996" s="63" t="str">
        <f t="shared" si="378"/>
        <v/>
      </c>
      <c r="G996" s="56" t="str">
        <f t="shared" si="379"/>
        <v/>
      </c>
      <c r="H996" s="42"/>
      <c r="I996" s="2" t="str">
        <f t="shared" si="380"/>
        <v/>
      </c>
      <c r="J996" s="54" t="str">
        <f t="shared" si="367"/>
        <v/>
      </c>
      <c r="K996" s="55" t="str">
        <f t="shared" si="381"/>
        <v/>
      </c>
      <c r="L996" s="63" t="str">
        <f t="shared" si="382"/>
        <v/>
      </c>
      <c r="M996" s="96" t="str">
        <f t="shared" si="368"/>
        <v/>
      </c>
      <c r="N996" s="96" t="str">
        <f>IF(A996="","",IF(A996=Expiry,0,EXP(-q*Q996)*_xlfn.NORM.S.DIST(Y996,0)/(sigma*SQRT(Q996))*I996*Mult/100))</f>
        <v/>
      </c>
      <c r="O996" s="96" t="str">
        <f>IF(A996="","",IF(A996=Expiry,0,D996*E996*E996*EXP(-q*Q996)*_xlfn.NORM.S.DIST(Y996,0)*SQRT(Q996)/100))</f>
        <v/>
      </c>
      <c r="P996" s="69" t="str">
        <f>IF(A996="","",IF(A996=Expiry,0,AK996*I996*Mult*((-EXP(-q*Q996)*E996*_xlfn.NORM.S.DIST(Y996,0)*sigma/(2*SQRT(Q996))-r_dom*K*EXP(-r_dom*Q996)*_xlfn.NORM.S.DIST(Z996,1)+q*E996*EXP(-q*Q996)*_xlfn.NORM.S.DIST(Y996,1))/365)))</f>
        <v/>
      </c>
      <c r="Q996" s="83" t="str">
        <f t="shared" si="383"/>
        <v/>
      </c>
      <c r="R996" s="38"/>
      <c r="S996" s="68" t="str">
        <f t="shared" si="384"/>
        <v/>
      </c>
      <c r="T996" s="69" t="str">
        <f t="shared" si="385"/>
        <v/>
      </c>
      <c r="U996" s="70" t="str">
        <f t="shared" si="386"/>
        <v/>
      </c>
      <c r="V996" s="72" t="str">
        <f t="shared" si="387"/>
        <v/>
      </c>
      <c r="W996" s="2" t="str">
        <f t="shared" si="374"/>
        <v/>
      </c>
      <c r="X996" s="2" t="str">
        <f t="shared" si="369"/>
        <v/>
      </c>
      <c r="Y996" s="35" t="str">
        <f t="shared" ca="1" si="388"/>
        <v/>
      </c>
      <c r="Z996" s="36" t="str">
        <f t="shared" ca="1" si="389"/>
        <v/>
      </c>
      <c r="AA996" s="70" t="str">
        <f t="shared" si="390"/>
        <v/>
      </c>
      <c r="AB996" s="2"/>
      <c r="AC996" s="94" t="str">
        <f t="shared" si="370"/>
        <v/>
      </c>
      <c r="AD996" s="95" t="str">
        <f t="shared" si="371"/>
        <v/>
      </c>
      <c r="AE996" s="96" t="str">
        <f t="shared" si="372"/>
        <v/>
      </c>
      <c r="AF996" s="124" t="str">
        <f t="shared" si="373"/>
        <v/>
      </c>
      <c r="AG996" s="2"/>
      <c r="AH996" s="2"/>
      <c r="AI996" s="2"/>
      <c r="AJ996" s="2"/>
      <c r="AK996" s="2"/>
      <c r="AL996" s="2"/>
    </row>
    <row r="997" spans="1:38" x14ac:dyDescent="0.2">
      <c r="A997" s="45"/>
      <c r="B997" s="43" t="str">
        <f t="shared" si="376"/>
        <v/>
      </c>
      <c r="C997" s="96" t="str">
        <f t="shared" si="375"/>
        <v/>
      </c>
      <c r="D997" s="44" t="str">
        <f t="shared" si="377"/>
        <v/>
      </c>
      <c r="E997" s="52"/>
      <c r="F997" s="63" t="str">
        <f t="shared" si="378"/>
        <v/>
      </c>
      <c r="G997" s="56" t="str">
        <f t="shared" si="379"/>
        <v/>
      </c>
      <c r="H997" s="42"/>
      <c r="I997" s="2" t="str">
        <f t="shared" si="380"/>
        <v/>
      </c>
      <c r="J997" s="54" t="str">
        <f t="shared" si="367"/>
        <v/>
      </c>
      <c r="K997" s="55" t="str">
        <f t="shared" si="381"/>
        <v/>
      </c>
      <c r="L997" s="63" t="str">
        <f t="shared" si="382"/>
        <v/>
      </c>
      <c r="M997" s="96" t="str">
        <f t="shared" si="368"/>
        <v/>
      </c>
      <c r="N997" s="96" t="str">
        <f>IF(A997="","",IF(A997=Expiry,0,EXP(-q*Q997)*_xlfn.NORM.S.DIST(Y997,0)/(sigma*SQRT(Q997))*I997*Mult/100))</f>
        <v/>
      </c>
      <c r="O997" s="96" t="str">
        <f>IF(A997="","",IF(A997=Expiry,0,D997*E997*E997*EXP(-q*Q997)*_xlfn.NORM.S.DIST(Y997,0)*SQRT(Q997)/100))</f>
        <v/>
      </c>
      <c r="P997" s="69" t="str">
        <f>IF(A997="","",IF(A997=Expiry,0,AK997*I997*Mult*((-EXP(-q*Q997)*E997*_xlfn.NORM.S.DIST(Y997,0)*sigma/(2*SQRT(Q997))-r_dom*K*EXP(-r_dom*Q997)*_xlfn.NORM.S.DIST(Z997,1)+q*E997*EXP(-q*Q997)*_xlfn.NORM.S.DIST(Y997,1))/365)))</f>
        <v/>
      </c>
      <c r="Q997" s="83" t="str">
        <f t="shared" si="383"/>
        <v/>
      </c>
      <c r="R997" s="38"/>
      <c r="S997" s="68" t="str">
        <f t="shared" si="384"/>
        <v/>
      </c>
      <c r="T997" s="69" t="str">
        <f t="shared" si="385"/>
        <v/>
      </c>
      <c r="U997" s="70" t="str">
        <f t="shared" si="386"/>
        <v/>
      </c>
      <c r="V997" s="72" t="str">
        <f t="shared" si="387"/>
        <v/>
      </c>
      <c r="W997" s="2" t="str">
        <f t="shared" ref="W997:W1000" si="391">IF(A997="","",100)</f>
        <v/>
      </c>
      <c r="X997" s="2" t="str">
        <f t="shared" si="369"/>
        <v/>
      </c>
      <c r="Y997" s="35" t="str">
        <f t="shared" ca="1" si="388"/>
        <v/>
      </c>
      <c r="Z997" s="36" t="str">
        <f t="shared" ca="1" si="389"/>
        <v/>
      </c>
      <c r="AA997" s="70" t="str">
        <f t="shared" si="390"/>
        <v/>
      </c>
      <c r="AB997" s="2"/>
      <c r="AC997" s="94" t="str">
        <f t="shared" si="370"/>
        <v/>
      </c>
      <c r="AD997" s="95" t="str">
        <f t="shared" si="371"/>
        <v/>
      </c>
      <c r="AE997" s="96" t="str">
        <f t="shared" si="372"/>
        <v/>
      </c>
      <c r="AF997" s="124" t="str">
        <f t="shared" si="373"/>
        <v/>
      </c>
      <c r="AG997" s="2"/>
      <c r="AH997" s="2"/>
      <c r="AI997" s="2"/>
      <c r="AJ997" s="2"/>
      <c r="AK997" s="2"/>
      <c r="AL997" s="2"/>
    </row>
    <row r="998" spans="1:38" x14ac:dyDescent="0.2">
      <c r="A998" s="45"/>
      <c r="B998" s="43" t="str">
        <f t="shared" si="376"/>
        <v/>
      </c>
      <c r="C998" s="96" t="str">
        <f t="shared" ref="C998:C1000" si="392">IF(A998="","",C997+B998)</f>
        <v/>
      </c>
      <c r="D998" s="44" t="str">
        <f t="shared" si="377"/>
        <v/>
      </c>
      <c r="E998" s="52"/>
      <c r="F998" s="63" t="str">
        <f t="shared" si="378"/>
        <v/>
      </c>
      <c r="G998" s="56" t="str">
        <f t="shared" si="379"/>
        <v/>
      </c>
      <c r="H998" s="42"/>
      <c r="I998" s="2" t="str">
        <f t="shared" si="380"/>
        <v/>
      </c>
      <c r="J998" s="54" t="str">
        <f t="shared" si="367"/>
        <v/>
      </c>
      <c r="K998" s="55" t="str">
        <f t="shared" si="381"/>
        <v/>
      </c>
      <c r="L998" s="63" t="str">
        <f t="shared" si="382"/>
        <v/>
      </c>
      <c r="M998" s="96" t="str">
        <f t="shared" si="368"/>
        <v/>
      </c>
      <c r="N998" s="96" t="str">
        <f>IF(A998="","",IF(A998=Expiry,0,EXP(-q*Q998)*_xlfn.NORM.S.DIST(Y998,0)/(sigma*SQRT(Q998))*I998*Mult/100))</f>
        <v/>
      </c>
      <c r="O998" s="96" t="str">
        <f>IF(A998="","",IF(A998=Expiry,0,D998*E998*E998*EXP(-q*Q998)*_xlfn.NORM.S.DIST(Y998,0)*SQRT(Q998)/100))</f>
        <v/>
      </c>
      <c r="P998" s="69" t="str">
        <f>IF(A998="","",IF(A998=Expiry,0,AK998*I998*Mult*((-EXP(-q*Q998)*E998*_xlfn.NORM.S.DIST(Y998,0)*sigma/(2*SQRT(Q998))-r_dom*K*EXP(-r_dom*Q998)*_xlfn.NORM.S.DIST(Z998,1)+q*E998*EXP(-q*Q998)*_xlfn.NORM.S.DIST(Y998,1))/365)))</f>
        <v/>
      </c>
      <c r="Q998" s="83" t="str">
        <f t="shared" si="383"/>
        <v/>
      </c>
      <c r="R998" s="38"/>
      <c r="S998" s="68" t="str">
        <f t="shared" si="384"/>
        <v/>
      </c>
      <c r="T998" s="69" t="str">
        <f t="shared" si="385"/>
        <v/>
      </c>
      <c r="U998" s="70" t="str">
        <f t="shared" si="386"/>
        <v/>
      </c>
      <c r="V998" s="72" t="str">
        <f t="shared" si="387"/>
        <v/>
      </c>
      <c r="W998" s="2" t="str">
        <f t="shared" si="391"/>
        <v/>
      </c>
      <c r="X998" s="2" t="str">
        <f t="shared" si="369"/>
        <v/>
      </c>
      <c r="Y998" s="35" t="str">
        <f t="shared" ca="1" si="388"/>
        <v/>
      </c>
      <c r="Z998" s="36" t="str">
        <f t="shared" ca="1" si="389"/>
        <v/>
      </c>
      <c r="AA998" s="70" t="str">
        <f t="shared" si="390"/>
        <v/>
      </c>
      <c r="AB998" s="2"/>
      <c r="AC998" s="94" t="str">
        <f t="shared" si="370"/>
        <v/>
      </c>
      <c r="AD998" s="95" t="str">
        <f t="shared" si="371"/>
        <v/>
      </c>
      <c r="AE998" s="96" t="str">
        <f t="shared" si="372"/>
        <v/>
      </c>
      <c r="AF998" s="124" t="str">
        <f t="shared" si="373"/>
        <v/>
      </c>
      <c r="AG998" s="2"/>
      <c r="AH998" s="2"/>
      <c r="AI998" s="2"/>
      <c r="AJ998" s="2"/>
      <c r="AK998" s="2"/>
      <c r="AL998" s="2"/>
    </row>
    <row r="999" spans="1:38" x14ac:dyDescent="0.2">
      <c r="A999" s="45"/>
      <c r="B999" s="43" t="str">
        <f t="shared" si="376"/>
        <v/>
      </c>
      <c r="C999" s="96" t="str">
        <f t="shared" si="392"/>
        <v/>
      </c>
      <c r="D999" s="44" t="str">
        <f t="shared" si="377"/>
        <v/>
      </c>
      <c r="E999" s="52"/>
      <c r="F999" s="63" t="str">
        <f t="shared" si="378"/>
        <v/>
      </c>
      <c r="G999" s="56" t="str">
        <f t="shared" si="379"/>
        <v/>
      </c>
      <c r="H999" s="42"/>
      <c r="I999" s="2" t="str">
        <f t="shared" si="380"/>
        <v/>
      </c>
      <c r="J999" s="54" t="str">
        <f t="shared" si="367"/>
        <v/>
      </c>
      <c r="K999" s="55" t="str">
        <f t="shared" si="381"/>
        <v/>
      </c>
      <c r="L999" s="63" t="str">
        <f t="shared" si="382"/>
        <v/>
      </c>
      <c r="M999" s="96" t="str">
        <f t="shared" si="368"/>
        <v/>
      </c>
      <c r="N999" s="96" t="str">
        <f>IF(A999="","",IF(A999=Expiry,0,EXP(-q*Q999)*_xlfn.NORM.S.DIST(Y999,0)/(sigma*SQRT(Q999))*I999*Mult/100))</f>
        <v/>
      </c>
      <c r="O999" s="96" t="str">
        <f>IF(A999="","",IF(A999=Expiry,0,D999*E999*E999*EXP(-q*Q999)*_xlfn.NORM.S.DIST(Y999,0)*SQRT(Q999)/100))</f>
        <v/>
      </c>
      <c r="P999" s="69" t="str">
        <f>IF(A999="","",IF(A999=Expiry,0,AK999*I999*Mult*((-EXP(-q*Q999)*E999*_xlfn.NORM.S.DIST(Y999,0)*sigma/(2*SQRT(Q999))-r_dom*K*EXP(-r_dom*Q999)*_xlfn.NORM.S.DIST(Z999,1)+q*E999*EXP(-q*Q999)*_xlfn.NORM.S.DIST(Y999,1))/365)))</f>
        <v/>
      </c>
      <c r="Q999" s="83" t="str">
        <f t="shared" si="383"/>
        <v/>
      </c>
      <c r="R999" s="38"/>
      <c r="S999" s="68" t="str">
        <f t="shared" si="384"/>
        <v/>
      </c>
      <c r="T999" s="69" t="str">
        <f t="shared" si="385"/>
        <v/>
      </c>
      <c r="U999" s="70" t="str">
        <f t="shared" si="386"/>
        <v/>
      </c>
      <c r="V999" s="72" t="str">
        <f t="shared" si="387"/>
        <v/>
      </c>
      <c r="W999" s="2" t="str">
        <f t="shared" si="391"/>
        <v/>
      </c>
      <c r="X999" s="2" t="str">
        <f t="shared" si="369"/>
        <v/>
      </c>
      <c r="Y999" s="35" t="str">
        <f t="shared" ca="1" si="388"/>
        <v/>
      </c>
      <c r="Z999" s="36" t="str">
        <f t="shared" ca="1" si="389"/>
        <v/>
      </c>
      <c r="AA999" s="70" t="str">
        <f t="shared" si="390"/>
        <v/>
      </c>
      <c r="AB999" s="2"/>
      <c r="AC999" s="94" t="str">
        <f t="shared" si="370"/>
        <v/>
      </c>
      <c r="AD999" s="95" t="str">
        <f t="shared" si="371"/>
        <v/>
      </c>
      <c r="AE999" s="96" t="str">
        <f t="shared" si="372"/>
        <v/>
      </c>
      <c r="AF999" s="124" t="str">
        <f t="shared" si="373"/>
        <v/>
      </c>
      <c r="AG999" s="2"/>
      <c r="AH999" s="2"/>
      <c r="AI999" s="2"/>
      <c r="AJ999" s="2"/>
      <c r="AK999" s="2"/>
      <c r="AL999" s="2"/>
    </row>
    <row r="1000" spans="1:38" x14ac:dyDescent="0.2">
      <c r="A1000" s="45"/>
      <c r="B1000" s="43" t="str">
        <f t="shared" si="376"/>
        <v/>
      </c>
      <c r="C1000" s="96" t="str">
        <f t="shared" si="392"/>
        <v/>
      </c>
      <c r="D1000" s="44" t="str">
        <f t="shared" si="377"/>
        <v/>
      </c>
      <c r="E1000" s="52"/>
      <c r="F1000" s="63" t="str">
        <f t="shared" si="378"/>
        <v/>
      </c>
      <c r="G1000" s="56" t="str">
        <f t="shared" si="379"/>
        <v/>
      </c>
      <c r="H1000" s="42"/>
      <c r="I1000" s="2" t="str">
        <f t="shared" si="380"/>
        <v/>
      </c>
      <c r="J1000" s="54" t="str">
        <f t="shared" si="367"/>
        <v/>
      </c>
      <c r="K1000" s="55" t="str">
        <f t="shared" si="381"/>
        <v/>
      </c>
      <c r="L1000" s="63" t="str">
        <f t="shared" si="382"/>
        <v/>
      </c>
      <c r="M1000" s="96" t="str">
        <f t="shared" si="368"/>
        <v/>
      </c>
      <c r="N1000" s="96" t="str">
        <f>IF(A1000="","",IF(A1000=Expiry,0,EXP(-q*Q1000)*_xlfn.NORM.S.DIST(Y1000,0)/(sigma*SQRT(Q1000))*I1000*Mult/100))</f>
        <v/>
      </c>
      <c r="O1000" s="96" t="str">
        <f>IF(A1000="","",IF(A1000=Expiry,0,D1000*E1000*E1000*EXP(-q*Q1000)*_xlfn.NORM.S.DIST(Y1000,0)*SQRT(Q1000)/100))</f>
        <v/>
      </c>
      <c r="P1000" s="69" t="str">
        <f>IF(A1000="","",IF(A1000=Expiry,0,AK1000*I1000*Mult*((-EXP(-q*Q1000)*E1000*_xlfn.NORM.S.DIST(Y1000,0)*sigma/(2*SQRT(Q1000))-r_dom*K*EXP(-r_dom*Q1000)*_xlfn.NORM.S.DIST(Z1000,1)+q*E1000*EXP(-q*Q1000)*_xlfn.NORM.S.DIST(Y1000,1))/365)))</f>
        <v/>
      </c>
      <c r="Q1000" s="83" t="str">
        <f t="shared" si="383"/>
        <v/>
      </c>
      <c r="R1000" s="38"/>
      <c r="S1000" s="68" t="str">
        <f t="shared" si="384"/>
        <v/>
      </c>
      <c r="T1000" s="69" t="str">
        <f t="shared" si="385"/>
        <v/>
      </c>
      <c r="U1000" s="70" t="str">
        <f t="shared" si="386"/>
        <v/>
      </c>
      <c r="V1000" s="72" t="str">
        <f t="shared" si="387"/>
        <v/>
      </c>
      <c r="W1000" s="2" t="str">
        <f t="shared" si="391"/>
        <v/>
      </c>
      <c r="X1000" s="2" t="str">
        <f t="shared" si="369"/>
        <v/>
      </c>
      <c r="Y1000" s="35" t="str">
        <f t="shared" ca="1" si="388"/>
        <v/>
      </c>
      <c r="Z1000" s="36" t="str">
        <f t="shared" ca="1" si="389"/>
        <v/>
      </c>
      <c r="AA1000" s="70" t="str">
        <f t="shared" si="390"/>
        <v/>
      </c>
      <c r="AB1000" s="2"/>
      <c r="AC1000" s="94" t="str">
        <f t="shared" si="370"/>
        <v/>
      </c>
      <c r="AD1000" s="95" t="str">
        <f t="shared" si="371"/>
        <v/>
      </c>
      <c r="AE1000" s="96" t="str">
        <f t="shared" si="372"/>
        <v/>
      </c>
      <c r="AF1000" s="124" t="str">
        <f t="shared" si="373"/>
        <v/>
      </c>
      <c r="AG1000" s="2"/>
      <c r="AH1000" s="2"/>
      <c r="AI1000" s="2"/>
      <c r="AJ1000" s="2"/>
      <c r="AK1000" s="2"/>
      <c r="AL1000" s="2"/>
    </row>
  </sheetData>
  <mergeCells count="3">
    <mergeCell ref="P4:Q5"/>
    <mergeCell ref="L4:M5"/>
    <mergeCell ref="L3:M3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1" r:id="rId3" name="Button 47">
              <controlPr defaultSize="0" print="0" autoFill="0" autoPict="0" macro="[0]!simulate_path">
                <anchor moveWithCells="1" sizeWithCells="1">
                  <from>
                    <xdr:col>13</xdr:col>
                    <xdr:colOff>25400</xdr:colOff>
                    <xdr:row>3</xdr:row>
                    <xdr:rowOff>12700</xdr:rowOff>
                  </from>
                  <to>
                    <xdr:col>14</xdr:col>
                    <xdr:colOff>762000</xdr:colOff>
                    <xdr:row>4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Z150"/>
  <sheetViews>
    <sheetView workbookViewId="0">
      <selection activeCell="D16" sqref="D16"/>
    </sheetView>
  </sheetViews>
  <sheetFormatPr baseColWidth="10" defaultRowHeight="16" x14ac:dyDescent="0.2"/>
  <sheetData>
    <row r="1" spans="1:26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2"/>
      <c r="B3" s="104" t="s">
        <v>64</v>
      </c>
      <c r="C3" s="111">
        <v>125000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">
      <c r="A4" s="2"/>
      <c r="B4" s="2"/>
      <c r="C4" s="89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81" t="s">
        <v>16</v>
      </c>
      <c r="B7" s="81" t="s">
        <v>66</v>
      </c>
      <c r="C7" s="80" t="s">
        <v>59</v>
      </c>
      <c r="D7" s="81" t="s">
        <v>61</v>
      </c>
      <c r="E7" s="81" t="s">
        <v>62</v>
      </c>
      <c r="F7" s="81" t="s">
        <v>63</v>
      </c>
      <c r="G7" s="80" t="s">
        <v>54</v>
      </c>
      <c r="H7" s="80" t="s">
        <v>11</v>
      </c>
      <c r="I7" s="80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46">
        <v>43496</v>
      </c>
      <c r="B8" s="10" t="s">
        <v>55</v>
      </c>
      <c r="C8" s="115">
        <v>6</v>
      </c>
      <c r="D8" s="116">
        <v>3.1199999999999999E-3</v>
      </c>
      <c r="E8" s="127">
        <v>3.5999999999999999E-3</v>
      </c>
      <c r="F8" s="117">
        <f t="shared" ref="F8:F9" si="0">(E8-D8)*C8*$C$3</f>
        <v>359.99999999999994</v>
      </c>
      <c r="G8" s="118">
        <v>-0.28199999999999997</v>
      </c>
      <c r="H8" s="119">
        <f>C8*G8*125000</f>
        <v>-211499.99999999997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73">
        <v>43496</v>
      </c>
      <c r="B9" s="3" t="s">
        <v>56</v>
      </c>
      <c r="C9" s="89">
        <v>6</v>
      </c>
      <c r="D9" s="114">
        <v>2.2200000000000002E-3</v>
      </c>
      <c r="E9" s="112">
        <v>2.3999999999999998E-3</v>
      </c>
      <c r="F9" s="110">
        <f t="shared" si="0"/>
        <v>134.99999999999972</v>
      </c>
      <c r="G9" s="113">
        <v>-0.20799999999999999</v>
      </c>
      <c r="H9" s="103">
        <f>C9*G9*125000</f>
        <v>-156000</v>
      </c>
      <c r="I9" s="14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73">
        <v>43496</v>
      </c>
      <c r="B10" s="3" t="s">
        <v>57</v>
      </c>
      <c r="C10" s="89">
        <v>2</v>
      </c>
      <c r="D10" s="114">
        <v>1.1495</v>
      </c>
      <c r="E10" s="112">
        <v>1.1466000000000001</v>
      </c>
      <c r="F10" s="110">
        <f>(E10-D10)*C10*$C$3</f>
        <v>-724.99999999997567</v>
      </c>
      <c r="G10" s="2">
        <v>1</v>
      </c>
      <c r="H10" s="103">
        <f>C10*G10*125000</f>
        <v>250000</v>
      </c>
      <c r="I10" s="14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122">
        <v>43496</v>
      </c>
      <c r="B11" s="3" t="s">
        <v>58</v>
      </c>
      <c r="C11" s="89">
        <v>90000</v>
      </c>
      <c r="D11" s="114">
        <v>1.1453500000000001</v>
      </c>
      <c r="E11" s="112">
        <v>1.1427</v>
      </c>
      <c r="F11" s="110">
        <f t="shared" ref="F11:F14" si="1">IF(B11="","",(E11-D11)*C11)</f>
        <v>-238.50000000000369</v>
      </c>
      <c r="G11" s="2">
        <v>1</v>
      </c>
      <c r="H11" s="103">
        <f>C11*G11</f>
        <v>90000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122">
        <v>43497</v>
      </c>
      <c r="B12" s="3" t="s">
        <v>58</v>
      </c>
      <c r="C12" s="89">
        <v>-70000</v>
      </c>
      <c r="D12" s="114">
        <v>1.1471</v>
      </c>
      <c r="E12" s="109">
        <f>IF(B12="","",$E$11)</f>
        <v>1.1427</v>
      </c>
      <c r="F12" s="110">
        <f t="shared" si="1"/>
        <v>307.99999999999716</v>
      </c>
      <c r="G12" s="2">
        <v>1</v>
      </c>
      <c r="H12" s="103">
        <f>IF(B12="","",C12*G12)</f>
        <v>-70000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122">
        <v>43497</v>
      </c>
      <c r="B13" s="3" t="s">
        <v>58</v>
      </c>
      <c r="C13" s="89">
        <v>50000</v>
      </c>
      <c r="D13" s="114">
        <v>1.1456200000000001</v>
      </c>
      <c r="E13" s="109">
        <f t="shared" ref="E13:E34" si="2">IF(B13="","",$E$11)</f>
        <v>1.1427</v>
      </c>
      <c r="F13" s="110">
        <f t="shared" si="1"/>
        <v>-146.00000000000168</v>
      </c>
      <c r="G13" s="2">
        <v>1</v>
      </c>
      <c r="H13" s="103">
        <f t="shared" ref="H13:H34" si="3">IF(B13="","",C13*G13)</f>
        <v>50000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122">
        <v>43497</v>
      </c>
      <c r="B14" s="3" t="s">
        <v>58</v>
      </c>
      <c r="C14" s="89">
        <v>-50000</v>
      </c>
      <c r="D14" s="114">
        <v>1.1480699999999999</v>
      </c>
      <c r="E14" s="109">
        <f t="shared" si="2"/>
        <v>1.1427</v>
      </c>
      <c r="F14" s="110">
        <f t="shared" si="1"/>
        <v>268.49999999999375</v>
      </c>
      <c r="G14" s="2">
        <v>1</v>
      </c>
      <c r="H14" s="103">
        <f t="shared" si="3"/>
        <v>-50000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122">
        <v>43497</v>
      </c>
      <c r="B15" s="3" t="s">
        <v>58</v>
      </c>
      <c r="C15" s="89">
        <v>50000</v>
      </c>
      <c r="D15" s="114">
        <v>1.1456200000000001</v>
      </c>
      <c r="E15" s="109">
        <f t="shared" si="2"/>
        <v>1.1427</v>
      </c>
      <c r="F15" s="110">
        <f>IF(B15="","",(E15-D15)*C15)</f>
        <v>-146.00000000000168</v>
      </c>
      <c r="G15" s="2">
        <v>1</v>
      </c>
      <c r="H15" s="103">
        <f t="shared" si="3"/>
        <v>50000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122">
        <v>43501</v>
      </c>
      <c r="B16" s="3" t="s">
        <v>58</v>
      </c>
      <c r="C16" s="89">
        <v>45000</v>
      </c>
      <c r="D16" s="114">
        <v>1.1425000000000001</v>
      </c>
      <c r="E16" s="109">
        <f t="shared" si="2"/>
        <v>1.1427</v>
      </c>
      <c r="F16" s="110">
        <f t="shared" ref="F16:F34" si="4">IF(B16="","",(E16-D16)*C16)</f>
        <v>8.9999999999990088</v>
      </c>
      <c r="G16" s="2">
        <v>1</v>
      </c>
      <c r="H16" s="103">
        <f t="shared" si="3"/>
        <v>45000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3"/>
      <c r="C17" s="89"/>
      <c r="D17" s="114"/>
      <c r="E17" s="109" t="str">
        <f t="shared" si="2"/>
        <v/>
      </c>
      <c r="F17" s="110" t="str">
        <f t="shared" si="4"/>
        <v/>
      </c>
      <c r="G17" s="2">
        <v>1</v>
      </c>
      <c r="H17" s="103" t="str">
        <f t="shared" si="3"/>
        <v/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3"/>
      <c r="C18" s="89"/>
      <c r="D18" s="114"/>
      <c r="E18" s="109" t="str">
        <f t="shared" si="2"/>
        <v/>
      </c>
      <c r="F18" s="110" t="str">
        <f t="shared" si="4"/>
        <v/>
      </c>
      <c r="G18" s="2">
        <v>1</v>
      </c>
      <c r="H18" s="103" t="str">
        <f t="shared" si="3"/>
        <v/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3"/>
      <c r="C19" s="89"/>
      <c r="D19" s="114"/>
      <c r="E19" s="109" t="str">
        <f t="shared" si="2"/>
        <v/>
      </c>
      <c r="F19" s="110" t="str">
        <f t="shared" si="4"/>
        <v/>
      </c>
      <c r="G19" s="2">
        <v>1</v>
      </c>
      <c r="H19" s="103" t="str">
        <f t="shared" si="3"/>
        <v/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3"/>
      <c r="C20" s="89"/>
      <c r="D20" s="114"/>
      <c r="E20" s="109" t="str">
        <f t="shared" si="2"/>
        <v/>
      </c>
      <c r="F20" s="110" t="str">
        <f t="shared" si="4"/>
        <v/>
      </c>
      <c r="G20" s="2">
        <v>1</v>
      </c>
      <c r="H20" s="103" t="str">
        <f t="shared" si="3"/>
        <v/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2"/>
      <c r="C21" s="89"/>
      <c r="D21" s="114"/>
      <c r="E21" s="109" t="str">
        <f t="shared" si="2"/>
        <v/>
      </c>
      <c r="F21" s="110" t="str">
        <f t="shared" si="4"/>
        <v/>
      </c>
      <c r="G21" s="2">
        <v>1</v>
      </c>
      <c r="H21" s="103" t="str">
        <f t="shared" si="3"/>
        <v/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2"/>
      <c r="C22" s="89"/>
      <c r="D22" s="114"/>
      <c r="E22" s="109" t="str">
        <f t="shared" si="2"/>
        <v/>
      </c>
      <c r="F22" s="110" t="str">
        <f t="shared" si="4"/>
        <v/>
      </c>
      <c r="G22" s="2">
        <v>1</v>
      </c>
      <c r="H22" s="103" t="str">
        <f t="shared" si="3"/>
        <v/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2"/>
      <c r="C23" s="89"/>
      <c r="D23" s="114"/>
      <c r="E23" s="109" t="str">
        <f t="shared" si="2"/>
        <v/>
      </c>
      <c r="F23" s="110" t="str">
        <f t="shared" si="4"/>
        <v/>
      </c>
      <c r="G23" s="2">
        <v>1</v>
      </c>
      <c r="H23" s="103" t="str">
        <f t="shared" si="3"/>
        <v/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2"/>
      <c r="C24" s="89"/>
      <c r="D24" s="114"/>
      <c r="E24" s="109" t="str">
        <f t="shared" si="2"/>
        <v/>
      </c>
      <c r="F24" s="110" t="str">
        <f t="shared" si="4"/>
        <v/>
      </c>
      <c r="G24" s="2">
        <v>1</v>
      </c>
      <c r="H24" s="103" t="str">
        <f t="shared" si="3"/>
        <v/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2"/>
      <c r="C25" s="89"/>
      <c r="D25" s="114"/>
      <c r="E25" s="109" t="str">
        <f t="shared" si="2"/>
        <v/>
      </c>
      <c r="F25" s="110" t="str">
        <f t="shared" si="4"/>
        <v/>
      </c>
      <c r="G25" s="2">
        <v>1</v>
      </c>
      <c r="H25" s="103" t="str">
        <f t="shared" si="3"/>
        <v/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2"/>
      <c r="C26" s="89"/>
      <c r="D26" s="114"/>
      <c r="E26" s="109" t="str">
        <f t="shared" si="2"/>
        <v/>
      </c>
      <c r="F26" s="110" t="str">
        <f t="shared" si="4"/>
        <v/>
      </c>
      <c r="G26" s="2">
        <v>1</v>
      </c>
      <c r="H26" s="103" t="str">
        <f t="shared" si="3"/>
        <v/>
      </c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2"/>
      <c r="C27" s="89"/>
      <c r="D27" s="114"/>
      <c r="E27" s="109" t="str">
        <f t="shared" si="2"/>
        <v/>
      </c>
      <c r="F27" s="110" t="str">
        <f t="shared" si="4"/>
        <v/>
      </c>
      <c r="G27" s="2">
        <v>1</v>
      </c>
      <c r="H27" s="103" t="str">
        <f t="shared" si="3"/>
        <v/>
      </c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2"/>
      <c r="C28" s="89"/>
      <c r="D28" s="114"/>
      <c r="E28" s="109" t="str">
        <f t="shared" si="2"/>
        <v/>
      </c>
      <c r="F28" s="110" t="str">
        <f t="shared" si="4"/>
        <v/>
      </c>
      <c r="G28" s="2">
        <v>1</v>
      </c>
      <c r="H28" s="103" t="str">
        <f t="shared" si="3"/>
        <v/>
      </c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2"/>
      <c r="C29" s="89"/>
      <c r="D29" s="114"/>
      <c r="E29" s="109" t="str">
        <f t="shared" si="2"/>
        <v/>
      </c>
      <c r="F29" s="110" t="str">
        <f t="shared" si="4"/>
        <v/>
      </c>
      <c r="G29" s="2">
        <v>1</v>
      </c>
      <c r="H29" s="103" t="str">
        <f t="shared" si="3"/>
        <v/>
      </c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2"/>
      <c r="C30" s="89"/>
      <c r="D30" s="114"/>
      <c r="E30" s="109" t="str">
        <f t="shared" si="2"/>
        <v/>
      </c>
      <c r="F30" s="110" t="str">
        <f t="shared" si="4"/>
        <v/>
      </c>
      <c r="G30" s="2">
        <v>1</v>
      </c>
      <c r="H30" s="103" t="str">
        <f t="shared" si="3"/>
        <v/>
      </c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2"/>
      <c r="C31" s="89"/>
      <c r="D31" s="114"/>
      <c r="E31" s="109" t="str">
        <f t="shared" si="2"/>
        <v/>
      </c>
      <c r="F31" s="110" t="str">
        <f t="shared" si="4"/>
        <v/>
      </c>
      <c r="G31" s="2">
        <v>1</v>
      </c>
      <c r="H31" s="103" t="str">
        <f t="shared" si="3"/>
        <v/>
      </c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2"/>
      <c r="C32" s="89"/>
      <c r="D32" s="114"/>
      <c r="E32" s="109" t="str">
        <f t="shared" si="2"/>
        <v/>
      </c>
      <c r="F32" s="110" t="str">
        <f t="shared" si="4"/>
        <v/>
      </c>
      <c r="G32" s="2">
        <v>1</v>
      </c>
      <c r="H32" s="103" t="str">
        <f t="shared" si="3"/>
        <v/>
      </c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2"/>
      <c r="C33" s="89"/>
      <c r="D33" s="114"/>
      <c r="E33" s="109" t="str">
        <f t="shared" si="2"/>
        <v/>
      </c>
      <c r="F33" s="110" t="str">
        <f t="shared" si="4"/>
        <v/>
      </c>
      <c r="G33" s="2">
        <v>1</v>
      </c>
      <c r="H33" s="103" t="str">
        <f t="shared" si="3"/>
        <v/>
      </c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2"/>
      <c r="C34" s="89"/>
      <c r="D34" s="114"/>
      <c r="E34" s="109" t="str">
        <f t="shared" si="2"/>
        <v/>
      </c>
      <c r="F34" s="110" t="str">
        <f t="shared" si="4"/>
        <v/>
      </c>
      <c r="G34" s="2">
        <v>1</v>
      </c>
      <c r="H34" s="103" t="str">
        <f t="shared" si="3"/>
        <v/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2"/>
      <c r="C35" s="89"/>
      <c r="D35" s="109"/>
      <c r="E35" s="104" t="s">
        <v>65</v>
      </c>
      <c r="F35" s="110">
        <f>SUM(F8:F34)</f>
        <v>-174.99999999999312</v>
      </c>
      <c r="G35" s="104" t="s">
        <v>60</v>
      </c>
      <c r="H35" s="103">
        <f>SUM(H8:H34)</f>
        <v>-2500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2"/>
      <c r="C36" s="89"/>
      <c r="D36" s="109"/>
      <c r="E36" s="104"/>
      <c r="F36" s="110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2"/>
      <c r="C37" s="89"/>
      <c r="D37" s="109"/>
      <c r="E37" s="109"/>
      <c r="F37" s="110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2"/>
      <c r="C38" s="89"/>
      <c r="D38" s="109"/>
      <c r="E38" s="109"/>
      <c r="F38" s="110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2"/>
      <c r="C39" s="89"/>
      <c r="D39" s="109"/>
      <c r="E39" s="109"/>
      <c r="F39" s="110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2"/>
      <c r="C40" s="89"/>
      <c r="D40" s="109"/>
      <c r="E40" s="109"/>
      <c r="F40" s="110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2"/>
      <c r="C41" s="89"/>
      <c r="D41" s="109"/>
      <c r="E41" s="109"/>
      <c r="F41" s="110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2"/>
      <c r="C42" s="89"/>
      <c r="D42" s="109"/>
      <c r="E42" s="109"/>
      <c r="F42" s="110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2"/>
      <c r="C43" s="89"/>
      <c r="D43" s="109"/>
      <c r="E43" s="109"/>
      <c r="F43" s="110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2"/>
      <c r="C44" s="89"/>
      <c r="D44" s="109"/>
      <c r="E44" s="109"/>
      <c r="F44" s="110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2"/>
      <c r="C45" s="89"/>
      <c r="D45" s="109"/>
      <c r="E45" s="109"/>
      <c r="F45" s="110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2"/>
      <c r="C46" s="89"/>
      <c r="D46" s="109"/>
      <c r="E46" s="109"/>
      <c r="F46" s="110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2"/>
      <c r="C47" s="89"/>
      <c r="D47" s="109"/>
      <c r="E47" s="109"/>
      <c r="F47" s="110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2"/>
      <c r="C48" s="89"/>
      <c r="D48" s="109"/>
      <c r="E48" s="109"/>
      <c r="F48" s="110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2"/>
      <c r="C49" s="89"/>
      <c r="D49" s="109"/>
      <c r="E49" s="109"/>
      <c r="F49" s="110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2"/>
      <c r="C50" s="89"/>
      <c r="D50" s="109"/>
      <c r="E50" s="109"/>
      <c r="F50" s="110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2"/>
      <c r="C51" s="89"/>
      <c r="D51" s="109"/>
      <c r="E51" s="109"/>
      <c r="F51" s="110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2"/>
      <c r="C52" s="89"/>
      <c r="D52" s="109"/>
      <c r="E52" s="109"/>
      <c r="F52" s="110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2"/>
      <c r="C53" s="89"/>
      <c r="D53" s="109"/>
      <c r="E53" s="109"/>
      <c r="F53" s="110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2"/>
      <c r="C54" s="89"/>
      <c r="D54" s="109"/>
      <c r="E54" s="109"/>
      <c r="F54" s="110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2"/>
      <c r="C55" s="89"/>
      <c r="D55" s="109"/>
      <c r="E55" s="109"/>
      <c r="F55" s="110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2"/>
      <c r="C56" s="89"/>
      <c r="D56" s="109"/>
      <c r="E56" s="109"/>
      <c r="F56" s="110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2"/>
      <c r="C57" s="89"/>
      <c r="D57" s="109"/>
      <c r="E57" s="109"/>
      <c r="F57" s="110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2"/>
      <c r="C58" s="89"/>
      <c r="D58" s="109"/>
      <c r="E58" s="109"/>
      <c r="F58" s="110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2"/>
      <c r="C59" s="89"/>
      <c r="D59" s="109"/>
      <c r="E59" s="109"/>
      <c r="F59" s="110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2"/>
      <c r="C60" s="89"/>
      <c r="D60" s="109"/>
      <c r="E60" s="109"/>
      <c r="F60" s="110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2"/>
      <c r="C61" s="89"/>
      <c r="D61" s="89"/>
      <c r="E61" s="89"/>
      <c r="F61" s="110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2"/>
      <c r="C62" s="89"/>
      <c r="D62" s="89"/>
      <c r="E62" s="89"/>
      <c r="F62" s="110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2"/>
      <c r="C63" s="89"/>
      <c r="D63" s="89"/>
      <c r="E63" s="89"/>
      <c r="F63" s="89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2"/>
      <c r="C64" s="89"/>
      <c r="D64" s="89"/>
      <c r="E64" s="89"/>
      <c r="F64" s="89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2"/>
      <c r="C65" s="89"/>
      <c r="D65" s="89"/>
      <c r="E65" s="89"/>
      <c r="F65" s="89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2"/>
      <c r="C66" s="89"/>
      <c r="D66" s="89"/>
      <c r="E66" s="89"/>
      <c r="F66" s="89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2"/>
      <c r="C67" s="89"/>
      <c r="D67" s="89"/>
      <c r="E67" s="89"/>
      <c r="F67" s="89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2"/>
      <c r="C68" s="89"/>
      <c r="D68" s="89"/>
      <c r="E68" s="89"/>
      <c r="F68" s="89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2"/>
      <c r="C69" s="89"/>
      <c r="D69" s="89"/>
      <c r="E69" s="89"/>
      <c r="F69" s="89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2"/>
      <c r="C70" s="89"/>
      <c r="D70" s="89"/>
      <c r="E70" s="89"/>
      <c r="F70" s="89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2"/>
      <c r="C71" s="89"/>
      <c r="D71" s="89"/>
      <c r="E71" s="89"/>
      <c r="F71" s="89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2"/>
      <c r="C72" s="89"/>
      <c r="D72" s="89"/>
      <c r="E72" s="89"/>
      <c r="F72" s="89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Trade1</vt:lpstr>
      <vt:lpstr>Log1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</cp:lastModifiedBy>
  <dcterms:created xsi:type="dcterms:W3CDTF">2019-01-29T12:18:26Z</dcterms:created>
  <dcterms:modified xsi:type="dcterms:W3CDTF">2019-02-05T19:20:10Z</dcterms:modified>
</cp:coreProperties>
</file>