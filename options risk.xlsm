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icolas/Desktop/"/>
    </mc:Choice>
  </mc:AlternateContent>
  <bookViews>
    <workbookView xWindow="29800" yWindow="460" windowWidth="21400" windowHeight="28340" tabRatio="500" activeTab="1"/>
  </bookViews>
  <sheets>
    <sheet name="Main" sheetId="8" r:id="rId1"/>
    <sheet name="UAA US Equity" sheetId="1" r:id="rId2"/>
  </sheets>
  <definedNames>
    <definedName name="Account">#REF!</definedName>
    <definedName name="Amount">'UAA US Equity'!$D$36</definedName>
    <definedName name="bump">'UAA US Equity'!$H$14</definedName>
    <definedName name="C_0">#REF!</definedName>
    <definedName name="d_1">'UAA US Equity'!$D$13</definedName>
    <definedName name="d_1_down">'UAA US Equity'!$D$16</definedName>
    <definedName name="d_1_short">'UAA US Equity'!$H$19</definedName>
    <definedName name="d_1_up">'UAA US Equity'!$D$15</definedName>
    <definedName name="d_2">'UAA US Equity'!$D$14</definedName>
    <definedName name="d_2_short">'UAA US Equity'!$H$20</definedName>
    <definedName name="d1_volDown">'UAA US Equity'!$D$28</definedName>
    <definedName name="d1_volUp">'UAA US Equity'!$D$27</definedName>
    <definedName name="d2_volDown">'UAA US Equity'!$E$28</definedName>
    <definedName name="d2_volUp">'UAA US Equity'!$E$27</definedName>
    <definedName name="delta_down">'UAA US Equity'!$D$21</definedName>
    <definedName name="delta_up">'UAA US Equity'!$D$20</definedName>
    <definedName name="deltaCall">'UAA US Equity'!$H$5</definedName>
    <definedName name="deltaPut">'UAA US Equity'!$I$5</definedName>
    <definedName name="ExpiryDate">#REF!</definedName>
    <definedName name="GammaCall">'UAA US Equity'!$H$6</definedName>
    <definedName name="GammaPut">'UAA US Equity'!$I$6</definedName>
    <definedName name="K">'UAA US Equity'!$D$6</definedName>
    <definedName name="Mult">'UAA US Equity'!$E$36</definedName>
    <definedName name="PVCall">'UAA US Equity'!$H$4</definedName>
    <definedName name="PVPut">'UAA US Equity'!$I$4</definedName>
    <definedName name="q">'UAA US Equity'!$D$10</definedName>
    <definedName name="r_dom">'UAA US Equity'!$D$9</definedName>
    <definedName name="S_0">'UAA US Equity'!$D$5</definedName>
    <definedName name="S_0_Down">'UAA US Equity'!$H$16</definedName>
    <definedName name="S_0_Up">'UAA US Equity'!$H$15</definedName>
    <definedName name="sigma">'UAA US Equity'!$D$8</definedName>
    <definedName name="sigma_down">'UAA US Equity'!$H$26</definedName>
    <definedName name="sigma_up">'UAA US Equity'!$H$25</definedName>
    <definedName name="T">'UAA US Equity'!$D$7</definedName>
    <definedName name="ThetaC1d">'UAA US Equity'!$H$10</definedName>
    <definedName name="ThetaCall">'UAA US Equity'!$H$7</definedName>
    <definedName name="ThetaP1d">'UAA US Equity'!$I$10</definedName>
    <definedName name="ThetaPut">'UAA US Equity'!$I$7</definedName>
    <definedName name="TShort">'UAA US Equity'!$H$18</definedName>
    <definedName name="ValueDate">#REF!</definedName>
    <definedName name="Vega" localSheetId="1">'UAA US Equity'!$L$37</definedName>
    <definedName name="Vega">#REF!</definedName>
    <definedName name="VegaCall">'UAA US Equity'!$H$8</definedName>
    <definedName name="VegaPut">'UAA US Equity'!$I$8</definedName>
    <definedName name="vol_bump">'UAA US Equity'!$H$24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D7" i="1"/>
  <c r="D13" i="1"/>
  <c r="H6" i="1"/>
  <c r="M36" i="1"/>
  <c r="G32" i="1"/>
  <c r="D5" i="1"/>
  <c r="D14" i="1"/>
  <c r="H4" i="1"/>
  <c r="H36" i="1"/>
  <c r="G36" i="1"/>
  <c r="H5" i="1"/>
  <c r="K36" i="1"/>
  <c r="E36" i="1"/>
  <c r="H14" i="1"/>
  <c r="H15" i="1"/>
  <c r="D15" i="1"/>
  <c r="D20" i="1"/>
  <c r="K20" i="1"/>
  <c r="H16" i="1"/>
  <c r="D16" i="1"/>
  <c r="D21" i="1"/>
  <c r="K21" i="1"/>
  <c r="K22" i="1"/>
  <c r="B37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D22" i="1"/>
  <c r="K23" i="1"/>
  <c r="I8" i="1"/>
  <c r="H8" i="1"/>
  <c r="E2" i="1"/>
  <c r="D18" i="1"/>
  <c r="H18" i="1"/>
  <c r="H19" i="1"/>
  <c r="H20" i="1"/>
  <c r="H21" i="1"/>
  <c r="H10" i="1"/>
  <c r="N36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E37" i="1"/>
  <c r="K37" i="1"/>
  <c r="H37" i="1"/>
  <c r="J37" i="1"/>
  <c r="L36" i="1"/>
  <c r="I21" i="1"/>
  <c r="I4" i="1"/>
  <c r="I10" i="1"/>
  <c r="I7" i="1"/>
  <c r="H7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I6" i="1"/>
  <c r="H25" i="1"/>
  <c r="D27" i="1"/>
  <c r="E27" i="1"/>
  <c r="H28" i="1"/>
  <c r="H26" i="1"/>
  <c r="D28" i="1"/>
  <c r="E28" i="1"/>
  <c r="H29" i="1"/>
  <c r="N51" i="1"/>
  <c r="I28" i="1"/>
  <c r="I29" i="1"/>
  <c r="K68" i="1"/>
  <c r="J68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G66" i="1"/>
  <c r="G67" i="1"/>
  <c r="G69" i="1"/>
  <c r="G68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66" i="1"/>
  <c r="I61" i="1"/>
  <c r="I60" i="1"/>
  <c r="B41" i="1"/>
  <c r="C41" i="1"/>
  <c r="B42" i="1"/>
  <c r="C42" i="1"/>
  <c r="B43" i="1"/>
  <c r="C43" i="1"/>
  <c r="B44" i="1"/>
  <c r="C44" i="1"/>
  <c r="B45" i="1"/>
  <c r="C45" i="1"/>
  <c r="C37" i="1"/>
  <c r="B38" i="1"/>
  <c r="C38" i="1"/>
  <c r="B39" i="1"/>
  <c r="C39" i="1"/>
  <c r="B40" i="1"/>
  <c r="C40" i="1"/>
  <c r="B46" i="1"/>
  <c r="C46" i="1"/>
  <c r="B47" i="1"/>
  <c r="C47" i="1"/>
  <c r="B48" i="1"/>
  <c r="C48" i="1"/>
  <c r="B49" i="1"/>
  <c r="C49" i="1"/>
  <c r="B50" i="1"/>
  <c r="C50" i="1"/>
  <c r="I52" i="1"/>
  <c r="I51" i="1"/>
  <c r="H39" i="1"/>
  <c r="E39" i="1"/>
  <c r="H40" i="1"/>
  <c r="E40" i="1"/>
  <c r="H41" i="1"/>
  <c r="E41" i="1"/>
  <c r="H42" i="1"/>
  <c r="E42" i="1"/>
  <c r="H43" i="1"/>
  <c r="E43" i="1"/>
  <c r="H44" i="1"/>
  <c r="E44" i="1"/>
  <c r="H45" i="1"/>
  <c r="E45" i="1"/>
  <c r="H38" i="1"/>
  <c r="E38" i="1"/>
  <c r="L37" i="1"/>
  <c r="L39" i="1"/>
  <c r="L40" i="1"/>
  <c r="L41" i="1"/>
  <c r="L42" i="1"/>
  <c r="L43" i="1"/>
  <c r="L44" i="1"/>
  <c r="L45" i="1"/>
  <c r="L46" i="1"/>
  <c r="L47" i="1"/>
  <c r="L48" i="1"/>
  <c r="L49" i="1"/>
  <c r="L50" i="1"/>
  <c r="F37" i="1"/>
  <c r="F39" i="1"/>
  <c r="F40" i="1"/>
  <c r="F41" i="1"/>
  <c r="F42" i="1"/>
  <c r="F43" i="1"/>
  <c r="F44" i="1"/>
  <c r="F45" i="1"/>
  <c r="F46" i="1"/>
  <c r="F47" i="1"/>
  <c r="F48" i="1"/>
  <c r="F49" i="1"/>
  <c r="F50" i="1"/>
  <c r="F36" i="1"/>
  <c r="H46" i="1"/>
  <c r="H47" i="1"/>
  <c r="H48" i="1"/>
  <c r="H49" i="1"/>
  <c r="H50" i="1"/>
  <c r="E46" i="1"/>
  <c r="E47" i="1"/>
  <c r="E48" i="1"/>
  <c r="E49" i="1"/>
  <c r="E50" i="1"/>
  <c r="G1" i="1"/>
  <c r="D13" i="8"/>
  <c r="G15" i="8"/>
  <c r="G14" i="8"/>
  <c r="F15" i="8"/>
  <c r="F14" i="8"/>
  <c r="E15" i="8"/>
  <c r="E14" i="8"/>
  <c r="D15" i="8"/>
  <c r="D14" i="8"/>
  <c r="G12" i="8"/>
  <c r="F12" i="8"/>
  <c r="E12" i="8"/>
  <c r="F9" i="8"/>
  <c r="F10" i="8"/>
  <c r="F31" i="8"/>
  <c r="G9" i="8"/>
  <c r="G10" i="8"/>
  <c r="G11" i="8"/>
  <c r="G31" i="8"/>
  <c r="D11" i="8"/>
  <c r="D10" i="8"/>
  <c r="D9" i="8"/>
  <c r="E9" i="8"/>
  <c r="E10" i="8"/>
  <c r="E31" i="8"/>
  <c r="E8" i="1"/>
  <c r="L38" i="1"/>
  <c r="F38" i="1"/>
  <c r="F11" i="8"/>
  <c r="K51" i="1"/>
  <c r="L51" i="1"/>
  <c r="M51" i="1"/>
  <c r="I5" i="1"/>
  <c r="J51" i="1"/>
  <c r="E11" i="8"/>
  <c r="C36" i="1"/>
</calcChain>
</file>

<file path=xl/sharedStrings.xml><?xml version="1.0" encoding="utf-8"?>
<sst xmlns="http://schemas.openxmlformats.org/spreadsheetml/2006/main" count="80" uniqueCount="75">
  <si>
    <t>Spot</t>
  </si>
  <si>
    <t>Strike</t>
  </si>
  <si>
    <t>Value Date</t>
  </si>
  <si>
    <t>Expiry Date</t>
  </si>
  <si>
    <t>Volatility</t>
  </si>
  <si>
    <t>Div. Yield</t>
  </si>
  <si>
    <t>Call</t>
  </si>
  <si>
    <t>Put</t>
  </si>
  <si>
    <t>PV</t>
  </si>
  <si>
    <t>Delta</t>
  </si>
  <si>
    <t>Gamma</t>
  </si>
  <si>
    <t>Theta</t>
  </si>
  <si>
    <t>Vega</t>
  </si>
  <si>
    <t>Expiry (years)</t>
  </si>
  <si>
    <t>Domestic Rate</t>
  </si>
  <si>
    <t>d1</t>
  </si>
  <si>
    <t>d2</t>
  </si>
  <si>
    <t>Spot Up</t>
  </si>
  <si>
    <t>Spot Down</t>
  </si>
  <si>
    <t>d1 Up</t>
  </si>
  <si>
    <t>d1 Down</t>
  </si>
  <si>
    <t>Bump</t>
  </si>
  <si>
    <t>Bump (% Spot)</t>
  </si>
  <si>
    <t>PV with 1 day less</t>
  </si>
  <si>
    <t>TShort</t>
  </si>
  <si>
    <t>d1 with 1 day less</t>
  </si>
  <si>
    <t>d2 with 1 day less</t>
  </si>
  <si>
    <t>Vol Bump</t>
  </si>
  <si>
    <t>Vol Up</t>
  </si>
  <si>
    <t>Vol Down</t>
  </si>
  <si>
    <t>PV Vol Up</t>
  </si>
  <si>
    <t>vol up</t>
  </si>
  <si>
    <t>vol down</t>
  </si>
  <si>
    <t>PV Vol Down</t>
  </si>
  <si>
    <t>Mkt Px</t>
  </si>
  <si>
    <t>P&amp;L</t>
  </si>
  <si>
    <t>Currency</t>
  </si>
  <si>
    <t>Mkt Value</t>
  </si>
  <si>
    <t>Multiplier</t>
  </si>
  <si>
    <t>Implied Volatility</t>
  </si>
  <si>
    <t>TOTAL</t>
  </si>
  <si>
    <t>Option</t>
  </si>
  <si>
    <t>Delta (1%)</t>
  </si>
  <si>
    <t>Vega (1%)</t>
  </si>
  <si>
    <t>XRAY US 17/11/17 C60</t>
  </si>
  <si>
    <t>Traded Px</t>
  </si>
  <si>
    <t>UAA</t>
  </si>
  <si>
    <t>Stock</t>
  </si>
  <si>
    <t>C</t>
  </si>
  <si>
    <t>Trade type</t>
  </si>
  <si>
    <t>Underlying</t>
  </si>
  <si>
    <t>Amount</t>
  </si>
  <si>
    <t>Option type</t>
  </si>
  <si>
    <t>Date</t>
  </si>
  <si>
    <t>Average Px:</t>
  </si>
  <si>
    <t>Delta traded:</t>
  </si>
  <si>
    <t>min</t>
  </si>
  <si>
    <t>max</t>
  </si>
  <si>
    <t>stdev</t>
  </si>
  <si>
    <t>mean</t>
  </si>
  <si>
    <t>Binance</t>
  </si>
  <si>
    <t>Bitfinex</t>
  </si>
  <si>
    <t>Expiry - Date</t>
  </si>
  <si>
    <t>Expiry - Years</t>
  </si>
  <si>
    <t>Theta 1-day</t>
  </si>
  <si>
    <t>Gamma computed with bumps</t>
  </si>
  <si>
    <t>Call Delta Up</t>
  </si>
  <si>
    <t>Call Delta Down</t>
  </si>
  <si>
    <t>pos delta up</t>
  </si>
  <si>
    <t>pos delta down</t>
  </si>
  <si>
    <t>pos gamma</t>
  </si>
  <si>
    <t>Delta USD</t>
  </si>
  <si>
    <t>Vega 1%</t>
  </si>
  <si>
    <t>Gamma 1%</t>
  </si>
  <si>
    <t>(1%)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</si>
</sst>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.00_-;\-* #,##0.00_-;_-* &quot;-&quot;??_-;_-@_-"/>
    <numFmt numFmtId="165" formatCode="[$-409]d\-mmm\-yy;@"/>
    <numFmt numFmtId="166" formatCode="0.00_ ;\-0.00\ "/>
    <numFmt numFmtId="167" formatCode="0.0000"/>
    <numFmt numFmtId="168" formatCode="0.000"/>
    <numFmt numFmtId="169" formatCode="0.0"/>
    <numFmt numFmtId="170" formatCode="0.0%"/>
    <numFmt numFmtId="172" formatCode="_-* #,##0_-;\-* #,##0_-;_-* &quot;-&quot;??_-;_-@_-"/>
    <numFmt numFmtId="173" formatCode="0.0000_ ;\-0.0000\ "/>
    <numFmt numFmtId="174" formatCode="[$-409]dd\-mmm\-yy;@"/>
  </numFmts>
  <fonts count="1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indexed="72"/>
      <name val="Helvetica"/>
      <family val="2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3">
    <xf numFmtId="0" fontId="0" fillId="0" borderId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79">
    <xf numFmtId="0" fontId="0" fillId="0" borderId="0" xfId="0"/>
    <xf numFmtId="2" fontId="3" fillId="2" borderId="0" xfId="0" applyNumberFormat="1" applyFont="1" applyFill="1" applyAlignment="1">
      <alignment horizontal="center"/>
    </xf>
    <xf numFmtId="10" fontId="3" fillId="2" borderId="0" xfId="0" applyNumberFormat="1" applyFont="1" applyFill="1" applyAlignment="1">
      <alignment horizontal="center"/>
    </xf>
    <xf numFmtId="167" fontId="0" fillId="3" borderId="0" xfId="0" applyNumberFormat="1" applyFont="1" applyFill="1" applyAlignment="1">
      <alignment horizontal="center"/>
    </xf>
    <xf numFmtId="167" fontId="3" fillId="3" borderId="0" xfId="0" applyNumberFormat="1" applyFont="1" applyFill="1" applyAlignment="1">
      <alignment horizontal="center" vertical="center"/>
    </xf>
    <xf numFmtId="0" fontId="0" fillId="2" borderId="0" xfId="0" applyFill="1"/>
    <xf numFmtId="0" fontId="0" fillId="4" borderId="0" xfId="0" applyFill="1"/>
    <xf numFmtId="0" fontId="0" fillId="4" borderId="5" xfId="0" applyFill="1" applyBorder="1"/>
    <xf numFmtId="0" fontId="0" fillId="4" borderId="1" xfId="0" applyFill="1" applyBorder="1"/>
    <xf numFmtId="0" fontId="0" fillId="4" borderId="1" xfId="0" applyFill="1" applyBorder="1" applyAlignment="1">
      <alignment horizontal="right"/>
    </xf>
    <xf numFmtId="0" fontId="0" fillId="4" borderId="7" xfId="0" applyFill="1" applyBorder="1"/>
    <xf numFmtId="0" fontId="0" fillId="4" borderId="0" xfId="0" applyFill="1" applyBorder="1"/>
    <xf numFmtId="0" fontId="0" fillId="4" borderId="0" xfId="0" applyFill="1" applyBorder="1" applyAlignment="1">
      <alignment horizontal="right"/>
    </xf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38" fontId="0" fillId="4" borderId="5" xfId="0" applyNumberFormat="1" applyFill="1" applyBorder="1" applyAlignment="1">
      <alignment horizontal="center"/>
    </xf>
    <xf numFmtId="38" fontId="0" fillId="4" borderId="7" xfId="0" applyNumberFormat="1" applyFill="1" applyBorder="1" applyAlignment="1">
      <alignment horizontal="center"/>
    </xf>
    <xf numFmtId="38" fontId="0" fillId="4" borderId="9" xfId="0" applyNumberForma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3" fontId="0" fillId="4" borderId="1" xfId="0" applyNumberFormat="1" applyFill="1" applyBorder="1" applyAlignment="1">
      <alignment horizontal="center"/>
    </xf>
    <xf numFmtId="3" fontId="0" fillId="4" borderId="0" xfId="0" applyNumberForma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169" fontId="0" fillId="4" borderId="6" xfId="0" applyNumberFormat="1" applyFill="1" applyBorder="1" applyAlignment="1">
      <alignment horizontal="center"/>
    </xf>
    <xf numFmtId="169" fontId="0" fillId="4" borderId="8" xfId="0" applyNumberFormat="1" applyFill="1" applyBorder="1" applyAlignment="1">
      <alignment horizontal="center"/>
    </xf>
    <xf numFmtId="0" fontId="3" fillId="4" borderId="0" xfId="0" applyFont="1" applyFill="1" applyAlignment="1">
      <alignment horizontal="right"/>
    </xf>
    <xf numFmtId="38" fontId="3" fillId="4" borderId="0" xfId="0" applyNumberFormat="1" applyFont="1" applyFill="1" applyAlignment="1">
      <alignment horizontal="center"/>
    </xf>
    <xf numFmtId="3" fontId="3" fillId="4" borderId="0" xfId="0" applyNumberFormat="1" applyFont="1" applyFill="1" applyAlignment="1">
      <alignment horizontal="center"/>
    </xf>
    <xf numFmtId="169" fontId="3" fillId="4" borderId="0" xfId="0" applyNumberFormat="1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0" fillId="4" borderId="0" xfId="0" applyFill="1" applyAlignment="1">
      <alignment horizontal="right"/>
    </xf>
    <xf numFmtId="167" fontId="0" fillId="4" borderId="0" xfId="0" applyNumberFormat="1" applyFill="1"/>
    <xf numFmtId="0" fontId="0" fillId="4" borderId="0" xfId="0" applyFill="1" applyAlignment="1">
      <alignment horizontal="center"/>
    </xf>
    <xf numFmtId="1" fontId="0" fillId="4" borderId="0" xfId="0" applyNumberFormat="1" applyFill="1"/>
    <xf numFmtId="0" fontId="4" fillId="4" borderId="0" xfId="0" applyFont="1" applyFill="1" applyAlignment="1">
      <alignment horizontal="center"/>
    </xf>
    <xf numFmtId="168" fontId="3" fillId="4" borderId="0" xfId="0" applyNumberFormat="1" applyFont="1" applyFill="1" applyAlignment="1">
      <alignment horizontal="center" vertical="center"/>
    </xf>
    <xf numFmtId="166" fontId="2" fillId="3" borderId="0" xfId="1" applyNumberFormat="1" applyFont="1" applyFill="1" applyAlignment="1">
      <alignment vertical="center"/>
    </xf>
    <xf numFmtId="0" fontId="3" fillId="4" borderId="0" xfId="0" applyFont="1" applyFill="1"/>
    <xf numFmtId="0" fontId="3" fillId="4" borderId="2" xfId="0" applyFont="1" applyFill="1" applyBorder="1" applyAlignment="1">
      <alignment horizontal="right"/>
    </xf>
    <xf numFmtId="170" fontId="3" fillId="4" borderId="3" xfId="38" applyNumberFormat="1" applyFont="1" applyFill="1" applyBorder="1" applyAlignment="1">
      <alignment horizontal="center"/>
    </xf>
    <xf numFmtId="0" fontId="3" fillId="4" borderId="3" xfId="0" applyFont="1" applyFill="1" applyBorder="1"/>
    <xf numFmtId="0" fontId="3" fillId="4" borderId="4" xfId="0" applyFont="1" applyFill="1" applyBorder="1"/>
    <xf numFmtId="0" fontId="0" fillId="5" borderId="0" xfId="0" applyFill="1" applyAlignment="1">
      <alignment horizontal="center"/>
    </xf>
    <xf numFmtId="3" fontId="0" fillId="5" borderId="0" xfId="0" applyNumberFormat="1" applyFill="1"/>
    <xf numFmtId="3" fontId="0" fillId="4" borderId="0" xfId="0" applyNumberFormat="1" applyFill="1" applyAlignment="1">
      <alignment horizontal="center"/>
    </xf>
    <xf numFmtId="0" fontId="8" fillId="6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/>
    </xf>
    <xf numFmtId="164" fontId="0" fillId="4" borderId="0" xfId="1" applyFont="1" applyFill="1"/>
    <xf numFmtId="10" fontId="0" fillId="4" borderId="0" xfId="0" applyNumberFormat="1" applyFill="1"/>
    <xf numFmtId="172" fontId="0" fillId="4" borderId="0" xfId="1" applyNumberFormat="1" applyFont="1" applyFill="1"/>
    <xf numFmtId="3" fontId="3" fillId="4" borderId="12" xfId="0" applyNumberFormat="1" applyFont="1" applyFill="1" applyBorder="1" applyAlignment="1">
      <alignment horizontal="center"/>
    </xf>
    <xf numFmtId="173" fontId="2" fillId="3" borderId="0" xfId="1" applyNumberFormat="1" applyFont="1" applyFill="1" applyAlignment="1">
      <alignment vertical="center"/>
    </xf>
    <xf numFmtId="173" fontId="0" fillId="2" borderId="0" xfId="0" applyNumberFormat="1" applyFill="1"/>
    <xf numFmtId="2" fontId="0" fillId="4" borderId="0" xfId="0" applyNumberFormat="1" applyFill="1" applyAlignment="1">
      <alignment horizontal="left"/>
    </xf>
    <xf numFmtId="3" fontId="0" fillId="2" borderId="0" xfId="0" applyNumberFormat="1" applyFill="1"/>
    <xf numFmtId="3" fontId="9" fillId="4" borderId="0" xfId="0" applyNumberFormat="1" applyFont="1" applyFill="1" applyAlignment="1">
      <alignment horizontal="center" vertical="center"/>
    </xf>
    <xf numFmtId="0" fontId="9" fillId="4" borderId="0" xfId="0" applyFont="1" applyFill="1" applyAlignment="1">
      <alignment horizontal="right" vertical="center"/>
    </xf>
    <xf numFmtId="38" fontId="2" fillId="3" borderId="0" xfId="1" applyNumberFormat="1" applyFont="1" applyFill="1" applyAlignment="1">
      <alignment horizontal="center" vertical="center"/>
    </xf>
    <xf numFmtId="166" fontId="0" fillId="2" borderId="0" xfId="0" applyNumberFormat="1" applyFill="1"/>
    <xf numFmtId="174" fontId="0" fillId="4" borderId="0" xfId="0" applyNumberFormat="1" applyFill="1"/>
    <xf numFmtId="174" fontId="0" fillId="5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3" fontId="0" fillId="4" borderId="0" xfId="1" applyNumberFormat="1" applyFont="1" applyFill="1" applyAlignment="1">
      <alignment horizontal="center"/>
    </xf>
    <xf numFmtId="9" fontId="0" fillId="4" borderId="0" xfId="38" applyFont="1" applyFill="1"/>
    <xf numFmtId="9" fontId="0" fillId="4" borderId="0" xfId="38" applyFont="1" applyFill="1" applyAlignment="1">
      <alignment horizontal="center"/>
    </xf>
    <xf numFmtId="2" fontId="0" fillId="4" borderId="0" xfId="0" applyNumberFormat="1" applyFill="1"/>
    <xf numFmtId="0" fontId="3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10" fontId="0" fillId="4" borderId="0" xfId="38" applyNumberFormat="1" applyFont="1" applyFill="1"/>
    <xf numFmtId="3" fontId="0" fillId="2" borderId="0" xfId="0" applyNumberFormat="1" applyFont="1" applyFill="1"/>
    <xf numFmtId="165" fontId="3" fillId="2" borderId="0" xfId="0" applyNumberFormat="1" applyFont="1" applyFill="1" applyAlignment="1">
      <alignment horizontal="center"/>
    </xf>
    <xf numFmtId="3" fontId="2" fillId="3" borderId="0" xfId="1" applyNumberFormat="1" applyFont="1" applyFill="1" applyAlignment="1">
      <alignment horizontal="center" vertical="center"/>
    </xf>
    <xf numFmtId="9" fontId="0" fillId="4" borderId="0" xfId="0" applyNumberFormat="1" applyFill="1" applyAlignment="1">
      <alignment horizontal="center"/>
    </xf>
    <xf numFmtId="10" fontId="3" fillId="2" borderId="1" xfId="0" applyNumberFormat="1" applyFont="1" applyFill="1" applyBorder="1" applyAlignment="1">
      <alignment horizontal="center"/>
    </xf>
    <xf numFmtId="0" fontId="0" fillId="4" borderId="10" xfId="0" applyFill="1" applyBorder="1" applyAlignment="1">
      <alignment horizontal="right"/>
    </xf>
    <xf numFmtId="168" fontId="3" fillId="3" borderId="0" xfId="0" applyNumberFormat="1" applyFont="1" applyFill="1" applyAlignment="1">
      <alignment horizontal="center" vertical="center"/>
    </xf>
    <xf numFmtId="3" fontId="0" fillId="4" borderId="0" xfId="0" applyNumberFormat="1" applyFill="1"/>
    <xf numFmtId="0" fontId="0" fillId="4" borderId="0" xfId="0" quotePrefix="1" applyFill="1"/>
  </cellXfs>
  <cellStyles count="43">
    <cellStyle name="Comma" xfId="1" builtinId="3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40" builtinId="9" hidden="1"/>
    <cellStyle name="Followed Hyperlink" xfId="42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9" builtinId="8" hidden="1"/>
    <cellStyle name="Hyperlink" xfId="41" builtinId="8" hidden="1"/>
    <cellStyle name="Normal" xfId="0" builtinId="0"/>
    <cellStyle name="Percent" xfId="38" builtinId="5"/>
  </cellStyles>
  <dxfs count="0"/>
  <tableStyles count="0" defaultTableStyle="TableStyleMedium9" defaultPivotStyle="PivotStyleMedium4"/>
  <colors>
    <mruColors>
      <color rgb="FF5978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774700</xdr:colOff>
          <xdr:row>2</xdr:row>
          <xdr:rowOff>114300</xdr:rowOff>
        </xdr:from>
        <xdr:to>
          <xdr:col>4</xdr:col>
          <xdr:colOff>266700</xdr:colOff>
          <xdr:row>4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Get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FFFF00"/>
  </sheetPr>
  <dimension ref="A1:T81"/>
  <sheetViews>
    <sheetView workbookViewId="0">
      <selection activeCell="E53" sqref="E53"/>
    </sheetView>
  </sheetViews>
  <sheetFormatPr baseColWidth="10" defaultRowHeight="16" x14ac:dyDescent="0.2"/>
  <cols>
    <col min="2" max="2" width="4.6640625" customWidth="1"/>
    <col min="4" max="4" width="13.1640625" customWidth="1"/>
  </cols>
  <sheetData>
    <row r="1" spans="1:20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</row>
    <row r="2" spans="1:20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</row>
    <row r="3" spans="1:20" x14ac:dyDescent="0.2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</row>
    <row r="4" spans="1:20" x14ac:dyDescent="0.2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</row>
    <row r="5" spans="1:20" x14ac:dyDescent="0.2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</row>
    <row r="6" spans="1:20" x14ac:dyDescent="0.2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</row>
    <row r="7" spans="1:20" x14ac:dyDescent="0.2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</row>
    <row r="8" spans="1:20" x14ac:dyDescent="0.2">
      <c r="A8" s="6"/>
      <c r="B8" s="68" t="s">
        <v>41</v>
      </c>
      <c r="C8" s="68"/>
      <c r="D8" s="68"/>
      <c r="E8" s="19" t="s">
        <v>35</v>
      </c>
      <c r="F8" s="19" t="s">
        <v>42</v>
      </c>
      <c r="G8" s="19" t="s">
        <v>43</v>
      </c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</row>
    <row r="9" spans="1:20" x14ac:dyDescent="0.2">
      <c r="A9" s="6"/>
      <c r="B9" s="7"/>
      <c r="C9" s="8"/>
      <c r="D9" s="9" t="e">
        <f>#REF!</f>
        <v>#REF!</v>
      </c>
      <c r="E9" s="16" t="e">
        <f>#REF!</f>
        <v>#REF!</v>
      </c>
      <c r="F9" s="20" t="e">
        <f>(#REF!+#REF!)*[0]!S_0/100</f>
        <v>#REF!</v>
      </c>
      <c r="G9" s="23" t="e">
        <f>[0]!Vega</f>
        <v>#REF!</v>
      </c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</row>
    <row r="10" spans="1:20" x14ac:dyDescent="0.2">
      <c r="A10" s="6"/>
      <c r="B10" s="10"/>
      <c r="C10" s="11"/>
      <c r="D10" s="12" t="e">
        <f>#REF!</f>
        <v>#REF!</v>
      </c>
      <c r="E10" s="17" t="e">
        <f>#REF!</f>
        <v>#REF!</v>
      </c>
      <c r="F10" s="21" t="e">
        <f>(#REF!+#REF!)*[0]!S_0/100</f>
        <v>#REF!</v>
      </c>
      <c r="G10" s="24" t="e">
        <f>[0]!Vega</f>
        <v>#REF!</v>
      </c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</row>
    <row r="11" spans="1:20" x14ac:dyDescent="0.2">
      <c r="A11" s="6"/>
      <c r="B11" s="10"/>
      <c r="C11" s="11"/>
      <c r="D11" s="12" t="str">
        <f>'UAA US Equity'!C37</f>
        <v>UAA US Equity</v>
      </c>
      <c r="E11" s="17">
        <f ca="1">'UAA US Equity'!J51</f>
        <v>0</v>
      </c>
      <c r="F11" s="21">
        <f>('UAA US Equity'!E32+'UAA US Equity'!E33)*S_0/100</f>
        <v>0</v>
      </c>
      <c r="G11" s="24">
        <f>'UAA US Equity'!Vega</f>
        <v>0</v>
      </c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</row>
    <row r="12" spans="1:20" x14ac:dyDescent="0.2">
      <c r="A12" s="6"/>
      <c r="B12" s="10"/>
      <c r="C12" s="11"/>
      <c r="D12" s="12" t="s">
        <v>44</v>
      </c>
      <c r="E12" s="17" t="e">
        <f>#REF!</f>
        <v>#REF!</v>
      </c>
      <c r="F12" s="21" t="e">
        <f>#REF!+#REF!</f>
        <v>#REF!</v>
      </c>
      <c r="G12" s="24" t="e">
        <f>[0]!Vega</f>
        <v>#REF!</v>
      </c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</row>
    <row r="13" spans="1:20" x14ac:dyDescent="0.2">
      <c r="A13" s="6"/>
      <c r="B13" s="10"/>
      <c r="C13" s="11"/>
      <c r="D13" s="12" t="e">
        <f>#REF!</f>
        <v>#REF!</v>
      </c>
      <c r="E13" s="17"/>
      <c r="F13" s="21"/>
      <c r="G13" s="24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</row>
    <row r="14" spans="1:20" x14ac:dyDescent="0.2">
      <c r="A14" s="6"/>
      <c r="B14" s="10"/>
      <c r="C14" s="11"/>
      <c r="D14" s="12" t="e">
        <f>#REF!</f>
        <v>#REF!</v>
      </c>
      <c r="E14" s="17" t="e">
        <f>#REF!</f>
        <v>#REF!</v>
      </c>
      <c r="F14" s="21" t="e">
        <f>#REF!+#REF!</f>
        <v>#REF!</v>
      </c>
      <c r="G14" s="24" t="e">
        <f>[0]!Vega</f>
        <v>#REF!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</row>
    <row r="15" spans="1:20" x14ac:dyDescent="0.2">
      <c r="A15" s="6"/>
      <c r="B15" s="10"/>
      <c r="C15" s="11"/>
      <c r="D15" s="12" t="e">
        <f>#REF!</f>
        <v>#REF!</v>
      </c>
      <c r="E15" s="17" t="e">
        <f>#REF!</f>
        <v>#REF!</v>
      </c>
      <c r="F15" s="21" t="e">
        <f>#REF!+#REF!</f>
        <v>#REF!</v>
      </c>
      <c r="G15" s="24" t="e">
        <f>[0]!Vega</f>
        <v>#REF!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</row>
    <row r="16" spans="1:20" x14ac:dyDescent="0.2">
      <c r="A16" s="6"/>
      <c r="B16" s="10"/>
      <c r="C16" s="11"/>
      <c r="D16" s="12"/>
      <c r="E16" s="17"/>
      <c r="F16" s="21"/>
      <c r="G16" s="24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</row>
    <row r="17" spans="1:20" x14ac:dyDescent="0.2">
      <c r="A17" s="6"/>
      <c r="B17" s="10"/>
      <c r="C17" s="11"/>
      <c r="D17" s="12"/>
      <c r="E17" s="17"/>
      <c r="F17" s="21"/>
      <c r="G17" s="24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</row>
    <row r="18" spans="1:20" x14ac:dyDescent="0.2">
      <c r="A18" s="6"/>
      <c r="B18" s="10"/>
      <c r="C18" s="11"/>
      <c r="D18" s="12"/>
      <c r="E18" s="17"/>
      <c r="F18" s="21"/>
      <c r="G18" s="24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</row>
    <row r="19" spans="1:20" x14ac:dyDescent="0.2">
      <c r="A19" s="6"/>
      <c r="B19" s="10"/>
      <c r="C19" s="11"/>
      <c r="D19" s="12"/>
      <c r="E19" s="17"/>
      <c r="F19" s="21"/>
      <c r="G19" s="24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</row>
    <row r="20" spans="1:20" x14ac:dyDescent="0.2">
      <c r="A20" s="6"/>
      <c r="B20" s="10"/>
      <c r="C20" s="11"/>
      <c r="D20" s="12"/>
      <c r="E20" s="17"/>
      <c r="F20" s="21"/>
      <c r="G20" s="24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</row>
    <row r="21" spans="1:20" x14ac:dyDescent="0.2">
      <c r="A21" s="6"/>
      <c r="B21" s="10"/>
      <c r="C21" s="11"/>
      <c r="D21" s="12"/>
      <c r="E21" s="17"/>
      <c r="F21" s="21"/>
      <c r="G21" s="24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</row>
    <row r="22" spans="1:20" x14ac:dyDescent="0.2">
      <c r="A22" s="6"/>
      <c r="B22" s="10"/>
      <c r="C22" s="11"/>
      <c r="D22" s="12"/>
      <c r="E22" s="17"/>
      <c r="F22" s="21"/>
      <c r="G22" s="24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</row>
    <row r="23" spans="1:20" x14ac:dyDescent="0.2">
      <c r="A23" s="6"/>
      <c r="B23" s="10"/>
      <c r="C23" s="11"/>
      <c r="D23" s="12"/>
      <c r="E23" s="17"/>
      <c r="F23" s="21"/>
      <c r="G23" s="24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</row>
    <row r="24" spans="1:20" x14ac:dyDescent="0.2">
      <c r="A24" s="6"/>
      <c r="B24" s="10"/>
      <c r="C24" s="11"/>
      <c r="D24" s="12"/>
      <c r="E24" s="17"/>
      <c r="F24" s="21"/>
      <c r="G24" s="24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</row>
    <row r="25" spans="1:20" x14ac:dyDescent="0.2">
      <c r="A25" s="6"/>
      <c r="B25" s="10"/>
      <c r="C25" s="11"/>
      <c r="D25" s="12"/>
      <c r="E25" s="17"/>
      <c r="F25" s="21"/>
      <c r="G25" s="24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</row>
    <row r="26" spans="1:20" x14ac:dyDescent="0.2">
      <c r="A26" s="6"/>
      <c r="B26" s="10"/>
      <c r="C26" s="11"/>
      <c r="D26" s="11"/>
      <c r="E26" s="17"/>
      <c r="F26" s="21"/>
      <c r="G26" s="24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</row>
    <row r="27" spans="1:20" x14ac:dyDescent="0.2">
      <c r="A27" s="6"/>
      <c r="B27" s="10"/>
      <c r="C27" s="11"/>
      <c r="D27" s="11"/>
      <c r="E27" s="17"/>
      <c r="F27" s="21"/>
      <c r="G27" s="24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</row>
    <row r="28" spans="1:20" x14ac:dyDescent="0.2">
      <c r="A28" s="6"/>
      <c r="B28" s="10"/>
      <c r="C28" s="11"/>
      <c r="D28" s="11"/>
      <c r="E28" s="17"/>
      <c r="F28" s="21"/>
      <c r="G28" s="24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</row>
    <row r="29" spans="1:20" x14ac:dyDescent="0.2">
      <c r="A29" s="6"/>
      <c r="B29" s="10"/>
      <c r="C29" s="11"/>
      <c r="D29" s="11"/>
      <c r="E29" s="17"/>
      <c r="F29" s="21"/>
      <c r="G29" s="24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</row>
    <row r="30" spans="1:20" x14ac:dyDescent="0.2">
      <c r="A30" s="6"/>
      <c r="B30" s="13"/>
      <c r="C30" s="14"/>
      <c r="D30" s="14"/>
      <c r="E30" s="18"/>
      <c r="F30" s="22"/>
      <c r="G30" s="1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</row>
    <row r="31" spans="1:20" x14ac:dyDescent="0.2">
      <c r="A31" s="6"/>
      <c r="B31" s="6"/>
      <c r="C31" s="6"/>
      <c r="D31" s="25" t="s">
        <v>40</v>
      </c>
      <c r="E31" s="26" t="e">
        <f>SUM(E9:E30)</f>
        <v>#REF!</v>
      </c>
      <c r="F31" s="27" t="e">
        <f>SUM(F9:F30)</f>
        <v>#REF!</v>
      </c>
      <c r="G31" s="28" t="e">
        <f>SUM(G9:G30)</f>
        <v>#REF!</v>
      </c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</row>
    <row r="32" spans="1:20" x14ac:dyDescent="0.2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</row>
    <row r="33" spans="1:20" x14ac:dyDescent="0.2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</row>
    <row r="34" spans="1:20" x14ac:dyDescent="0.2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</row>
    <row r="35" spans="1:20" x14ac:dyDescent="0.2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</row>
    <row r="36" spans="1:20" x14ac:dyDescent="0.2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</row>
    <row r="37" spans="1:20" x14ac:dyDescent="0.2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</row>
    <row r="38" spans="1:20" x14ac:dyDescent="0.2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</row>
    <row r="39" spans="1:20" x14ac:dyDescent="0.2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</row>
    <row r="40" spans="1:20" x14ac:dyDescent="0.2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</row>
    <row r="41" spans="1:20" x14ac:dyDescent="0.2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</row>
    <row r="42" spans="1:20" x14ac:dyDescent="0.2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</row>
    <row r="43" spans="1:20" x14ac:dyDescent="0.2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</row>
    <row r="44" spans="1:20" x14ac:dyDescent="0.2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</row>
    <row r="45" spans="1:20" x14ac:dyDescent="0.2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</row>
    <row r="46" spans="1:20" x14ac:dyDescent="0.2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</row>
    <row r="47" spans="1:20" x14ac:dyDescent="0.2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</row>
    <row r="48" spans="1:20" x14ac:dyDescent="0.2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</row>
    <row r="49" spans="1:20" x14ac:dyDescent="0.2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</row>
    <row r="50" spans="1:20" x14ac:dyDescent="0.2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</row>
    <row r="51" spans="1:20" x14ac:dyDescent="0.2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</row>
    <row r="52" spans="1:20" x14ac:dyDescent="0.2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</row>
    <row r="53" spans="1:20" x14ac:dyDescent="0.2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</row>
    <row r="54" spans="1:20" x14ac:dyDescent="0.2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</row>
    <row r="55" spans="1:20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</row>
    <row r="56" spans="1:20" x14ac:dyDescent="0.2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</row>
    <row r="57" spans="1:20" x14ac:dyDescent="0.2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</row>
    <row r="58" spans="1:20" x14ac:dyDescent="0.2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</row>
    <row r="59" spans="1:20" x14ac:dyDescent="0.2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</row>
    <row r="60" spans="1:20" x14ac:dyDescent="0.2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</row>
    <row r="61" spans="1:20" x14ac:dyDescent="0.2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</row>
    <row r="62" spans="1:20" x14ac:dyDescent="0.2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</row>
    <row r="63" spans="1:20" x14ac:dyDescent="0.2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</row>
    <row r="64" spans="1:20" x14ac:dyDescent="0.2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</row>
    <row r="65" spans="1:20" x14ac:dyDescent="0.2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</row>
    <row r="66" spans="1:20" x14ac:dyDescent="0.2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</row>
    <row r="67" spans="1:20" x14ac:dyDescent="0.2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</row>
    <row r="68" spans="1:20" x14ac:dyDescent="0.2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</row>
    <row r="69" spans="1:20" x14ac:dyDescent="0.2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</row>
    <row r="70" spans="1:20" x14ac:dyDescent="0.2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</row>
    <row r="71" spans="1:20" x14ac:dyDescent="0.2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</row>
    <row r="72" spans="1:20" x14ac:dyDescent="0.2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</row>
    <row r="73" spans="1:20" x14ac:dyDescent="0.2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</row>
    <row r="74" spans="1:20" x14ac:dyDescent="0.2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</row>
    <row r="75" spans="1:20" x14ac:dyDescent="0.2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</row>
    <row r="76" spans="1:20" x14ac:dyDescent="0.2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</row>
    <row r="77" spans="1:20" x14ac:dyDescent="0.2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</row>
    <row r="78" spans="1:20" x14ac:dyDescent="0.2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</row>
    <row r="79" spans="1:20" x14ac:dyDescent="0.2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</row>
    <row r="80" spans="1:20" x14ac:dyDescent="0.2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</row>
    <row r="81" spans="1:20" x14ac:dyDescent="0.2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</row>
  </sheetData>
  <mergeCells count="1">
    <mergeCell ref="B8:D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AccountData">
                <anchor moveWithCells="1" sizeWithCells="1">
                  <from>
                    <xdr:col>2</xdr:col>
                    <xdr:colOff>774700</xdr:colOff>
                    <xdr:row>2</xdr:row>
                    <xdr:rowOff>114300</xdr:rowOff>
                  </from>
                  <to>
                    <xdr:col>4</xdr:col>
                    <xdr:colOff>266700</xdr:colOff>
                    <xdr:row>4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Z625"/>
  <sheetViews>
    <sheetView tabSelected="1" workbookViewId="0">
      <selection activeCell="C31" sqref="C31"/>
    </sheetView>
  </sheetViews>
  <sheetFormatPr baseColWidth="10" defaultRowHeight="16" x14ac:dyDescent="0.2"/>
  <cols>
    <col min="1" max="1" width="10.33203125" customWidth="1"/>
    <col min="2" max="2" width="10" customWidth="1"/>
    <col min="3" max="3" width="26.83203125" customWidth="1"/>
    <col min="4" max="4" width="12" customWidth="1"/>
    <col min="5" max="5" width="9.83203125" customWidth="1"/>
    <col min="6" max="6" width="8.1640625" customWidth="1"/>
    <col min="7" max="7" width="14" customWidth="1"/>
    <col min="8" max="8" width="10.33203125" customWidth="1"/>
    <col min="9" max="9" width="12.83203125" customWidth="1"/>
    <col min="10" max="10" width="12.5" customWidth="1"/>
    <col min="11" max="11" width="13.33203125" customWidth="1"/>
    <col min="12" max="12" width="11.6640625" customWidth="1"/>
    <col min="14" max="14" width="11.5" customWidth="1"/>
  </cols>
  <sheetData>
    <row r="1" spans="1:26" x14ac:dyDescent="0.2">
      <c r="A1" s="46" t="s">
        <v>47</v>
      </c>
      <c r="B1" s="47" t="s">
        <v>46</v>
      </c>
      <c r="C1" s="46" t="s">
        <v>63</v>
      </c>
      <c r="D1" s="1"/>
      <c r="E1" s="6"/>
      <c r="F1" s="6"/>
      <c r="G1" s="39" t="str">
        <f>IF(D36&gt;0, "Bought", "Sold") &amp; " at"</f>
        <v>Bought at</v>
      </c>
      <c r="H1" s="40">
        <v>0.31</v>
      </c>
      <c r="I1" s="41" t="s">
        <v>39</v>
      </c>
      <c r="J1" s="42"/>
      <c r="K1" s="6"/>
      <c r="L1" s="6"/>
      <c r="M1" s="6"/>
      <c r="N1" s="6"/>
      <c r="O1" s="6"/>
      <c r="P1" s="6"/>
      <c r="Q1" s="6"/>
      <c r="R1" s="6"/>
      <c r="S1" s="6"/>
      <c r="U1" s="6"/>
      <c r="V1" s="6"/>
      <c r="W1" s="6"/>
      <c r="X1" s="6"/>
      <c r="Y1" s="6"/>
      <c r="Z1" s="6"/>
    </row>
    <row r="2" spans="1:26" x14ac:dyDescent="0.2">
      <c r="A2" s="46" t="s">
        <v>2</v>
      </c>
      <c r="B2" s="61">
        <f ca="1">TODAY()</f>
        <v>43485</v>
      </c>
      <c r="C2" s="46" t="s">
        <v>62</v>
      </c>
      <c r="D2" s="71">
        <v>43504</v>
      </c>
      <c r="E2" s="6" t="str">
        <f ca="1">"( "&amp;(D2-B2)&amp;" days)"</f>
        <v>( 19 days)</v>
      </c>
      <c r="F2" s="6"/>
      <c r="G2" s="6"/>
      <c r="H2" s="32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x14ac:dyDescent="0.2">
      <c r="A3" s="46" t="s">
        <v>52</v>
      </c>
      <c r="B3" s="47" t="s">
        <v>48</v>
      </c>
      <c r="C3" s="6"/>
      <c r="D3" s="6"/>
      <c r="E3" s="6"/>
      <c r="F3" s="6"/>
      <c r="G3" s="6"/>
      <c r="H3" s="33" t="s">
        <v>6</v>
      </c>
      <c r="I3" s="33" t="s">
        <v>7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">
      <c r="A4" s="6"/>
      <c r="B4" s="6"/>
      <c r="C4" s="31"/>
      <c r="D4" s="36"/>
      <c r="E4" s="34"/>
      <c r="F4" s="6"/>
      <c r="G4" s="31" t="s">
        <v>8</v>
      </c>
      <c r="H4" s="3">
        <f ca="1">S_0*EXP(-q*T)*_xlfn.NORM.S.DIST(d_1,1)-K*EXP(-r_dom*T)*_xlfn.NORM.S.DIST(d_2,1)</f>
        <v>0.71867333655865551</v>
      </c>
      <c r="I4" s="3">
        <f ca="1">K*EXP(-r_dom*T)*_xlfn.NORM.S.DIST(-d_2,1)-S_0*EXP(-q*T)*_xlfn.NORM.S.DIST(-d_1,1)</f>
        <v>0.71981742936497639</v>
      </c>
      <c r="J4" s="6"/>
      <c r="K4" s="6"/>
      <c r="L4" s="50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x14ac:dyDescent="0.2">
      <c r="A5" s="6"/>
      <c r="B5" s="6"/>
      <c r="C5" s="31" t="s">
        <v>0</v>
      </c>
      <c r="D5" s="1">
        <f>20.49*(1+E5)</f>
        <v>20.49</v>
      </c>
      <c r="E5" s="73">
        <v>0</v>
      </c>
      <c r="F5" s="6"/>
      <c r="G5" s="31" t="s">
        <v>9</v>
      </c>
      <c r="H5" s="4">
        <f ca="1">_xlfn.NORM.S.DIST(d_1,1)*EXP(-q*T)</f>
        <v>0.5169935222382166</v>
      </c>
      <c r="I5" s="4">
        <f ca="1">H5-1</f>
        <v>-0.4830064777617834</v>
      </c>
      <c r="J5" s="6"/>
      <c r="K5" s="32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x14ac:dyDescent="0.2">
      <c r="A6" s="6"/>
      <c r="B6" s="6"/>
      <c r="C6" s="31" t="s">
        <v>1</v>
      </c>
      <c r="D6" s="1">
        <v>20.5</v>
      </c>
      <c r="E6" s="6"/>
      <c r="F6" s="6"/>
      <c r="G6" s="31" t="s">
        <v>10</v>
      </c>
      <c r="H6" s="4">
        <f ca="1">EXP(-q*T)*_xlfn.NORM.S.DIST(d_1,0)/(S_0*sigma*SQRT(T))</f>
        <v>0.22073791172496865</v>
      </c>
      <c r="I6" s="4">
        <f ca="1">K*EXP(-r_dom*T)*_xlfn.NORM.S.DIST(d_2,0)/(sigma*SQRT(T)*S_0^2)</f>
        <v>0.22073791172496862</v>
      </c>
      <c r="J6" s="32"/>
      <c r="K6" s="32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x14ac:dyDescent="0.2">
      <c r="A7" s="6"/>
      <c r="B7" s="6"/>
      <c r="C7" s="31" t="s">
        <v>13</v>
      </c>
      <c r="D7" s="3">
        <f ca="1">IF(D1="",(D2-B2)/365,D1)</f>
        <v>5.2054794520547946E-2</v>
      </c>
      <c r="E7" s="35"/>
      <c r="F7" s="6"/>
      <c r="G7" s="31" t="s">
        <v>11</v>
      </c>
      <c r="H7" s="3">
        <f ca="1">-EXP(-q*T)*S_0*_xlfn.NORM.S.DIST(d_1,0)*sigma/(2*SQRT(T))-r_dom*K*EXP(-r_dom*T)*_xlfn.NORM.S.DIST(d_2,1)+q*S_0*EXP(-q*T)*_xlfn.NORM.S.DIST(d_1,1)</f>
        <v>-6.9776244278253987</v>
      </c>
      <c r="I7" s="3">
        <f ca="1">-EXP(-q*T)*(S_0*_xlfn.NORM.S.DIST(d_1,0)*sigma)/(2*SQRT(T))+r_dom*K*EXP(-r_dom*T)*_xlfn.NORM.S.DIST(-d_2,1)-q*S_0*EXP(-q*T)*_xlfn.NORM.S.DIST(-d_1,1)</f>
        <v>-6.8076380922261617</v>
      </c>
      <c r="J7" s="32"/>
      <c r="K7" s="32"/>
      <c r="L7" s="32"/>
      <c r="M7" s="32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x14ac:dyDescent="0.2">
      <c r="A8" s="6"/>
      <c r="B8" s="6"/>
      <c r="C8" s="31" t="s">
        <v>4</v>
      </c>
      <c r="D8" s="2">
        <v>0.38600000000000001</v>
      </c>
      <c r="E8" s="6" t="str">
        <f>"("&amp;ROUND(sigma/SQRT(260)*100,2)&amp;"% daily)"</f>
        <v>(2.39% daily)</v>
      </c>
      <c r="F8" s="6"/>
      <c r="G8" s="31" t="s">
        <v>12</v>
      </c>
      <c r="H8" s="76">
        <f ca="1">S_0*EXP(-q*T)*_xlfn.NORM.S.DIST(d_1,0)*SQRT(T)/100</f>
        <v>1.8621252436225654E-2</v>
      </c>
      <c r="I8" s="76">
        <f ca="1">K*EXP(-r_dom*T)*_xlfn.NORM.S.DIST(d_2,0)*SQRT(T)/100</f>
        <v>1.8621252436225654E-2</v>
      </c>
      <c r="J8" s="32"/>
      <c r="K8" s="32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x14ac:dyDescent="0.2">
      <c r="A9" s="6"/>
      <c r="B9" s="6"/>
      <c r="C9" s="31" t="s">
        <v>14</v>
      </c>
      <c r="D9" s="2">
        <v>0.02</v>
      </c>
      <c r="E9" s="6"/>
      <c r="F9" s="6"/>
      <c r="G9" s="31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x14ac:dyDescent="0.2">
      <c r="A10" s="6"/>
      <c r="B10" s="6"/>
      <c r="C10" s="31" t="s">
        <v>5</v>
      </c>
      <c r="D10" s="2">
        <v>1.17E-2</v>
      </c>
      <c r="E10" s="6"/>
      <c r="F10" s="6"/>
      <c r="G10" s="31" t="s">
        <v>64</v>
      </c>
      <c r="H10" s="3">
        <f ca="1">H21-PVCall</f>
        <v>-1.9373743018295642E-2</v>
      </c>
      <c r="I10" s="3">
        <f ca="1">I21-PVPut</f>
        <v>-1.8908006807352606E-2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x14ac:dyDescent="0.2">
      <c r="A11" s="6"/>
      <c r="B11" s="6"/>
      <c r="C11" s="6"/>
      <c r="D11" s="6"/>
      <c r="E11" s="6"/>
      <c r="F11" s="6"/>
      <c r="G11" s="31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16" hidden="1" customHeight="1" x14ac:dyDescent="0.2">
      <c r="A12" s="8"/>
      <c r="B12" s="8"/>
      <c r="C12" s="8"/>
      <c r="D12" s="8"/>
      <c r="E12" s="8"/>
      <c r="F12" s="8"/>
      <c r="G12" s="9" t="s">
        <v>22</v>
      </c>
      <c r="H12" s="74">
        <v>0.01</v>
      </c>
      <c r="I12" s="8"/>
      <c r="J12" s="8"/>
      <c r="K12" s="8"/>
      <c r="L12" s="8"/>
      <c r="M12" s="8"/>
      <c r="N12" s="8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16" hidden="1" customHeight="1" x14ac:dyDescent="0.2">
      <c r="A13" s="6"/>
      <c r="B13" s="6"/>
      <c r="C13" s="31" t="s">
        <v>15</v>
      </c>
      <c r="D13" s="6">
        <f ca="1">((LN(S_0/K)+(r_dom-q+sigma^2/2)*T))/(sigma*SQRT(T))</f>
        <v>4.3399566684580469E-2</v>
      </c>
      <c r="E13" s="6"/>
      <c r="F13" s="6"/>
      <c r="G13" s="31"/>
      <c r="H13" s="48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16" hidden="1" customHeight="1" x14ac:dyDescent="0.2">
      <c r="A14" s="6"/>
      <c r="B14" s="6"/>
      <c r="C14" s="31" t="s">
        <v>16</v>
      </c>
      <c r="D14" s="6">
        <f ca="1">d_1-sigma*SQRT(T)</f>
        <v>-4.4668339867032093E-2</v>
      </c>
      <c r="E14" s="6"/>
      <c r="F14" s="6"/>
      <c r="G14" s="31" t="s">
        <v>21</v>
      </c>
      <c r="H14" s="48">
        <f>H12*S_0</f>
        <v>0.2049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16" hidden="1" customHeight="1" x14ac:dyDescent="0.2">
      <c r="A15" s="6"/>
      <c r="B15" s="6"/>
      <c r="C15" s="31" t="s">
        <v>19</v>
      </c>
      <c r="D15" s="6">
        <f ca="1">(LN(S_0_Up/K)+(r_dom-q+sigma^2/2)*T)/(sigma*SQRT(T))</f>
        <v>0.15638432177622752</v>
      </c>
      <c r="E15" s="6"/>
      <c r="F15" s="6"/>
      <c r="G15" s="31" t="s">
        <v>17</v>
      </c>
      <c r="H15" s="6">
        <f>S_0+bump</f>
        <v>20.694899999999997</v>
      </c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16" hidden="1" customHeight="1" x14ac:dyDescent="0.2">
      <c r="A16" s="6"/>
      <c r="B16" s="6"/>
      <c r="C16" s="31" t="s">
        <v>20</v>
      </c>
      <c r="D16" s="6">
        <f ca="1">(LN(S_0_Down/K)+(r_dom-q+sigma^2/2)*T)/(sigma*SQRT(T))</f>
        <v>-7.0720732605278544E-2</v>
      </c>
      <c r="E16" s="6"/>
      <c r="F16" s="6"/>
      <c r="G16" s="31" t="s">
        <v>18</v>
      </c>
      <c r="H16" s="6">
        <f>S_0-bump</f>
        <v>20.2851</v>
      </c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16" hidden="1" customHeight="1" x14ac:dyDescent="0.2">
      <c r="A17" s="6"/>
      <c r="B17" s="6"/>
      <c r="C17" s="6"/>
      <c r="D17" s="6"/>
      <c r="E17" s="6"/>
      <c r="F17" s="6"/>
      <c r="G17" s="3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16" hidden="1" customHeight="1" x14ac:dyDescent="0.2">
      <c r="A18" s="6"/>
      <c r="B18" s="6"/>
      <c r="C18" s="31" t="s">
        <v>3</v>
      </c>
      <c r="D18" s="60">
        <f ca="1">B2+T*365</f>
        <v>43504</v>
      </c>
      <c r="E18" s="6"/>
      <c r="F18" s="6"/>
      <c r="G18" s="31" t="s">
        <v>24</v>
      </c>
      <c r="H18" s="3">
        <f ca="1">(D18-B2-1)/365</f>
        <v>4.9315068493150684E-2</v>
      </c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16" hidden="1" customHeight="1" x14ac:dyDescent="0.2">
      <c r="A19" s="6"/>
      <c r="B19" s="6"/>
      <c r="C19" s="6"/>
      <c r="D19" s="6"/>
      <c r="E19" s="6"/>
      <c r="F19" s="6"/>
      <c r="G19" s="31" t="s">
        <v>25</v>
      </c>
      <c r="H19" s="6">
        <f ca="1">((LN(S_0/K)+(r_dom-q+sigma^2/2)*TShort))/(sigma*SQRT(TShort))</f>
        <v>4.1942450410702221E-2</v>
      </c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16" hidden="1" customHeight="1" x14ac:dyDescent="0.2">
      <c r="A20" s="6"/>
      <c r="B20" s="6"/>
      <c r="C20" s="31" t="s">
        <v>66</v>
      </c>
      <c r="D20" s="4">
        <f ca="1">_xlfn.NORM.S.DIST(d_1_up,1)*EXP(-q*T)</f>
        <v>0.5617926936787726</v>
      </c>
      <c r="E20" s="6"/>
      <c r="F20" s="6"/>
      <c r="G20" s="31" t="s">
        <v>26</v>
      </c>
      <c r="H20" s="6">
        <f ca="1">d_1_short-sigma*SQRT(TShort)</f>
        <v>-4.3776555330180468E-2</v>
      </c>
      <c r="I20" s="6"/>
      <c r="J20" s="6" t="s">
        <v>68</v>
      </c>
      <c r="K20" s="44">
        <f ca="1">delta_up*S_0*Amount</f>
        <v>1151.1132293478049</v>
      </c>
      <c r="L20" s="77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16" hidden="1" customHeight="1" x14ac:dyDescent="0.2">
      <c r="A21" s="6"/>
      <c r="B21" s="6"/>
      <c r="C21" s="31" t="s">
        <v>67</v>
      </c>
      <c r="D21" s="4">
        <f ca="1">_xlfn.NORM.S.DIST(d_1_down,1)*EXP(-q*T)</f>
        <v>0.47152274575968084</v>
      </c>
      <c r="E21" s="6"/>
      <c r="F21" s="6"/>
      <c r="G21" s="31" t="s">
        <v>23</v>
      </c>
      <c r="H21" s="3">
        <f ca="1">S_0*EXP(-q*TShort)*_xlfn.NORM.S.DIST(d_1_short,1)-K*EXP(-r_dom*TShort)*_xlfn.NORM.S.DIST(d_2_short,1)</f>
        <v>0.69929959354035987</v>
      </c>
      <c r="I21" s="3">
        <f ca="1">K*EXP(-r_dom*TShort)*_xlfn.NORM.S.DIST(-d_2_short,1)-S_0*EXP(-q*TShort)*_xlfn.NORM.S.DIST(-d_1_short,1)</f>
        <v>0.70090942255762378</v>
      </c>
      <c r="J21" s="6" t="s">
        <v>69</v>
      </c>
      <c r="K21" s="44">
        <f ca="1">delta_down*S_0*Amount</f>
        <v>966.15010606158603</v>
      </c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16" hidden="1" customHeight="1" x14ac:dyDescent="0.2">
      <c r="A22" s="6"/>
      <c r="B22" s="6"/>
      <c r="C22" s="31" t="s">
        <v>65</v>
      </c>
      <c r="D22" s="4">
        <f ca="1">(D20-D21)/(2*bump)</f>
        <v>0.22027805739163436</v>
      </c>
      <c r="E22" s="6"/>
      <c r="F22" s="6"/>
      <c r="G22" s="6"/>
      <c r="H22" s="6"/>
      <c r="I22" s="6"/>
      <c r="J22" s="6" t="s">
        <v>70</v>
      </c>
      <c r="K22" s="44">
        <f ca="1">(K20-K21)/2</f>
        <v>92.481561643109444</v>
      </c>
      <c r="L22" s="78" t="s">
        <v>74</v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16" hidden="1" customHeight="1" x14ac:dyDescent="0.2">
      <c r="A23" s="6"/>
      <c r="B23" s="6"/>
      <c r="C23" s="6"/>
      <c r="D23" s="6"/>
      <c r="E23" s="6"/>
      <c r="F23" s="6"/>
      <c r="G23" s="6"/>
      <c r="H23" s="6"/>
      <c r="I23" s="6"/>
      <c r="J23" s="6"/>
      <c r="K23" s="44">
        <f ca="1">D22*Amount*S_0^2/100</f>
        <v>92.481561643109501</v>
      </c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16" hidden="1" customHeight="1" x14ac:dyDescent="0.2">
      <c r="A24" s="6"/>
      <c r="B24" s="6"/>
      <c r="C24" s="6"/>
      <c r="D24" s="6"/>
      <c r="E24" s="6"/>
      <c r="F24" s="6"/>
      <c r="G24" s="31" t="s">
        <v>27</v>
      </c>
      <c r="H24" s="2">
        <v>1E-4</v>
      </c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16" hidden="1" customHeight="1" x14ac:dyDescent="0.2">
      <c r="A25" s="6"/>
      <c r="B25" s="6"/>
      <c r="C25" s="6"/>
      <c r="D25" s="6"/>
      <c r="E25" s="6"/>
      <c r="F25" s="6"/>
      <c r="G25" s="31" t="s">
        <v>28</v>
      </c>
      <c r="H25" s="49">
        <f>sigma+H24</f>
        <v>0.3861</v>
      </c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16" hidden="1" customHeight="1" x14ac:dyDescent="0.2">
      <c r="A26" s="6"/>
      <c r="B26" s="6"/>
      <c r="C26" s="6"/>
      <c r="D26" s="6" t="s">
        <v>15</v>
      </c>
      <c r="E26" s="6" t="s">
        <v>16</v>
      </c>
      <c r="F26" s="6"/>
      <c r="G26" s="31" t="s">
        <v>29</v>
      </c>
      <c r="H26" s="49">
        <f>sigma-H24</f>
        <v>0.38590000000000002</v>
      </c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ht="16" hidden="1" customHeight="1" x14ac:dyDescent="0.2">
      <c r="A27" s="6"/>
      <c r="B27" s="6"/>
      <c r="C27" s="6" t="s">
        <v>31</v>
      </c>
      <c r="D27" s="6">
        <f ca="1">((LN(S_0/K)+(r_dom-q+sigma_up^2/2)*T))/(sigma_up*SQRT(T))</f>
        <v>4.3411138750787906E-2</v>
      </c>
      <c r="E27" s="6">
        <f ca="1">D27-sigma_up*SQRT(T)</f>
        <v>-4.4679583320656677E-2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ht="16" hidden="1" customHeight="1" x14ac:dyDescent="0.2">
      <c r="A28" s="6"/>
      <c r="B28" s="6"/>
      <c r="C28" s="6" t="s">
        <v>32</v>
      </c>
      <c r="D28" s="6">
        <f ca="1">((LN(S_0/K)+(r_dom-q+sigma_down^2/2)*T))/(sigma_down*SQRT(T))</f>
        <v>4.3387994533218156E-2</v>
      </c>
      <c r="E28" s="6">
        <f ca="1">D28-sigma_down*SQRT(T)</f>
        <v>-4.4657096498562386E-2</v>
      </c>
      <c r="F28" s="6"/>
      <c r="G28" s="31" t="s">
        <v>30</v>
      </c>
      <c r="H28" s="6">
        <f ca="1">S_0*EXP(-q*T)*_xlfn.NORM.S.DIST(d1_volUp,1)-K*EXP(-r_dom*T)*_xlfn.NORM.S.DIST(d2_volUp,1)</f>
        <v>0.71885954903625127</v>
      </c>
      <c r="I28" s="6">
        <f ca="1">K*EXP(-r_dom*T)*_xlfn.NORM.S.DIST(-d2_volUp,1)-S_0*EXP(-q*T)*_xlfn.NORM.S.DIST(-d1_volUp,1)</f>
        <v>0.72000364184257215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ht="16" hidden="1" customHeight="1" x14ac:dyDescent="0.2">
      <c r="A29" s="14"/>
      <c r="B29" s="14"/>
      <c r="C29" s="14"/>
      <c r="D29" s="14"/>
      <c r="E29" s="14"/>
      <c r="F29" s="14"/>
      <c r="G29" s="75" t="s">
        <v>33</v>
      </c>
      <c r="H29" s="14">
        <f ca="1">S_0*EXP(-q*T)*_xlfn.NORM.S.DIST(d1_volDown,1)-K*EXP(-r_dom*T)*_xlfn.NORM.S.DIST(d2_volDown,1)</f>
        <v>0.71848712398753456</v>
      </c>
      <c r="I29" s="14">
        <f ca="1">K*EXP(-r_dom*T)*_xlfn.NORM.S.DIST(-d2_volDown,1)-S_0*EXP(-q*T)*_xlfn.NORM.S.DIST(-d1_volDown,1)</f>
        <v>0.71963121679385722</v>
      </c>
      <c r="J29" s="14"/>
      <c r="K29" s="14"/>
      <c r="L29" s="14"/>
      <c r="M29" s="14"/>
      <c r="N29" s="14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ht="16" customHeight="1" x14ac:dyDescent="0.2">
      <c r="A30" s="6"/>
      <c r="B30" s="6"/>
      <c r="C30" s="6"/>
      <c r="D30" s="6"/>
      <c r="E30" s="6"/>
      <c r="F30" s="6"/>
      <c r="G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ht="16" customHeight="1" x14ac:dyDescent="0.2">
      <c r="A31" s="6"/>
      <c r="B31" s="6"/>
      <c r="C31" s="6"/>
      <c r="D31" s="6"/>
      <c r="E31" s="6"/>
      <c r="F31" s="6"/>
      <c r="G31" s="6"/>
      <c r="H31" s="6"/>
      <c r="I31" s="6"/>
      <c r="J31" s="6"/>
      <c r="K31" s="77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ht="16" customHeight="1" x14ac:dyDescent="0.2">
      <c r="A32" s="6"/>
      <c r="B32" s="6"/>
      <c r="C32" s="6"/>
      <c r="D32" s="31"/>
      <c r="E32" s="45"/>
      <c r="F32" s="6"/>
      <c r="G32" s="54">
        <f ca="1">M36/2*1%</f>
        <v>46.337313466200996</v>
      </c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ht="16" customHeight="1" x14ac:dyDescent="0.2">
      <c r="A33" s="6"/>
      <c r="B33" s="6"/>
      <c r="C33" s="6"/>
      <c r="D33" s="31"/>
      <c r="E33" s="45"/>
      <c r="F33" s="33"/>
      <c r="G33" s="54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x14ac:dyDescent="0.2">
      <c r="A34" s="6"/>
      <c r="B34" s="6"/>
      <c r="C34" s="6"/>
      <c r="D34" s="57"/>
      <c r="E34" s="5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2">
      <c r="A35" s="30" t="s">
        <v>53</v>
      </c>
      <c r="B35" s="38" t="s">
        <v>49</v>
      </c>
      <c r="C35" s="29" t="s">
        <v>50</v>
      </c>
      <c r="D35" s="29" t="s">
        <v>51</v>
      </c>
      <c r="E35" s="29" t="s">
        <v>38</v>
      </c>
      <c r="F35" s="29" t="s">
        <v>36</v>
      </c>
      <c r="G35" s="29" t="s">
        <v>37</v>
      </c>
      <c r="H35" s="29" t="s">
        <v>34</v>
      </c>
      <c r="I35" s="29" t="s">
        <v>45</v>
      </c>
      <c r="J35" s="29" t="s">
        <v>35</v>
      </c>
      <c r="K35" s="29" t="s">
        <v>71</v>
      </c>
      <c r="L35" s="29" t="s">
        <v>72</v>
      </c>
      <c r="M35" s="29" t="s">
        <v>73</v>
      </c>
      <c r="N35" s="67" t="s">
        <v>64</v>
      </c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x14ac:dyDescent="0.2">
      <c r="A36" s="60">
        <v>43344</v>
      </c>
      <c r="B36" s="33" t="s">
        <v>41</v>
      </c>
      <c r="C36" s="31" t="str">
        <f>$B$1 &amp; " US " &amp; MONTH($D$2)&amp;"/"&amp;DAY($D$2)&amp;"/"&amp;YEAR($D$2) &amp; " " &amp; B3 &amp; K &amp; " Equity"</f>
        <v>UAA US 2/8/2019 C20.5 Equity</v>
      </c>
      <c r="D36" s="70">
        <v>100</v>
      </c>
      <c r="E36" s="43">
        <f>IF(B36="Delta", 1, IF(B36="Option", 100, ""))</f>
        <v>100</v>
      </c>
      <c r="F36" s="43" t="str">
        <f>IF(D36="","","USD")</f>
        <v>USD</v>
      </c>
      <c r="G36" s="44">
        <f ca="1">IF(D36="","",D36*E36*H36)</f>
        <v>7186.733365586555</v>
      </c>
      <c r="H36" s="52">
        <f t="shared" ref="H36:H50" ca="1" si="0">IF(B36="Option",IF(B3="C",PVCall,PVPut),IF(B36="Delta",S_0,""))</f>
        <v>0.71867333655865551</v>
      </c>
      <c r="I36" s="53">
        <v>0.71867333655865551</v>
      </c>
      <c r="J36" s="58">
        <f ca="1">IF(D36="","",(H36-I36)*E36*D36)</f>
        <v>0</v>
      </c>
      <c r="K36" s="44">
        <f ca="1">IF(B36="Option",IF($B$3="C",D36*E36*S_0*deltaCall,D36*E36*S_0*deltaPut),IF(B36="Delta",D36*E36*S_0,""))</f>
        <v>105931.97270661057</v>
      </c>
      <c r="L36" s="44">
        <f t="shared" ref="L36:L50" ca="1" si="1">IF(B36="Option",IF($B$3="C",D36*E36*VegaCall,D36*E36*VegaPut),IF(B36="Delta",0,""))</f>
        <v>186.21252436225654</v>
      </c>
      <c r="M36" s="44">
        <f ca="1">IF(B36="Option",IF($B$3="C",D36*E36*S_0^2/100*GammaCall,D36*E36*S_0^2/100*GammaPut),IF(B36="Delta",0,""))</f>
        <v>9267.4626932401989</v>
      </c>
      <c r="N36" s="44">
        <f ca="1">IF(B36="Option",IF($B$3="C",D36*E36*ThetaC1d,D36*E36*ThetaP1d),IF(B36="Delta",0,""))</f>
        <v>-193.73743018295642</v>
      </c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2">
      <c r="A37" s="60">
        <v>43344</v>
      </c>
      <c r="B37" s="33" t="str">
        <f>IF(D37="","","Delta")</f>
        <v>Delta</v>
      </c>
      <c r="C37" s="31" t="str">
        <f>IF($B37="Delta",$B$1&amp;" US Equity", "")</f>
        <v>UAA US Equity</v>
      </c>
      <c r="D37" s="70">
        <v>-5169.9352223821661</v>
      </c>
      <c r="E37" s="43">
        <f t="shared" ref="E37:E50" si="2">IF(B37="Delta", 1, IF(B37="Option", 100, ""))</f>
        <v>1</v>
      </c>
      <c r="F37" s="43" t="str">
        <f t="shared" ref="F37:F50" si="3">IF(D37="","","USD")</f>
        <v>USD</v>
      </c>
      <c r="G37" s="44">
        <f t="shared" ref="G37:G50" si="4">IF(D37="","",D37*E37*H37)</f>
        <v>-105931.97270661057</v>
      </c>
      <c r="H37" s="37">
        <f t="shared" si="0"/>
        <v>20.49</v>
      </c>
      <c r="I37" s="59">
        <v>20.49</v>
      </c>
      <c r="J37" s="58">
        <f>IF(D37="","",(H37-I37)*E37*D37)</f>
        <v>0</v>
      </c>
      <c r="K37" s="44">
        <f>IF(B37="Option",IF($B$3="C",D37*E37*S_0*deltaCall,D37*E37*S_0*deltaPut),IF(B37="Delta",D37*E37*S_0,""))</f>
        <v>-105931.97270661057</v>
      </c>
      <c r="L37" s="44">
        <f t="shared" si="1"/>
        <v>0</v>
      </c>
      <c r="M37" s="44">
        <f>IF(B37="Option",IF($B$3="C",D37*E37*S_0^2/100*GammaCall,D37*E37*S_0^2/100*GammaPut),IF(B37="Delta",0,""))</f>
        <v>0</v>
      </c>
      <c r="N37" s="44">
        <f>IF(B37="Option",IF($B$3="C",D37*E37*ThetaCall,D37*E37*ThetaPut),IF(B37="Delta",0,""))</f>
        <v>0</v>
      </c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x14ac:dyDescent="0.2">
      <c r="A38" s="60">
        <v>43347</v>
      </c>
      <c r="B38" s="33" t="str">
        <f t="shared" ref="B38:B50" si="5">IF(D38="","","Delta")</f>
        <v/>
      </c>
      <c r="C38" s="31" t="str">
        <f t="shared" ref="C38:C50" si="6">IF($B38="Delta",$B$1&amp;" US Equity", "")</f>
        <v/>
      </c>
      <c r="D38" s="55"/>
      <c r="E38" s="43" t="str">
        <f t="shared" si="2"/>
        <v/>
      </c>
      <c r="F38" s="43" t="str">
        <f t="shared" si="3"/>
        <v/>
      </c>
      <c r="G38" s="44" t="str">
        <f t="shared" si="4"/>
        <v/>
      </c>
      <c r="H38" s="37" t="str">
        <f t="shared" si="0"/>
        <v/>
      </c>
      <c r="I38" s="59"/>
      <c r="J38" s="58" t="str">
        <f t="shared" ref="J38:J50" si="7">IF(D38="","",(H38-I38)*E38*D38)</f>
        <v/>
      </c>
      <c r="K38" s="44" t="str">
        <f>IF(B38="Option",IF($B$3="C",D38*E38*S_0*deltaCall,D38*E38*S_0*deltaPut),IF(B38="Delta",D38*E38*S_0,""))</f>
        <v/>
      </c>
      <c r="L38" s="44" t="str">
        <f t="shared" si="1"/>
        <v/>
      </c>
      <c r="M38" s="44" t="str">
        <f>IF(B38="Option",IF($B$3="C",D38*E38*S_0^2/100*GammaCall,D38*E38*S_0^2/100*GammaPut),IF(B38="Delta",0,""))</f>
        <v/>
      </c>
      <c r="N38" s="44" t="str">
        <f>IF(B38="Option",IF($B$3="C",D38*E38*ThetaCall,D38*E38*ThetaPut),IF(B38="Delta",0,""))</f>
        <v/>
      </c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2">
      <c r="A39" s="60">
        <v>43351</v>
      </c>
      <c r="B39" s="33" t="str">
        <f t="shared" si="5"/>
        <v/>
      </c>
      <c r="C39" s="31" t="str">
        <f t="shared" si="6"/>
        <v/>
      </c>
      <c r="D39" s="5"/>
      <c r="E39" s="43" t="str">
        <f t="shared" si="2"/>
        <v/>
      </c>
      <c r="F39" s="43" t="str">
        <f t="shared" si="3"/>
        <v/>
      </c>
      <c r="G39" s="44" t="str">
        <f t="shared" si="4"/>
        <v/>
      </c>
      <c r="H39" s="37" t="str">
        <f t="shared" si="0"/>
        <v/>
      </c>
      <c r="I39" s="59"/>
      <c r="J39" s="58" t="str">
        <f t="shared" si="7"/>
        <v/>
      </c>
      <c r="K39" s="44" t="str">
        <f>IF(B39="Option",IF($B$3="C",D39*E39*S_0*deltaCall,D39*E39*S_0*deltaPut),IF(B39="Delta",D39*E39*S_0,""))</f>
        <v/>
      </c>
      <c r="L39" s="44" t="str">
        <f t="shared" si="1"/>
        <v/>
      </c>
      <c r="M39" s="44" t="str">
        <f>IF(B39="Option",IF($B$3="C",D39*E39*S_0^2/100*GammaCall,D39*E39*S_0^2/100*GammaPut),IF(B39="Delta",0,""))</f>
        <v/>
      </c>
      <c r="N39" s="44" t="str">
        <f>IF(B39="Option",IF($B$3="C",D39*E39*ThetaCall,D39*E39*ThetaPut),IF(B39="Delta",0,""))</f>
        <v/>
      </c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2">
      <c r="A40" s="60">
        <v>43353</v>
      </c>
      <c r="B40" s="33" t="str">
        <f t="shared" si="5"/>
        <v/>
      </c>
      <c r="C40" s="31" t="str">
        <f t="shared" si="6"/>
        <v/>
      </c>
      <c r="D40" s="5"/>
      <c r="E40" s="43" t="str">
        <f t="shared" si="2"/>
        <v/>
      </c>
      <c r="F40" s="43" t="str">
        <f t="shared" si="3"/>
        <v/>
      </c>
      <c r="G40" s="44" t="str">
        <f t="shared" si="4"/>
        <v/>
      </c>
      <c r="H40" s="37" t="str">
        <f t="shared" si="0"/>
        <v/>
      </c>
      <c r="I40" s="59"/>
      <c r="J40" s="58" t="str">
        <f t="shared" si="7"/>
        <v/>
      </c>
      <c r="K40" s="44" t="str">
        <f>IF(B40="Option",IF($B$3="C",D40*E40*S_0*deltaCall,D40*E40*S_0*deltaPut),IF(B40="Delta",D40*E40*S_0,""))</f>
        <v/>
      </c>
      <c r="L40" s="44" t="str">
        <f t="shared" si="1"/>
        <v/>
      </c>
      <c r="M40" s="44" t="str">
        <f>IF(B40="Option",IF($B$3="C",D40*E40*S_0^2/100*GammaCall,D40*E40*S_0^2/100*GammaPut),IF(B40="Delta",0,""))</f>
        <v/>
      </c>
      <c r="N40" s="44" t="str">
        <f>IF(B40="Option",IF($B$3="C",D40*E40*ThetaCall,D40*E40*ThetaPut),IF(B40="Delta",0,""))</f>
        <v/>
      </c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2">
      <c r="A41" s="60">
        <v>43360</v>
      </c>
      <c r="B41" s="33" t="str">
        <f t="shared" si="5"/>
        <v/>
      </c>
      <c r="C41" s="31" t="str">
        <f t="shared" si="6"/>
        <v/>
      </c>
      <c r="D41" s="5"/>
      <c r="E41" s="43" t="str">
        <f t="shared" si="2"/>
        <v/>
      </c>
      <c r="F41" s="43" t="str">
        <f t="shared" si="3"/>
        <v/>
      </c>
      <c r="G41" s="44" t="str">
        <f t="shared" si="4"/>
        <v/>
      </c>
      <c r="H41" s="37" t="str">
        <f t="shared" si="0"/>
        <v/>
      </c>
      <c r="I41" s="59"/>
      <c r="J41" s="58" t="str">
        <f t="shared" si="7"/>
        <v/>
      </c>
      <c r="K41" s="44" t="str">
        <f>IF(B41="Option",IF($B$3="C",D41*E41*S_0*deltaCall,D41*E41*S_0*deltaPut),IF(B41="Delta",D41*E41*S_0,""))</f>
        <v/>
      </c>
      <c r="L41" s="44" t="str">
        <f t="shared" si="1"/>
        <v/>
      </c>
      <c r="M41" s="44" t="str">
        <f>IF(B41="Option",IF($B$3="C",D41*E41*S_0^2/100*GammaCall,D41*E41*S_0^2/100*GammaPut),IF(B41="Delta",0,""))</f>
        <v/>
      </c>
      <c r="N41" s="44" t="str">
        <f>IF(B41="Option",IF($B$3="C",D41*E41*ThetaCall,D41*E41*ThetaPut),IF(B41="Delta",0,""))</f>
        <v/>
      </c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2">
      <c r="A42" s="60">
        <v>43361</v>
      </c>
      <c r="B42" s="33" t="str">
        <f t="shared" si="5"/>
        <v/>
      </c>
      <c r="C42" s="31" t="str">
        <f t="shared" si="6"/>
        <v/>
      </c>
      <c r="D42" s="5"/>
      <c r="E42" s="43" t="str">
        <f t="shared" si="2"/>
        <v/>
      </c>
      <c r="F42" s="43" t="str">
        <f t="shared" si="3"/>
        <v/>
      </c>
      <c r="G42" s="44" t="str">
        <f t="shared" si="4"/>
        <v/>
      </c>
      <c r="H42" s="37" t="str">
        <f t="shared" si="0"/>
        <v/>
      </c>
      <c r="I42" s="59"/>
      <c r="J42" s="58" t="str">
        <f t="shared" si="7"/>
        <v/>
      </c>
      <c r="K42" s="44" t="str">
        <f>IF(B42="Option",IF($B$3="C",D42*E42*S_0*deltaCall,D42*E42*S_0*deltaPut),IF(B42="Delta",D42*E42*S_0,""))</f>
        <v/>
      </c>
      <c r="L42" s="44" t="str">
        <f t="shared" si="1"/>
        <v/>
      </c>
      <c r="M42" s="44" t="str">
        <f>IF(B42="Option",IF($B$3="C",D42*E42*S_0^2/100*GammaCall,D42*E42*S_0^2/100*GammaPut),IF(B42="Delta",0,""))</f>
        <v/>
      </c>
      <c r="N42" s="44" t="str">
        <f>IF(B42="Option",IF($B$3="C",D42*E42*ThetaCall,D42*E42*ThetaPut),IF(B42="Delta",0,""))</f>
        <v/>
      </c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2">
      <c r="A43" s="60">
        <v>43369</v>
      </c>
      <c r="B43" s="33" t="str">
        <f t="shared" si="5"/>
        <v/>
      </c>
      <c r="C43" s="31" t="str">
        <f t="shared" si="6"/>
        <v/>
      </c>
      <c r="D43" s="5"/>
      <c r="E43" s="43" t="str">
        <f t="shared" si="2"/>
        <v/>
      </c>
      <c r="F43" s="43" t="str">
        <f t="shared" si="3"/>
        <v/>
      </c>
      <c r="G43" s="44" t="str">
        <f t="shared" si="4"/>
        <v/>
      </c>
      <c r="H43" s="37" t="str">
        <f t="shared" si="0"/>
        <v/>
      </c>
      <c r="I43" s="59"/>
      <c r="J43" s="58" t="str">
        <f t="shared" si="7"/>
        <v/>
      </c>
      <c r="K43" s="44" t="str">
        <f>IF(B43="Option",IF($B$3="C",D43*E43*S_0*deltaCall,D43*E43*S_0*deltaPut),IF(B43="Delta",D43*E43*S_0,""))</f>
        <v/>
      </c>
      <c r="L43" s="44" t="str">
        <f t="shared" si="1"/>
        <v/>
      </c>
      <c r="M43" s="44" t="str">
        <f>IF(B43="Option",IF($B$3="C",D43*E43*S_0^2/100*GammaCall,D43*E43*S_0^2/100*GammaPut),IF(B43="Delta",0,""))</f>
        <v/>
      </c>
      <c r="N43" s="44" t="str">
        <f>IF(B43="Option",IF($B$3="C",D43*E43*ThetaCall,D43*E43*ThetaPut),IF(B43="Delta",0,""))</f>
        <v/>
      </c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2">
      <c r="A44" s="60">
        <v>43389</v>
      </c>
      <c r="B44" s="33" t="str">
        <f t="shared" si="5"/>
        <v/>
      </c>
      <c r="C44" s="31" t="str">
        <f t="shared" si="6"/>
        <v/>
      </c>
      <c r="D44" s="5"/>
      <c r="E44" s="43" t="str">
        <f t="shared" si="2"/>
        <v/>
      </c>
      <c r="F44" s="43" t="str">
        <f t="shared" si="3"/>
        <v/>
      </c>
      <c r="G44" s="44" t="str">
        <f t="shared" si="4"/>
        <v/>
      </c>
      <c r="H44" s="37" t="str">
        <f t="shared" si="0"/>
        <v/>
      </c>
      <c r="I44" s="59"/>
      <c r="J44" s="58" t="str">
        <f t="shared" si="7"/>
        <v/>
      </c>
      <c r="K44" s="44" t="str">
        <f>IF(B44="Option",IF($B$3="C",D44*E44*S_0*deltaCall,D44*E44*S_0*deltaPut),IF(B44="Delta",D44*E44*S_0,""))</f>
        <v/>
      </c>
      <c r="L44" s="44" t="str">
        <f t="shared" si="1"/>
        <v/>
      </c>
      <c r="M44" s="44" t="str">
        <f>IF(B44="Option",IF($B$3="C",D44*E44*S_0^2/100*GammaCall,D44*E44*S_0^2/100*GammaPut),IF(B44="Delta",0,""))</f>
        <v/>
      </c>
      <c r="N44" s="44" t="str">
        <f>IF(B44="Option",IF($B$3="C",D44*E44*ThetaCall,D44*E44*ThetaPut),IF(B44="Delta",0,""))</f>
        <v/>
      </c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2">
      <c r="A45" s="60">
        <v>43389</v>
      </c>
      <c r="B45" s="33" t="str">
        <f t="shared" si="5"/>
        <v/>
      </c>
      <c r="C45" s="31" t="str">
        <f t="shared" si="6"/>
        <v/>
      </c>
      <c r="D45" s="5"/>
      <c r="E45" s="43" t="str">
        <f t="shared" si="2"/>
        <v/>
      </c>
      <c r="F45" s="43" t="str">
        <f t="shared" si="3"/>
        <v/>
      </c>
      <c r="G45" s="44" t="str">
        <f t="shared" si="4"/>
        <v/>
      </c>
      <c r="H45" s="37" t="str">
        <f t="shared" si="0"/>
        <v/>
      </c>
      <c r="I45" s="59"/>
      <c r="J45" s="58" t="str">
        <f t="shared" si="7"/>
        <v/>
      </c>
      <c r="K45" s="44" t="str">
        <f>IF(B45="Option",IF($B$3="C",D45*E45*S_0*deltaCall,D45*E45*S_0*deltaPut),IF(B45="Delta",D45*E45*S_0,""))</f>
        <v/>
      </c>
      <c r="L45" s="44" t="str">
        <f t="shared" si="1"/>
        <v/>
      </c>
      <c r="M45" s="44" t="str">
        <f>IF(B45="Option",IF($B$3="C",D45*E45*S_0^2/100*GammaCall,D45*E45*S_0^2/100*GammaPut),IF(B45="Delta",0,""))</f>
        <v/>
      </c>
      <c r="N45" s="44" t="str">
        <f>IF(B45="Option",IF($B$3="C",D45*E45*ThetaCall,D45*E45*ThetaPut),IF(B45="Delta",0,""))</f>
        <v/>
      </c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2">
      <c r="A46" s="60"/>
      <c r="B46" s="33" t="str">
        <f t="shared" si="5"/>
        <v/>
      </c>
      <c r="C46" s="31" t="str">
        <f t="shared" si="6"/>
        <v/>
      </c>
      <c r="D46" s="5"/>
      <c r="E46" s="43" t="str">
        <f t="shared" si="2"/>
        <v/>
      </c>
      <c r="F46" s="43" t="str">
        <f t="shared" si="3"/>
        <v/>
      </c>
      <c r="G46" s="44" t="str">
        <f t="shared" si="4"/>
        <v/>
      </c>
      <c r="H46" s="37" t="str">
        <f t="shared" si="0"/>
        <v/>
      </c>
      <c r="I46" s="59"/>
      <c r="J46" s="58" t="str">
        <f t="shared" si="7"/>
        <v/>
      </c>
      <c r="K46" s="44" t="str">
        <f>IF(B46="Option",IF($B$3="C",D46*E46*S_0*deltaCall,D46*E46*S_0*deltaPut),IF(B46="Delta",D46*E46*S_0,""))</f>
        <v/>
      </c>
      <c r="L46" s="44" t="str">
        <f t="shared" si="1"/>
        <v/>
      </c>
      <c r="M46" s="44" t="str">
        <f>IF(B46="Option",IF($B$3="C",D46*E46*S_0^2/100*GammaCall,D46*E46*S_0^2/100*GammaPut),IF(B46="Delta",0,""))</f>
        <v/>
      </c>
      <c r="N46" s="44" t="str">
        <f>IF(B46="Option",IF($B$3="C",D46*E46*ThetaCall,D46*E46*ThetaPut),IF(B46="Delta",0,""))</f>
        <v/>
      </c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2">
      <c r="A47" s="60"/>
      <c r="B47" s="33" t="str">
        <f t="shared" si="5"/>
        <v/>
      </c>
      <c r="C47" s="31" t="str">
        <f t="shared" si="6"/>
        <v/>
      </c>
      <c r="D47" s="5"/>
      <c r="E47" s="43" t="str">
        <f t="shared" si="2"/>
        <v/>
      </c>
      <c r="F47" s="43" t="str">
        <f t="shared" si="3"/>
        <v/>
      </c>
      <c r="G47" s="44" t="str">
        <f t="shared" si="4"/>
        <v/>
      </c>
      <c r="H47" s="37" t="str">
        <f t="shared" si="0"/>
        <v/>
      </c>
      <c r="I47" s="59"/>
      <c r="J47" s="58" t="str">
        <f t="shared" si="7"/>
        <v/>
      </c>
      <c r="K47" s="44" t="str">
        <f>IF(B47="Option",IF($B$3="C",D47*E47*S_0*deltaCall,D47*E47*S_0*deltaPut),IF(B47="Delta",D47*E47*S_0,""))</f>
        <v/>
      </c>
      <c r="L47" s="44" t="str">
        <f t="shared" si="1"/>
        <v/>
      </c>
      <c r="M47" s="44" t="str">
        <f>IF(B47="Option",IF($B$3="C",D47*E47*S_0^2/100*GammaCall,D47*E47*S_0^2/100*GammaPut),IF(B47="Delta",0,""))</f>
        <v/>
      </c>
      <c r="N47" s="44" t="str">
        <f>IF(B47="Option",IF($B$3="C",D47*E47*ThetaCall,D47*E47*ThetaPut),IF(B47="Delta",0,""))</f>
        <v/>
      </c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2">
      <c r="A48" s="60"/>
      <c r="B48" s="33" t="str">
        <f t="shared" si="5"/>
        <v/>
      </c>
      <c r="C48" s="31" t="str">
        <f t="shared" si="6"/>
        <v/>
      </c>
      <c r="D48" s="5"/>
      <c r="E48" s="43" t="str">
        <f t="shared" si="2"/>
        <v/>
      </c>
      <c r="F48" s="43" t="str">
        <f t="shared" si="3"/>
        <v/>
      </c>
      <c r="G48" s="44" t="str">
        <f t="shared" si="4"/>
        <v/>
      </c>
      <c r="H48" s="37" t="str">
        <f t="shared" si="0"/>
        <v/>
      </c>
      <c r="I48" s="59"/>
      <c r="J48" s="58" t="str">
        <f t="shared" si="7"/>
        <v/>
      </c>
      <c r="K48" s="44" t="str">
        <f>IF(B48="Option",IF($B$3="C",D48*E48*S_0*deltaCall,D48*E48*S_0*deltaPut),IF(B48="Delta",D48*E48*S_0,""))</f>
        <v/>
      </c>
      <c r="L48" s="44" t="str">
        <f t="shared" si="1"/>
        <v/>
      </c>
      <c r="M48" s="44" t="str">
        <f>IF(B48="Option",IF($B$3="C",D48*E48*S_0^2/100*GammaCall,D48*E48*S_0^2/100*GammaPut),IF(B48="Delta",0,""))</f>
        <v/>
      </c>
      <c r="N48" s="44" t="str">
        <f>IF(B48="Option",IF($B$3="C",D48*E48*ThetaCall,D48*E48*ThetaPut),IF(B48="Delta",0,""))</f>
        <v/>
      </c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2">
      <c r="A49" s="60"/>
      <c r="B49" s="33" t="str">
        <f t="shared" si="5"/>
        <v/>
      </c>
      <c r="C49" s="31" t="str">
        <f t="shared" si="6"/>
        <v/>
      </c>
      <c r="D49" s="5"/>
      <c r="E49" s="43" t="str">
        <f t="shared" si="2"/>
        <v/>
      </c>
      <c r="F49" s="43" t="str">
        <f t="shared" si="3"/>
        <v/>
      </c>
      <c r="G49" s="44" t="str">
        <f t="shared" si="4"/>
        <v/>
      </c>
      <c r="H49" s="37" t="str">
        <f t="shared" si="0"/>
        <v/>
      </c>
      <c r="I49" s="59"/>
      <c r="J49" s="58" t="str">
        <f t="shared" si="7"/>
        <v/>
      </c>
      <c r="K49" s="44" t="str">
        <f>IF(B49="Option",IF($B$3="C",D49*E49*S_0*deltaCall,D49*E49*S_0*deltaPut),IF(B49="Delta",D49*E49*S_0,""))</f>
        <v/>
      </c>
      <c r="L49" s="44" t="str">
        <f t="shared" si="1"/>
        <v/>
      </c>
      <c r="M49" s="44" t="str">
        <f>IF(B49="Option",IF($B$3="C",D49*E49*S_0^2/100*GammaCall,D49*E49*S_0^2/100*GammaPut),IF(B49="Delta",0,""))</f>
        <v/>
      </c>
      <c r="N49" s="44" t="str">
        <f>IF(B49="Option",IF($B$3="C",D49*E49*ThetaCall,D49*E49*ThetaPut),IF(B49="Delta",0,""))</f>
        <v/>
      </c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ht="17" thickBot="1" x14ac:dyDescent="0.25">
      <c r="A50" s="60"/>
      <c r="B50" s="33" t="str">
        <f t="shared" si="5"/>
        <v/>
      </c>
      <c r="C50" s="31" t="str">
        <f t="shared" si="6"/>
        <v/>
      </c>
      <c r="D50" s="5"/>
      <c r="E50" s="43" t="str">
        <f t="shared" si="2"/>
        <v/>
      </c>
      <c r="F50" s="43" t="str">
        <f t="shared" si="3"/>
        <v/>
      </c>
      <c r="G50" s="44" t="str">
        <f t="shared" si="4"/>
        <v/>
      </c>
      <c r="H50" s="37" t="str">
        <f t="shared" si="0"/>
        <v/>
      </c>
      <c r="I50" s="59"/>
      <c r="J50" s="58" t="str">
        <f t="shared" si="7"/>
        <v/>
      </c>
      <c r="K50" s="44" t="str">
        <f>IF(B50="Option",IF($B$3="C",D50*E50*S_0*deltaCall,D50*E50*S_0*deltaPut),IF(B50="Delta",D50*E50*S_0,""))</f>
        <v/>
      </c>
      <c r="L50" s="44" t="str">
        <f t="shared" si="1"/>
        <v/>
      </c>
      <c r="M50" s="44" t="str">
        <f>IF(B50="Option",IF($B$3="C",D50*E50*S_0^2/100*GammaCall,D50*E50*S_0^2/100*GammaPut),IF(B50="Delta",0,""))</f>
        <v/>
      </c>
      <c r="N50" s="44" t="str">
        <f>IF(B50="Option",IF($B$3="C",D50*E50*ThetaCall,D50*E50*ThetaPut),IF(B50="Delta",0,""))</f>
        <v/>
      </c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ht="17" thickBot="1" x14ac:dyDescent="0.25">
      <c r="A51" s="6"/>
      <c r="B51" s="6"/>
      <c r="C51" s="6"/>
      <c r="D51" s="6"/>
      <c r="E51" s="6"/>
      <c r="F51" s="6"/>
      <c r="G51" s="6"/>
      <c r="H51" s="31" t="s">
        <v>54</v>
      </c>
      <c r="I51" s="62">
        <f ca="1">(SUMPRODUCT(I37:I50,D37:D50))/$I$52</f>
        <v>20.49</v>
      </c>
      <c r="J51" s="51">
        <f ca="1">SUM(J36:J50)</f>
        <v>0</v>
      </c>
      <c r="K51" s="72">
        <f ca="1">SUM($K$36:K50)</f>
        <v>0</v>
      </c>
      <c r="L51" s="72">
        <f ca="1">SUM($L$36:L50)</f>
        <v>186.21252436225654</v>
      </c>
      <c r="M51" s="72">
        <f ca="1">SUM($M$36:M50)</f>
        <v>9267.4626932401989</v>
      </c>
      <c r="N51" s="72">
        <f ca="1">SUM($N$36:N50)</f>
        <v>-193.73743018295642</v>
      </c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2">
      <c r="A52" s="6"/>
      <c r="B52" s="6"/>
      <c r="C52" s="6"/>
      <c r="D52" s="6"/>
      <c r="E52" s="6"/>
      <c r="F52" s="6"/>
      <c r="G52" s="6"/>
      <c r="H52" s="31" t="s">
        <v>55</v>
      </c>
      <c r="I52" s="63">
        <f ca="1">SUMIF(B37:D50,"Delta",D37:D50)</f>
        <v>-5169.9352223821661</v>
      </c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x14ac:dyDescent="0.2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x14ac:dyDescent="0.2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x14ac:dyDescent="0.2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x14ac:dyDescent="0.2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x14ac:dyDescent="0.2">
      <c r="A58" s="6"/>
      <c r="B58" s="6"/>
      <c r="C58" s="6"/>
      <c r="D58" s="6"/>
      <c r="E58" s="6"/>
      <c r="F58" s="6"/>
      <c r="G58" s="6"/>
      <c r="H58" s="6"/>
      <c r="I58" s="65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x14ac:dyDescent="0.2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x14ac:dyDescent="0.2">
      <c r="A60" s="6"/>
      <c r="B60" s="6"/>
      <c r="C60" s="6"/>
      <c r="D60" s="6"/>
      <c r="E60" s="6"/>
      <c r="F60" s="6"/>
      <c r="G60" s="6"/>
      <c r="H60" s="6"/>
      <c r="I60" s="64">
        <f>_xlfn.STDEV.P(I37:I45)</f>
        <v>0</v>
      </c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 x14ac:dyDescent="0.2">
      <c r="A61" s="6"/>
      <c r="B61" s="6"/>
      <c r="C61" s="6"/>
      <c r="D61" s="6"/>
      <c r="E61" s="6"/>
      <c r="F61" s="6"/>
      <c r="G61" s="6"/>
      <c r="H61" s="6"/>
      <c r="I61" s="64" t="e">
        <f>_xlfn.STDEV.S(I37:I45)</f>
        <v>#DIV/0!</v>
      </c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 x14ac:dyDescent="0.2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 x14ac:dyDescent="0.2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 x14ac:dyDescent="0.2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 x14ac:dyDescent="0.2">
      <c r="A65" s="60">
        <v>43344</v>
      </c>
      <c r="B65" s="6">
        <v>100</v>
      </c>
      <c r="C65" s="6"/>
      <c r="D65" s="6"/>
      <c r="E65" s="6"/>
      <c r="F65" s="6"/>
      <c r="G65" s="6"/>
      <c r="H65" s="6"/>
      <c r="I65" s="6"/>
      <c r="J65" s="6" t="s">
        <v>60</v>
      </c>
      <c r="K65" s="6" t="s">
        <v>61</v>
      </c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 x14ac:dyDescent="0.2">
      <c r="A66" s="60">
        <v>43345</v>
      </c>
      <c r="B66" s="6">
        <v>101</v>
      </c>
      <c r="C66" s="6">
        <f ca="1">_xlfn.NORM.S.INV(E66)</f>
        <v>-0.27584481035320357</v>
      </c>
      <c r="D66" s="6"/>
      <c r="E66" s="6">
        <f ca="1">RAND()</f>
        <v>0.39133363235379481</v>
      </c>
      <c r="F66" s="31" t="s">
        <v>59</v>
      </c>
      <c r="G66" s="66">
        <f ca="1">AVERAGE(E66:E511)</f>
        <v>0.5043674779097892</v>
      </c>
      <c r="H66" s="6"/>
      <c r="I66" s="6"/>
      <c r="J66" s="6">
        <v>5.8060000000000003E-5</v>
      </c>
      <c r="K66" s="6">
        <v>5.8050000000000002E-5</v>
      </c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 x14ac:dyDescent="0.2">
      <c r="A67" s="60">
        <v>43346</v>
      </c>
      <c r="B67" s="6">
        <v>99</v>
      </c>
      <c r="C67" s="6">
        <f t="shared" ref="C67:C130" ca="1" si="8">_xlfn.NORM.S.INV(E67)</f>
        <v>-0.19612884882558307</v>
      </c>
      <c r="D67" s="6"/>
      <c r="E67" s="6">
        <f t="shared" ref="E67:E130" ca="1" si="9">RAND()</f>
        <v>0.42225465832232723</v>
      </c>
      <c r="F67" s="31" t="s">
        <v>58</v>
      </c>
      <c r="G67" s="69">
        <f ca="1">_xlfn.STDEV.P(E66:E511)</f>
        <v>0.27389622779689432</v>
      </c>
      <c r="H67" s="6"/>
      <c r="I67" s="6"/>
      <c r="J67" s="6">
        <v>6404</v>
      </c>
      <c r="K67" s="6">
        <v>6409.4</v>
      </c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 x14ac:dyDescent="0.2">
      <c r="A68" s="60">
        <v>43347</v>
      </c>
      <c r="B68" s="6">
        <v>103</v>
      </c>
      <c r="C68" s="6">
        <f t="shared" ca="1" si="8"/>
        <v>0.5456427274566279</v>
      </c>
      <c r="D68" s="6"/>
      <c r="E68" s="6">
        <f t="shared" ca="1" si="9"/>
        <v>0.70734422612925596</v>
      </c>
      <c r="F68" s="31" t="s">
        <v>56</v>
      </c>
      <c r="G68" s="66">
        <f ca="1">MIN(E66:E511)</f>
        <v>1.3460147510637732E-3</v>
      </c>
      <c r="H68" s="6"/>
      <c r="I68" s="6"/>
      <c r="J68" s="32">
        <f>J66*J67</f>
        <v>0.37181624000000002</v>
      </c>
      <c r="K68" s="32">
        <f>K66*K67</f>
        <v>0.37206567000000001</v>
      </c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 x14ac:dyDescent="0.2">
      <c r="A69" s="60">
        <v>43348</v>
      </c>
      <c r="B69" s="6"/>
      <c r="C69" s="6">
        <f t="shared" ca="1" si="8"/>
        <v>0.47781584804430155</v>
      </c>
      <c r="D69" s="6"/>
      <c r="E69" s="6">
        <f t="shared" ca="1" si="9"/>
        <v>0.68360935983394744</v>
      </c>
      <c r="F69" s="31" t="s">
        <v>57</v>
      </c>
      <c r="G69" s="66">
        <f ca="1">MAX(E66:E511)</f>
        <v>0.99851093190639917</v>
      </c>
      <c r="H69" s="6"/>
      <c r="I69" s="6"/>
      <c r="J69" s="6">
        <v>0.37180000000000002</v>
      </c>
      <c r="K69" s="6">
        <v>0.37140000000000001</v>
      </c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 x14ac:dyDescent="0.2">
      <c r="A70" s="60">
        <v>43349</v>
      </c>
      <c r="B70" s="6"/>
      <c r="C70" s="6">
        <f t="shared" ca="1" si="8"/>
        <v>-0.3049635299677968</v>
      </c>
      <c r="D70" s="6"/>
      <c r="E70" s="6">
        <f t="shared" ca="1" si="9"/>
        <v>0.38019696444118323</v>
      </c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 x14ac:dyDescent="0.2">
      <c r="A71" s="60">
        <v>43350</v>
      </c>
      <c r="B71" s="6"/>
      <c r="C71" s="6">
        <f t="shared" ca="1" si="8"/>
        <v>0.45991425234759908</v>
      </c>
      <c r="D71" s="6"/>
      <c r="E71" s="6">
        <f t="shared" ca="1" si="9"/>
        <v>0.67721111514283283</v>
      </c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 x14ac:dyDescent="0.2">
      <c r="A72" s="60">
        <v>43351</v>
      </c>
      <c r="B72" s="6"/>
      <c r="C72" s="6">
        <f t="shared" ca="1" si="8"/>
        <v>-1.0802906239997339</v>
      </c>
      <c r="D72" s="6"/>
      <c r="E72" s="6">
        <f t="shared" ca="1" si="9"/>
        <v>0.1400063917934028</v>
      </c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 x14ac:dyDescent="0.2">
      <c r="A73" s="60">
        <v>43352</v>
      </c>
      <c r="B73" s="6"/>
      <c r="C73" s="6">
        <f t="shared" ca="1" si="8"/>
        <v>0.29808850173143925</v>
      </c>
      <c r="D73" s="6"/>
      <c r="E73" s="6">
        <f t="shared" ca="1" si="9"/>
        <v>0.61718219141554587</v>
      </c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 x14ac:dyDescent="0.2">
      <c r="A74" s="60">
        <v>43353</v>
      </c>
      <c r="B74" s="6"/>
      <c r="C74" s="6">
        <f t="shared" ca="1" si="8"/>
        <v>1.1298156764082548</v>
      </c>
      <c r="D74" s="6"/>
      <c r="E74" s="6">
        <f t="shared" ca="1" si="9"/>
        <v>0.87072304939798073</v>
      </c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 x14ac:dyDescent="0.2">
      <c r="A75" s="60">
        <v>43354</v>
      </c>
      <c r="B75" s="6"/>
      <c r="C75" s="6">
        <f t="shared" ca="1" si="8"/>
        <v>0.7455317778682955</v>
      </c>
      <c r="D75" s="6"/>
      <c r="E75" s="6">
        <f t="shared" ca="1" si="9"/>
        <v>0.77202484607273136</v>
      </c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 x14ac:dyDescent="0.2">
      <c r="A76" s="60">
        <v>43355</v>
      </c>
      <c r="B76" s="6"/>
      <c r="C76" s="6">
        <f t="shared" ca="1" si="8"/>
        <v>-2.8720949056794352</v>
      </c>
      <c r="D76" s="6"/>
      <c r="E76" s="6">
        <f t="shared" ca="1" si="9"/>
        <v>2.038802444434995E-3</v>
      </c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 x14ac:dyDescent="0.2">
      <c r="A77" s="60">
        <v>43356</v>
      </c>
      <c r="B77" s="6"/>
      <c r="C77" s="6">
        <f t="shared" ca="1" si="8"/>
        <v>0.31980203950135822</v>
      </c>
      <c r="D77" s="6"/>
      <c r="E77" s="6">
        <f t="shared" ca="1" si="9"/>
        <v>0.62544079927522878</v>
      </c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 x14ac:dyDescent="0.2">
      <c r="A78" s="60">
        <v>43357</v>
      </c>
      <c r="B78" s="6"/>
      <c r="C78" s="6">
        <f t="shared" ca="1" si="8"/>
        <v>0.28019390066492805</v>
      </c>
      <c r="D78" s="6"/>
      <c r="E78" s="6">
        <f t="shared" ca="1" si="9"/>
        <v>0.61033562705131927</v>
      </c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 x14ac:dyDescent="0.2">
      <c r="A79" s="60">
        <v>43358</v>
      </c>
      <c r="B79" s="6"/>
      <c r="C79" s="6">
        <f t="shared" ca="1" si="8"/>
        <v>0.71852171133581744</v>
      </c>
      <c r="D79" s="6"/>
      <c r="E79" s="6">
        <f t="shared" ca="1" si="9"/>
        <v>0.76378216707888757</v>
      </c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 x14ac:dyDescent="0.2">
      <c r="A80" s="60">
        <v>43359</v>
      </c>
      <c r="B80" s="6"/>
      <c r="C80" s="6">
        <f t="shared" ca="1" si="8"/>
        <v>2.7374552113430334E-2</v>
      </c>
      <c r="D80" s="6"/>
      <c r="E80" s="6">
        <f t="shared" ca="1" si="9"/>
        <v>0.51091950244390394</v>
      </c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 x14ac:dyDescent="0.2">
      <c r="A81" s="60">
        <v>43360</v>
      </c>
      <c r="B81" s="6"/>
      <c r="C81" s="6">
        <f t="shared" ca="1" si="8"/>
        <v>0.41384689028324528</v>
      </c>
      <c r="D81" s="6"/>
      <c r="E81" s="6">
        <f t="shared" ca="1" si="9"/>
        <v>0.66050687944216113</v>
      </c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 x14ac:dyDescent="0.2">
      <c r="A82" s="60">
        <v>43361</v>
      </c>
      <c r="B82" s="6"/>
      <c r="C82" s="6">
        <f t="shared" ca="1" si="8"/>
        <v>2.0683859763439734</v>
      </c>
      <c r="D82" s="6"/>
      <c r="E82" s="6">
        <f t="shared" ca="1" si="9"/>
        <v>0.98069812857816185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 x14ac:dyDescent="0.2">
      <c r="A83" s="60">
        <v>43362</v>
      </c>
      <c r="B83" s="6"/>
      <c r="C83" s="6">
        <f t="shared" ca="1" si="8"/>
        <v>0.36889850448152245</v>
      </c>
      <c r="D83" s="6"/>
      <c r="E83" s="6">
        <f t="shared" ca="1" si="9"/>
        <v>0.64389831094615724</v>
      </c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 x14ac:dyDescent="0.2">
      <c r="A84" s="60">
        <v>43363</v>
      </c>
      <c r="B84" s="6"/>
      <c r="C84" s="6">
        <f t="shared" ca="1" si="8"/>
        <v>0.51421715763423992</v>
      </c>
      <c r="D84" s="6"/>
      <c r="E84" s="6">
        <f t="shared" ca="1" si="9"/>
        <v>0.69644991335616568</v>
      </c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 x14ac:dyDescent="0.2">
      <c r="A85" s="60">
        <v>43364</v>
      </c>
      <c r="B85" s="6"/>
      <c r="C85" s="6">
        <f t="shared" ca="1" si="8"/>
        <v>0.41357159868505078</v>
      </c>
      <c r="D85" s="6"/>
      <c r="E85" s="6">
        <f t="shared" ca="1" si="9"/>
        <v>0.6604060616663272</v>
      </c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 x14ac:dyDescent="0.2">
      <c r="A86" s="6"/>
      <c r="B86" s="6"/>
      <c r="C86" s="6">
        <f t="shared" ca="1" si="8"/>
        <v>0.90813792000528892</v>
      </c>
      <c r="D86" s="6"/>
      <c r="E86" s="6">
        <f t="shared" ca="1" si="9"/>
        <v>0.81809732092422349</v>
      </c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 x14ac:dyDescent="0.2">
      <c r="A87" s="6"/>
      <c r="B87" s="6"/>
      <c r="C87" s="6">
        <f t="shared" ca="1" si="8"/>
        <v>-0.68541239962883305</v>
      </c>
      <c r="D87" s="6"/>
      <c r="E87" s="6">
        <f t="shared" ca="1" si="9"/>
        <v>0.2465418608556289</v>
      </c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 x14ac:dyDescent="0.2">
      <c r="A88" s="6"/>
      <c r="B88" s="6"/>
      <c r="C88" s="6">
        <f t="shared" ca="1" si="8"/>
        <v>1.8336770819542811</v>
      </c>
      <c r="D88" s="6"/>
      <c r="E88" s="6">
        <f t="shared" ca="1" si="9"/>
        <v>0.96664902872726299</v>
      </c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 x14ac:dyDescent="0.2">
      <c r="A89" s="6"/>
      <c r="B89" s="6"/>
      <c r="C89" s="6">
        <f t="shared" ca="1" si="8"/>
        <v>-0.28736525439343324</v>
      </c>
      <c r="D89" s="6"/>
      <c r="E89" s="6">
        <f t="shared" ca="1" si="9"/>
        <v>0.38691633134593229</v>
      </c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 x14ac:dyDescent="0.2">
      <c r="A90" s="6"/>
      <c r="B90" s="6"/>
      <c r="C90" s="6">
        <f t="shared" ca="1" si="8"/>
        <v>0.4596439266971597</v>
      </c>
      <c r="D90" s="6"/>
      <c r="E90" s="6">
        <f t="shared" ca="1" si="9"/>
        <v>0.67711408803479378</v>
      </c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 x14ac:dyDescent="0.2">
      <c r="A91" s="6"/>
      <c r="B91" s="6"/>
      <c r="C91" s="6">
        <f t="shared" ca="1" si="8"/>
        <v>9.4439495913179721E-3</v>
      </c>
      <c r="D91" s="6"/>
      <c r="E91" s="6">
        <f t="shared" ca="1" si="9"/>
        <v>0.50376753478260916</v>
      </c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 x14ac:dyDescent="0.2">
      <c r="A92" s="6"/>
      <c r="B92" s="6"/>
      <c r="C92" s="6">
        <f t="shared" ca="1" si="8"/>
        <v>-1.7355996278299846</v>
      </c>
      <c r="D92" s="6"/>
      <c r="E92" s="6">
        <f t="shared" ca="1" si="9"/>
        <v>4.1317325909550395E-2</v>
      </c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 x14ac:dyDescent="0.2">
      <c r="A93" s="6"/>
      <c r="B93" s="6"/>
      <c r="C93" s="6">
        <f t="shared" ca="1" si="8"/>
        <v>-3.5214900069554869E-2</v>
      </c>
      <c r="D93" s="6"/>
      <c r="E93" s="6">
        <f t="shared" ca="1" si="9"/>
        <v>0.48595419053153077</v>
      </c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 x14ac:dyDescent="0.2">
      <c r="A94" s="6"/>
      <c r="B94" s="6"/>
      <c r="C94" s="6">
        <f t="shared" ca="1" si="8"/>
        <v>0.61666566081803975</v>
      </c>
      <c r="D94" s="6"/>
      <c r="E94" s="6">
        <f t="shared" ca="1" si="9"/>
        <v>0.73127236226706571</v>
      </c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 x14ac:dyDescent="0.2">
      <c r="A95" s="6"/>
      <c r="B95" s="6"/>
      <c r="C95" s="6">
        <f t="shared" ca="1" si="8"/>
        <v>-0.8667650161638929</v>
      </c>
      <c r="D95" s="6"/>
      <c r="E95" s="6">
        <f t="shared" ca="1" si="9"/>
        <v>0.19303538694174327</v>
      </c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 x14ac:dyDescent="0.2">
      <c r="A96" s="6"/>
      <c r="B96" s="6"/>
      <c r="C96" s="6">
        <f t="shared" ca="1" si="8"/>
        <v>2.7383066648329058E-2</v>
      </c>
      <c r="D96" s="6"/>
      <c r="E96" s="6">
        <f t="shared" ca="1" si="9"/>
        <v>0.51092289797898927</v>
      </c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 x14ac:dyDescent="0.2">
      <c r="A97" s="6"/>
      <c r="B97" s="6"/>
      <c r="C97" s="6">
        <f t="shared" ca="1" si="8"/>
        <v>-1.3578005401981423</v>
      </c>
      <c r="D97" s="6"/>
      <c r="E97" s="6">
        <f t="shared" ca="1" si="9"/>
        <v>8.7263491745036337E-2</v>
      </c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 x14ac:dyDescent="0.2">
      <c r="A98" s="6"/>
      <c r="B98" s="6"/>
      <c r="C98" s="6">
        <f t="shared" ca="1" si="8"/>
        <v>0.77339114476537196</v>
      </c>
      <c r="D98" s="6"/>
      <c r="E98" s="6">
        <f t="shared" ca="1" si="9"/>
        <v>0.78035453546881217</v>
      </c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 x14ac:dyDescent="0.2">
      <c r="A99" s="6"/>
      <c r="B99" s="6"/>
      <c r="C99" s="6">
        <f t="shared" ca="1" si="8"/>
        <v>0.24255200641366165</v>
      </c>
      <c r="D99" s="6"/>
      <c r="E99" s="6">
        <f t="shared" ca="1" si="9"/>
        <v>0.5958237678408389</v>
      </c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 x14ac:dyDescent="0.2">
      <c r="A100" s="6"/>
      <c r="B100" s="6"/>
      <c r="C100" s="6">
        <f t="shared" ca="1" si="8"/>
        <v>0.12693961252585317</v>
      </c>
      <c r="D100" s="6"/>
      <c r="E100" s="6">
        <f t="shared" ca="1" si="9"/>
        <v>0.55050590301838997</v>
      </c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1:26" x14ac:dyDescent="0.2">
      <c r="A101" s="6"/>
      <c r="B101" s="6"/>
      <c r="C101" s="6">
        <f t="shared" ca="1" si="8"/>
        <v>-0.56342588735707766</v>
      </c>
      <c r="D101" s="6"/>
      <c r="E101" s="6">
        <f t="shared" ca="1" si="9"/>
        <v>0.28657245673038212</v>
      </c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1:26" x14ac:dyDescent="0.2">
      <c r="A102" s="6"/>
      <c r="B102" s="6"/>
      <c r="C102" s="6">
        <f t="shared" ca="1" si="8"/>
        <v>-0.57493938998974869</v>
      </c>
      <c r="D102" s="6"/>
      <c r="E102" s="6">
        <f t="shared" ca="1" si="9"/>
        <v>0.28266614442980087</v>
      </c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1:26" x14ac:dyDescent="0.2">
      <c r="A103" s="6"/>
      <c r="B103" s="6"/>
      <c r="C103" s="6">
        <f t="shared" ca="1" si="8"/>
        <v>-0.13801358078419995</v>
      </c>
      <c r="D103" s="6"/>
      <c r="E103" s="6">
        <f t="shared" ca="1" si="9"/>
        <v>0.44511484217460939</v>
      </c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1:26" x14ac:dyDescent="0.2">
      <c r="A104" s="6"/>
      <c r="B104" s="6"/>
      <c r="C104" s="6">
        <f t="shared" ca="1" si="8"/>
        <v>-0.38755916286752079</v>
      </c>
      <c r="D104" s="6"/>
      <c r="E104" s="6">
        <f t="shared" ca="1" si="9"/>
        <v>0.34917114729458432</v>
      </c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1:26" x14ac:dyDescent="0.2">
      <c r="A105" s="6"/>
      <c r="B105" s="6"/>
      <c r="C105" s="6">
        <f t="shared" ca="1" si="8"/>
        <v>3.9532424118589315E-2</v>
      </c>
      <c r="D105" s="6"/>
      <c r="E105" s="6">
        <f t="shared" ca="1" si="9"/>
        <v>0.51576704849717825</v>
      </c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1:26" x14ac:dyDescent="0.2">
      <c r="A106" s="6"/>
      <c r="B106" s="6"/>
      <c r="C106" s="6">
        <f t="shared" ca="1" si="8"/>
        <v>-0.39462418619051659</v>
      </c>
      <c r="D106" s="6"/>
      <c r="E106" s="6">
        <f t="shared" ca="1" si="9"/>
        <v>0.34656013062641911</v>
      </c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1:26" x14ac:dyDescent="0.2">
      <c r="A107" s="6"/>
      <c r="B107" s="6"/>
      <c r="C107" s="6">
        <f t="shared" ca="1" si="8"/>
        <v>-1.2975393285608121</v>
      </c>
      <c r="D107" s="6"/>
      <c r="E107" s="6">
        <f t="shared" ca="1" si="9"/>
        <v>9.7222841132047821E-2</v>
      </c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1:26" x14ac:dyDescent="0.2">
      <c r="C108" s="6">
        <f t="shared" ca="1" si="8"/>
        <v>0.78994117975154743</v>
      </c>
      <c r="E108" s="6">
        <f t="shared" ca="1" si="9"/>
        <v>0.7852189397024445</v>
      </c>
    </row>
    <row r="109" spans="1:26" x14ac:dyDescent="0.2">
      <c r="C109" s="6">
        <f t="shared" ca="1" si="8"/>
        <v>-9.387058148317641E-2</v>
      </c>
      <c r="E109" s="6">
        <f t="shared" ca="1" si="9"/>
        <v>0.46260598159895894</v>
      </c>
    </row>
    <row r="110" spans="1:26" x14ac:dyDescent="0.2">
      <c r="C110" s="6">
        <f t="shared" ca="1" si="8"/>
        <v>1.1378236194469673</v>
      </c>
      <c r="E110" s="6">
        <f t="shared" ca="1" si="9"/>
        <v>0.87240292990092627</v>
      </c>
    </row>
    <row r="111" spans="1:26" x14ac:dyDescent="0.2">
      <c r="C111" s="6">
        <f t="shared" ca="1" si="8"/>
        <v>0.84895372169881911</v>
      </c>
      <c r="E111" s="6">
        <f t="shared" ca="1" si="9"/>
        <v>0.80204647800607465</v>
      </c>
    </row>
    <row r="112" spans="1:26" x14ac:dyDescent="0.2">
      <c r="C112" s="6">
        <f t="shared" ca="1" si="8"/>
        <v>-0.19286058630017786</v>
      </c>
      <c r="E112" s="6">
        <f t="shared" ca="1" si="9"/>
        <v>0.42353407652685515</v>
      </c>
    </row>
    <row r="113" spans="3:5" x14ac:dyDescent="0.2">
      <c r="C113" s="6">
        <f t="shared" ca="1" si="8"/>
        <v>-0.91356941722223661</v>
      </c>
      <c r="E113" s="6">
        <f t="shared" ca="1" si="9"/>
        <v>0.18047157120219248</v>
      </c>
    </row>
    <row r="114" spans="3:5" x14ac:dyDescent="0.2">
      <c r="C114" s="6">
        <f t="shared" ca="1" si="8"/>
        <v>2.2702292513383298</v>
      </c>
      <c r="E114" s="6">
        <f t="shared" ca="1" si="9"/>
        <v>0.98840316145721607</v>
      </c>
    </row>
    <row r="115" spans="3:5" x14ac:dyDescent="0.2">
      <c r="C115" s="6">
        <f t="shared" ca="1" si="8"/>
        <v>0.72651308263084091</v>
      </c>
      <c r="E115" s="6">
        <f t="shared" ca="1" si="9"/>
        <v>0.76623785484698848</v>
      </c>
    </row>
    <row r="116" spans="3:5" x14ac:dyDescent="0.2">
      <c r="C116" s="6">
        <f t="shared" ca="1" si="8"/>
        <v>0.59519997463964669</v>
      </c>
      <c r="E116" s="6">
        <f t="shared" ca="1" si="9"/>
        <v>0.72414509637516655</v>
      </c>
    </row>
    <row r="117" spans="3:5" x14ac:dyDescent="0.2">
      <c r="C117" s="6">
        <f t="shared" ca="1" si="8"/>
        <v>0.10847804449035311</v>
      </c>
      <c r="E117" s="6">
        <f t="shared" ca="1" si="9"/>
        <v>0.54319175215586668</v>
      </c>
    </row>
    <row r="118" spans="3:5" x14ac:dyDescent="0.2">
      <c r="C118" s="6">
        <f t="shared" ca="1" si="8"/>
        <v>-0.20313754031743941</v>
      </c>
      <c r="E118" s="6">
        <f t="shared" ca="1" si="9"/>
        <v>0.41951376522289352</v>
      </c>
    </row>
    <row r="119" spans="3:5" x14ac:dyDescent="0.2">
      <c r="C119" s="6">
        <f t="shared" ca="1" si="8"/>
        <v>0.90240052705428642</v>
      </c>
      <c r="E119" s="6">
        <f t="shared" ca="1" si="9"/>
        <v>0.81657792938261387</v>
      </c>
    </row>
    <row r="120" spans="3:5" x14ac:dyDescent="0.2">
      <c r="C120" s="6">
        <f t="shared" ca="1" si="8"/>
        <v>-0.47184900099743687</v>
      </c>
      <c r="E120" s="6">
        <f t="shared" ca="1" si="9"/>
        <v>0.31851728609454755</v>
      </c>
    </row>
    <row r="121" spans="3:5" x14ac:dyDescent="0.2">
      <c r="C121" s="6">
        <f t="shared" ca="1" si="8"/>
        <v>0.34378124169380531</v>
      </c>
      <c r="E121" s="6">
        <f t="shared" ca="1" si="9"/>
        <v>0.63449459583387113</v>
      </c>
    </row>
    <row r="122" spans="3:5" x14ac:dyDescent="0.2">
      <c r="C122" s="6">
        <f t="shared" ca="1" si="8"/>
        <v>1.5912408521038519</v>
      </c>
      <c r="E122" s="6">
        <f t="shared" ca="1" si="9"/>
        <v>0.9442223088290923</v>
      </c>
    </row>
    <row r="123" spans="3:5" x14ac:dyDescent="0.2">
      <c r="C123" s="6">
        <f t="shared" ca="1" si="8"/>
        <v>0.13322165592599214</v>
      </c>
      <c r="E123" s="6">
        <f t="shared" ca="1" si="9"/>
        <v>0.55299095772571438</v>
      </c>
    </row>
    <row r="124" spans="3:5" x14ac:dyDescent="0.2">
      <c r="C124" s="6">
        <f t="shared" ca="1" si="8"/>
        <v>-0.13436074395158551</v>
      </c>
      <c r="E124" s="6">
        <f t="shared" ca="1" si="9"/>
        <v>0.44655866094839691</v>
      </c>
    </row>
    <row r="125" spans="3:5" x14ac:dyDescent="0.2">
      <c r="C125" s="6">
        <f t="shared" ca="1" si="8"/>
        <v>0.82082870653006712</v>
      </c>
      <c r="E125" s="6">
        <f t="shared" ca="1" si="9"/>
        <v>0.79412807763942461</v>
      </c>
    </row>
    <row r="126" spans="3:5" x14ac:dyDescent="0.2">
      <c r="C126" s="6">
        <f t="shared" ca="1" si="8"/>
        <v>0.48274324257688406</v>
      </c>
      <c r="E126" s="6">
        <f t="shared" ca="1" si="9"/>
        <v>0.6853609723889762</v>
      </c>
    </row>
    <row r="127" spans="3:5" x14ac:dyDescent="0.2">
      <c r="C127" s="6">
        <f t="shared" ca="1" si="8"/>
        <v>-0.92428787491370434</v>
      </c>
      <c r="E127" s="6">
        <f t="shared" ca="1" si="9"/>
        <v>0.17766822698709062</v>
      </c>
    </row>
    <row r="128" spans="3:5" x14ac:dyDescent="0.2">
      <c r="C128" s="6">
        <f t="shared" ca="1" si="8"/>
        <v>-0.21869557915667961</v>
      </c>
      <c r="E128" s="6">
        <f t="shared" ca="1" si="9"/>
        <v>0.4134435964775135</v>
      </c>
    </row>
    <row r="129" spans="3:5" x14ac:dyDescent="0.2">
      <c r="C129" s="6">
        <f t="shared" ca="1" si="8"/>
        <v>0.75992861288051361</v>
      </c>
      <c r="E129" s="6">
        <f t="shared" ca="1" si="9"/>
        <v>0.77635137134349175</v>
      </c>
    </row>
    <row r="130" spans="3:5" x14ac:dyDescent="0.2">
      <c r="C130" s="6">
        <f t="shared" ca="1" si="8"/>
        <v>-0.27495011619140347</v>
      </c>
      <c r="E130" s="6">
        <f t="shared" ca="1" si="9"/>
        <v>0.3916772815971582</v>
      </c>
    </row>
    <row r="131" spans="3:5" x14ac:dyDescent="0.2">
      <c r="C131" s="6">
        <f t="shared" ref="C131:C194" ca="1" si="10">_xlfn.NORM.S.INV(E131)</f>
        <v>6.333506532318553E-2</v>
      </c>
      <c r="E131" s="6">
        <f t="shared" ref="E131:E194" ca="1" si="11">RAND()</f>
        <v>0.52525015314375811</v>
      </c>
    </row>
    <row r="132" spans="3:5" x14ac:dyDescent="0.2">
      <c r="C132" s="6">
        <f t="shared" ca="1" si="10"/>
        <v>-0.81706573001245786</v>
      </c>
      <c r="E132" s="6">
        <f t="shared" ca="1" si="11"/>
        <v>0.20694543302290258</v>
      </c>
    </row>
    <row r="133" spans="3:5" x14ac:dyDescent="0.2">
      <c r="C133" s="6">
        <f t="shared" ca="1" si="10"/>
        <v>-0.19463109693867225</v>
      </c>
      <c r="E133" s="6">
        <f t="shared" ca="1" si="11"/>
        <v>0.42284087837218098</v>
      </c>
    </row>
    <row r="134" spans="3:5" x14ac:dyDescent="0.2">
      <c r="C134" s="6">
        <f t="shared" ca="1" si="10"/>
        <v>0.60210317145041214</v>
      </c>
      <c r="E134" s="6">
        <f t="shared" ca="1" si="11"/>
        <v>0.72644726820233774</v>
      </c>
    </row>
    <row r="135" spans="3:5" x14ac:dyDescent="0.2">
      <c r="C135" s="6">
        <f t="shared" ca="1" si="10"/>
        <v>-0.43450427996774382</v>
      </c>
      <c r="E135" s="6">
        <f t="shared" ca="1" si="11"/>
        <v>0.33196114375082764</v>
      </c>
    </row>
    <row r="136" spans="3:5" x14ac:dyDescent="0.2">
      <c r="C136" s="6">
        <f t="shared" ca="1" si="10"/>
        <v>-0.37827071989854982</v>
      </c>
      <c r="E136" s="6">
        <f t="shared" ca="1" si="11"/>
        <v>0.35261474720155139</v>
      </c>
    </row>
    <row r="137" spans="3:5" x14ac:dyDescent="0.2">
      <c r="C137" s="6">
        <f t="shared" ca="1" si="10"/>
        <v>0.60059001035952864</v>
      </c>
      <c r="E137" s="6">
        <f t="shared" ca="1" si="11"/>
        <v>0.72594345341051736</v>
      </c>
    </row>
    <row r="138" spans="3:5" x14ac:dyDescent="0.2">
      <c r="C138" s="6">
        <f t="shared" ca="1" si="10"/>
        <v>-9.4005274134121228E-2</v>
      </c>
      <c r="E138" s="6">
        <f t="shared" ca="1" si="11"/>
        <v>0.46255248356942158</v>
      </c>
    </row>
    <row r="139" spans="3:5" x14ac:dyDescent="0.2">
      <c r="C139" s="6">
        <f t="shared" ca="1" si="10"/>
        <v>-0.50660692183170586</v>
      </c>
      <c r="E139" s="6">
        <f t="shared" ca="1" si="11"/>
        <v>0.30621532532344831</v>
      </c>
    </row>
    <row r="140" spans="3:5" x14ac:dyDescent="0.2">
      <c r="C140" s="6">
        <f t="shared" ca="1" si="10"/>
        <v>0.50590462616578535</v>
      </c>
      <c r="E140" s="6">
        <f t="shared" ca="1" si="11"/>
        <v>0.69353819772431957</v>
      </c>
    </row>
    <row r="141" spans="3:5" x14ac:dyDescent="0.2">
      <c r="C141" s="6">
        <f t="shared" ca="1" si="10"/>
        <v>7.8704316866522045E-3</v>
      </c>
      <c r="E141" s="6">
        <f t="shared" ca="1" si="11"/>
        <v>0.50313981554948717</v>
      </c>
    </row>
    <row r="142" spans="3:5" x14ac:dyDescent="0.2">
      <c r="C142" s="6">
        <f t="shared" ca="1" si="10"/>
        <v>0.67106104254682131</v>
      </c>
      <c r="E142" s="6">
        <f t="shared" ca="1" si="11"/>
        <v>0.7489091783242362</v>
      </c>
    </row>
    <row r="143" spans="3:5" x14ac:dyDescent="0.2">
      <c r="C143" s="6">
        <f t="shared" ca="1" si="10"/>
        <v>1.2067780916988187</v>
      </c>
      <c r="E143" s="6">
        <f t="shared" ca="1" si="11"/>
        <v>0.88624119229310416</v>
      </c>
    </row>
    <row r="144" spans="3:5" x14ac:dyDescent="0.2">
      <c r="C144" s="6">
        <f t="shared" ca="1" si="10"/>
        <v>3.4314767807820647E-2</v>
      </c>
      <c r="E144" s="6">
        <f t="shared" ca="1" si="11"/>
        <v>0.5136869256013461</v>
      </c>
    </row>
    <row r="145" spans="3:5" x14ac:dyDescent="0.2">
      <c r="C145" s="6">
        <f t="shared" ca="1" si="10"/>
        <v>-0.16237893029464745</v>
      </c>
      <c r="E145" s="6">
        <f t="shared" ca="1" si="11"/>
        <v>0.43550373091386663</v>
      </c>
    </row>
    <row r="146" spans="3:5" x14ac:dyDescent="0.2">
      <c r="C146" s="6">
        <f t="shared" ca="1" si="10"/>
        <v>-8.8497750903239983E-2</v>
      </c>
      <c r="E146" s="6">
        <f t="shared" ca="1" si="11"/>
        <v>0.46474053592310016</v>
      </c>
    </row>
    <row r="147" spans="3:5" x14ac:dyDescent="0.2">
      <c r="C147" s="6">
        <f t="shared" ca="1" si="10"/>
        <v>-0.13632923770523045</v>
      </c>
      <c r="E147" s="6">
        <f t="shared" ca="1" si="11"/>
        <v>0.44578050565338112</v>
      </c>
    </row>
    <row r="148" spans="3:5" x14ac:dyDescent="0.2">
      <c r="C148" s="6">
        <f t="shared" ca="1" si="10"/>
        <v>-1.0475443378441287</v>
      </c>
      <c r="E148" s="6">
        <f t="shared" ca="1" si="11"/>
        <v>0.14742429708931648</v>
      </c>
    </row>
    <row r="149" spans="3:5" x14ac:dyDescent="0.2">
      <c r="C149" s="6">
        <f t="shared" ca="1" si="10"/>
        <v>-0.46206462874196191</v>
      </c>
      <c r="E149" s="6">
        <f t="shared" ca="1" si="11"/>
        <v>0.32201748731785806</v>
      </c>
    </row>
    <row r="150" spans="3:5" x14ac:dyDescent="0.2">
      <c r="C150" s="6">
        <f t="shared" ca="1" si="10"/>
        <v>-0.40943894621892668</v>
      </c>
      <c r="E150" s="6">
        <f t="shared" ca="1" si="11"/>
        <v>0.34110878167036351</v>
      </c>
    </row>
    <row r="151" spans="3:5" x14ac:dyDescent="0.2">
      <c r="C151" s="6">
        <f t="shared" ca="1" si="10"/>
        <v>-1.6023767295300899</v>
      </c>
      <c r="E151" s="6">
        <f t="shared" ca="1" si="11"/>
        <v>5.4536163748505673E-2</v>
      </c>
    </row>
    <row r="152" spans="3:5" x14ac:dyDescent="0.2">
      <c r="C152" s="6">
        <f t="shared" ca="1" si="10"/>
        <v>-2.4670152816227731</v>
      </c>
      <c r="E152" s="6">
        <f t="shared" ca="1" si="11"/>
        <v>6.812227146336558E-3</v>
      </c>
    </row>
    <row r="153" spans="3:5" x14ac:dyDescent="0.2">
      <c r="C153" s="6">
        <f t="shared" ca="1" si="10"/>
        <v>-0.29868885313021054</v>
      </c>
      <c r="E153" s="6">
        <f t="shared" ca="1" si="11"/>
        <v>0.38258873146796213</v>
      </c>
    </row>
    <row r="154" spans="3:5" x14ac:dyDescent="0.2">
      <c r="C154" s="6">
        <f t="shared" ca="1" si="10"/>
        <v>0.38876414262392972</v>
      </c>
      <c r="E154" s="6">
        <f t="shared" ca="1" si="11"/>
        <v>0.65127468583237347</v>
      </c>
    </row>
    <row r="155" spans="3:5" x14ac:dyDescent="0.2">
      <c r="C155" s="6">
        <f t="shared" ca="1" si="10"/>
        <v>6.329961048550091E-2</v>
      </c>
      <c r="E155" s="6">
        <f t="shared" ca="1" si="11"/>
        <v>0.5252360370346838</v>
      </c>
    </row>
    <row r="156" spans="3:5" x14ac:dyDescent="0.2">
      <c r="C156" s="6">
        <f t="shared" ca="1" si="10"/>
        <v>0.56279623833270132</v>
      </c>
      <c r="E156" s="6">
        <f t="shared" ca="1" si="11"/>
        <v>0.71321317895315295</v>
      </c>
    </row>
    <row r="157" spans="3:5" x14ac:dyDescent="0.2">
      <c r="C157" s="6">
        <f t="shared" ca="1" si="10"/>
        <v>-0.22031516587576699</v>
      </c>
      <c r="E157" s="6">
        <f t="shared" ca="1" si="11"/>
        <v>0.412812854831761</v>
      </c>
    </row>
    <row r="158" spans="3:5" x14ac:dyDescent="0.2">
      <c r="C158" s="6">
        <f t="shared" ca="1" si="10"/>
        <v>1.3805879970868254E-2</v>
      </c>
      <c r="E158" s="6">
        <f t="shared" ca="1" si="11"/>
        <v>0.50550757427856341</v>
      </c>
    </row>
    <row r="159" spans="3:5" x14ac:dyDescent="0.2">
      <c r="C159" s="6">
        <f t="shared" ca="1" si="10"/>
        <v>0.39402005114338579</v>
      </c>
      <c r="E159" s="6">
        <f t="shared" ca="1" si="11"/>
        <v>0.65321688220089336</v>
      </c>
    </row>
    <row r="160" spans="3:5" x14ac:dyDescent="0.2">
      <c r="C160" s="6">
        <f t="shared" ca="1" si="10"/>
        <v>0.57207505848508655</v>
      </c>
      <c r="E160" s="6">
        <f t="shared" ca="1" si="11"/>
        <v>0.71636443723279453</v>
      </c>
    </row>
    <row r="161" spans="3:5" x14ac:dyDescent="0.2">
      <c r="C161" s="6">
        <f t="shared" ca="1" si="10"/>
        <v>-0.18366372188087349</v>
      </c>
      <c r="E161" s="6">
        <f t="shared" ca="1" si="11"/>
        <v>0.42713863522742568</v>
      </c>
    </row>
    <row r="162" spans="3:5" x14ac:dyDescent="0.2">
      <c r="C162" s="6">
        <f t="shared" ca="1" si="10"/>
        <v>-0.39724886731859077</v>
      </c>
      <c r="E162" s="6">
        <f t="shared" ca="1" si="11"/>
        <v>0.34559197480121462</v>
      </c>
    </row>
    <row r="163" spans="3:5" x14ac:dyDescent="0.2">
      <c r="C163" s="6">
        <f t="shared" ca="1" si="10"/>
        <v>0.79978457590591179</v>
      </c>
      <c r="E163" s="6">
        <f t="shared" ca="1" si="11"/>
        <v>0.78808218949890951</v>
      </c>
    </row>
    <row r="164" spans="3:5" x14ac:dyDescent="0.2">
      <c r="C164" s="6">
        <f t="shared" ca="1" si="10"/>
        <v>-0.42949343165755827</v>
      </c>
      <c r="E164" s="6">
        <f t="shared" ca="1" si="11"/>
        <v>0.33378208645131213</v>
      </c>
    </row>
    <row r="165" spans="3:5" x14ac:dyDescent="0.2">
      <c r="C165" s="6">
        <f t="shared" ca="1" si="10"/>
        <v>0.16510096812893513</v>
      </c>
      <c r="E165" s="6">
        <f t="shared" ca="1" si="11"/>
        <v>0.56556774449388925</v>
      </c>
    </row>
    <row r="166" spans="3:5" x14ac:dyDescent="0.2">
      <c r="C166" s="6">
        <f t="shared" ca="1" si="10"/>
        <v>0.30936353804143707</v>
      </c>
      <c r="E166" s="6">
        <f t="shared" ca="1" si="11"/>
        <v>0.62147749835269794</v>
      </c>
    </row>
    <row r="167" spans="3:5" x14ac:dyDescent="0.2">
      <c r="C167" s="6">
        <f t="shared" ca="1" si="10"/>
        <v>-0.70249017636202993</v>
      </c>
      <c r="E167" s="6">
        <f t="shared" ca="1" si="11"/>
        <v>0.24118676296617014</v>
      </c>
    </row>
    <row r="168" spans="3:5" x14ac:dyDescent="0.2">
      <c r="C168" s="6">
        <f t="shared" ca="1" si="10"/>
        <v>-0.15973891601895499</v>
      </c>
      <c r="E168" s="6">
        <f t="shared" ca="1" si="11"/>
        <v>0.43654337197511284</v>
      </c>
    </row>
    <row r="169" spans="3:5" x14ac:dyDescent="0.2">
      <c r="C169" s="6">
        <f t="shared" ca="1" si="10"/>
        <v>0.15669682723364267</v>
      </c>
      <c r="E169" s="6">
        <f t="shared" ca="1" si="11"/>
        <v>0.56225810615396454</v>
      </c>
    </row>
    <row r="170" spans="3:5" x14ac:dyDescent="0.2">
      <c r="C170" s="6">
        <f t="shared" ca="1" si="10"/>
        <v>1.3134167228956433</v>
      </c>
      <c r="E170" s="6">
        <f t="shared" ca="1" si="11"/>
        <v>0.90547871724717433</v>
      </c>
    </row>
    <row r="171" spans="3:5" x14ac:dyDescent="0.2">
      <c r="C171" s="6">
        <f t="shared" ca="1" si="10"/>
        <v>0.34333569376323919</v>
      </c>
      <c r="E171" s="6">
        <f t="shared" ca="1" si="11"/>
        <v>0.63432703439579419</v>
      </c>
    </row>
    <row r="172" spans="3:5" x14ac:dyDescent="0.2">
      <c r="C172" s="6">
        <f t="shared" ca="1" si="10"/>
        <v>-0.28497796919380586</v>
      </c>
      <c r="E172" s="6">
        <f t="shared" ca="1" si="11"/>
        <v>0.38783051021604109</v>
      </c>
    </row>
    <row r="173" spans="3:5" x14ac:dyDescent="0.2">
      <c r="C173" s="6">
        <f t="shared" ca="1" si="10"/>
        <v>-1.3847844486331025</v>
      </c>
      <c r="E173" s="6">
        <f t="shared" ca="1" si="11"/>
        <v>8.3059193773751372E-2</v>
      </c>
    </row>
    <row r="174" spans="3:5" x14ac:dyDescent="0.2">
      <c r="C174" s="6">
        <f t="shared" ca="1" si="10"/>
        <v>-0.88950412627407471</v>
      </c>
      <c r="E174" s="6">
        <f t="shared" ca="1" si="11"/>
        <v>0.18686610330276199</v>
      </c>
    </row>
    <row r="175" spans="3:5" x14ac:dyDescent="0.2">
      <c r="C175" s="6">
        <f t="shared" ca="1" si="10"/>
        <v>-0.49629806293330037</v>
      </c>
      <c r="E175" s="6">
        <f t="shared" ca="1" si="11"/>
        <v>0.30984206637816492</v>
      </c>
    </row>
    <row r="176" spans="3:5" x14ac:dyDescent="0.2">
      <c r="C176" s="6">
        <f t="shared" ca="1" si="10"/>
        <v>-1.4761315512389495</v>
      </c>
      <c r="E176" s="6">
        <f t="shared" ca="1" si="11"/>
        <v>6.9954290166275856E-2</v>
      </c>
    </row>
    <row r="177" spans="3:5" x14ac:dyDescent="0.2">
      <c r="C177" s="6">
        <f t="shared" ca="1" si="10"/>
        <v>0.17883964877881994</v>
      </c>
      <c r="E177" s="6">
        <f t="shared" ca="1" si="11"/>
        <v>0.57096819404810073</v>
      </c>
    </row>
    <row r="178" spans="3:5" x14ac:dyDescent="0.2">
      <c r="C178" s="6">
        <f t="shared" ca="1" si="10"/>
        <v>-1.0662706366295345</v>
      </c>
      <c r="E178" s="6">
        <f t="shared" ca="1" si="11"/>
        <v>0.14315065955272799</v>
      </c>
    </row>
    <row r="179" spans="3:5" x14ac:dyDescent="0.2">
      <c r="C179" s="6">
        <f t="shared" ca="1" si="10"/>
        <v>-0.72747751124218785</v>
      </c>
      <c r="E179" s="6">
        <f t="shared" ca="1" si="11"/>
        <v>0.23346674343646101</v>
      </c>
    </row>
    <row r="180" spans="3:5" x14ac:dyDescent="0.2">
      <c r="C180" s="6">
        <f t="shared" ca="1" si="10"/>
        <v>0.69178379005253721</v>
      </c>
      <c r="E180" s="6">
        <f t="shared" ca="1" si="11"/>
        <v>0.75546344106226404</v>
      </c>
    </row>
    <row r="181" spans="3:5" x14ac:dyDescent="0.2">
      <c r="C181" s="6">
        <f t="shared" ca="1" si="10"/>
        <v>1.3621762353010121</v>
      </c>
      <c r="E181" s="6">
        <f t="shared" ca="1" si="11"/>
        <v>0.91342886309857985</v>
      </c>
    </row>
    <row r="182" spans="3:5" x14ac:dyDescent="0.2">
      <c r="C182" s="6">
        <f t="shared" ca="1" si="10"/>
        <v>0.35494782368010225</v>
      </c>
      <c r="E182" s="6">
        <f t="shared" ca="1" si="11"/>
        <v>0.63868566001930827</v>
      </c>
    </row>
    <row r="183" spans="3:5" x14ac:dyDescent="0.2">
      <c r="C183" s="6">
        <f t="shared" ca="1" si="10"/>
        <v>-0.24900865650709147</v>
      </c>
      <c r="E183" s="6">
        <f t="shared" ca="1" si="11"/>
        <v>0.40167704268004878</v>
      </c>
    </row>
    <row r="184" spans="3:5" x14ac:dyDescent="0.2">
      <c r="C184" s="6">
        <f t="shared" ca="1" si="10"/>
        <v>-8.4407525300624481E-2</v>
      </c>
      <c r="E184" s="6">
        <f t="shared" ca="1" si="11"/>
        <v>0.46636621215789098</v>
      </c>
    </row>
    <row r="185" spans="3:5" x14ac:dyDescent="0.2">
      <c r="C185" s="6">
        <f t="shared" ca="1" si="10"/>
        <v>2.8569346424383357E-2</v>
      </c>
      <c r="E185" s="6">
        <f t="shared" ca="1" si="11"/>
        <v>0.51139596994490999</v>
      </c>
    </row>
    <row r="186" spans="3:5" x14ac:dyDescent="0.2">
      <c r="C186" s="6">
        <f t="shared" ca="1" si="10"/>
        <v>-0.90189908423313125</v>
      </c>
      <c r="E186" s="6">
        <f t="shared" ca="1" si="11"/>
        <v>0.18355523894034398</v>
      </c>
    </row>
    <row r="187" spans="3:5" x14ac:dyDescent="0.2">
      <c r="C187" s="6">
        <f t="shared" ca="1" si="10"/>
        <v>-0.50446923865302196</v>
      </c>
      <c r="E187" s="6">
        <f t="shared" ca="1" si="11"/>
        <v>0.30696583672622724</v>
      </c>
    </row>
    <row r="188" spans="3:5" x14ac:dyDescent="0.2">
      <c r="C188" s="6">
        <f t="shared" ca="1" si="10"/>
        <v>-1.8225940764147925</v>
      </c>
      <c r="E188" s="6">
        <f t="shared" ca="1" si="11"/>
        <v>3.4182446734337346E-2</v>
      </c>
    </row>
    <row r="189" spans="3:5" x14ac:dyDescent="0.2">
      <c r="C189" s="6">
        <f t="shared" ca="1" si="10"/>
        <v>1.6771482999986345</v>
      </c>
      <c r="E189" s="6">
        <f t="shared" ca="1" si="11"/>
        <v>0.95324325706427249</v>
      </c>
    </row>
    <row r="190" spans="3:5" x14ac:dyDescent="0.2">
      <c r="C190" s="6">
        <f t="shared" ca="1" si="10"/>
        <v>0.75031801250450791</v>
      </c>
      <c r="E190" s="6">
        <f t="shared" ca="1" si="11"/>
        <v>0.77346840167094522</v>
      </c>
    </row>
    <row r="191" spans="3:5" x14ac:dyDescent="0.2">
      <c r="C191" s="6">
        <f t="shared" ca="1" si="10"/>
        <v>-0.87723678781350334</v>
      </c>
      <c r="E191" s="6">
        <f t="shared" ca="1" si="11"/>
        <v>0.19017901916944335</v>
      </c>
    </row>
    <row r="192" spans="3:5" x14ac:dyDescent="0.2">
      <c r="C192" s="6">
        <f t="shared" ca="1" si="10"/>
        <v>-3.2302004483321496E-2</v>
      </c>
      <c r="E192" s="6">
        <f t="shared" ca="1" si="11"/>
        <v>0.48711560534693199</v>
      </c>
    </row>
    <row r="193" spans="3:5" x14ac:dyDescent="0.2">
      <c r="C193" s="6">
        <f t="shared" ca="1" si="10"/>
        <v>0.60332361370692966</v>
      </c>
      <c r="E193" s="6">
        <f t="shared" ca="1" si="11"/>
        <v>0.72685328652482484</v>
      </c>
    </row>
    <row r="194" spans="3:5" x14ac:dyDescent="0.2">
      <c r="C194" s="6">
        <f t="shared" ca="1" si="10"/>
        <v>0.22955108593435011</v>
      </c>
      <c r="E194" s="6">
        <f t="shared" ca="1" si="11"/>
        <v>0.59077969019645549</v>
      </c>
    </row>
    <row r="195" spans="3:5" x14ac:dyDescent="0.2">
      <c r="C195" s="6">
        <f t="shared" ref="C195:C258" ca="1" si="12">_xlfn.NORM.S.INV(E195)</f>
        <v>-0.27119361364422018</v>
      </c>
      <c r="E195" s="6">
        <f t="shared" ref="E195:E258" ca="1" si="13">RAND()</f>
        <v>0.39312106228666555</v>
      </c>
    </row>
    <row r="196" spans="3:5" x14ac:dyDescent="0.2">
      <c r="C196" s="6">
        <f t="shared" ca="1" si="12"/>
        <v>1.2608014145004827</v>
      </c>
      <c r="E196" s="6">
        <f t="shared" ca="1" si="13"/>
        <v>0.89630979797041976</v>
      </c>
    </row>
    <row r="197" spans="3:5" x14ac:dyDescent="0.2">
      <c r="C197" s="6">
        <f t="shared" ca="1" si="12"/>
        <v>-0.13420238280153376</v>
      </c>
      <c r="E197" s="6">
        <f t="shared" ca="1" si="13"/>
        <v>0.4466212708777324</v>
      </c>
    </row>
    <row r="198" spans="3:5" x14ac:dyDescent="0.2">
      <c r="C198" s="6">
        <f t="shared" ca="1" si="12"/>
        <v>-0.89447466634011963</v>
      </c>
      <c r="E198" s="6">
        <f t="shared" ca="1" si="13"/>
        <v>0.18553398922253173</v>
      </c>
    </row>
    <row r="199" spans="3:5" x14ac:dyDescent="0.2">
      <c r="C199" s="6">
        <f t="shared" ca="1" si="12"/>
        <v>1.4632628407343979</v>
      </c>
      <c r="E199" s="6">
        <f t="shared" ca="1" si="13"/>
        <v>0.92830226426050289</v>
      </c>
    </row>
    <row r="200" spans="3:5" x14ac:dyDescent="0.2">
      <c r="C200" s="6">
        <f t="shared" ca="1" si="12"/>
        <v>-1.129309227980946</v>
      </c>
      <c r="E200" s="6">
        <f t="shared" ca="1" si="13"/>
        <v>0.12938370472774463</v>
      </c>
    </row>
    <row r="201" spans="3:5" x14ac:dyDescent="0.2">
      <c r="C201" s="6">
        <f t="shared" ca="1" si="12"/>
        <v>0.3371247206322629</v>
      </c>
      <c r="E201" s="6">
        <f t="shared" ca="1" si="13"/>
        <v>0.63198855862740178</v>
      </c>
    </row>
    <row r="202" spans="3:5" x14ac:dyDescent="0.2">
      <c r="C202" s="6">
        <f t="shared" ca="1" si="12"/>
        <v>2.5869097060790072</v>
      </c>
      <c r="E202" s="6">
        <f t="shared" ca="1" si="13"/>
        <v>0.99515795172803367</v>
      </c>
    </row>
    <row r="203" spans="3:5" x14ac:dyDescent="0.2">
      <c r="C203" s="6">
        <f t="shared" ca="1" si="12"/>
        <v>0.51379473919400787</v>
      </c>
      <c r="E203" s="6">
        <f t="shared" ca="1" si="13"/>
        <v>0.69630224679142783</v>
      </c>
    </row>
    <row r="204" spans="3:5" x14ac:dyDescent="0.2">
      <c r="C204" s="6">
        <f t="shared" ca="1" si="12"/>
        <v>-0.75148542295510179</v>
      </c>
      <c r="E204" s="6">
        <f t="shared" ca="1" si="13"/>
        <v>0.22618028516466027</v>
      </c>
    </row>
    <row r="205" spans="3:5" x14ac:dyDescent="0.2">
      <c r="C205" s="6">
        <f t="shared" ca="1" si="12"/>
        <v>-8.8568686541841742E-3</v>
      </c>
      <c r="E205" s="6">
        <f t="shared" ca="1" si="13"/>
        <v>0.49646666681681428</v>
      </c>
    </row>
    <row r="206" spans="3:5" x14ac:dyDescent="0.2">
      <c r="C206" s="6">
        <f t="shared" ca="1" si="12"/>
        <v>0.69917739690667902</v>
      </c>
      <c r="E206" s="6">
        <f t="shared" ca="1" si="13"/>
        <v>0.75777941278707883</v>
      </c>
    </row>
    <row r="207" spans="3:5" x14ac:dyDescent="0.2">
      <c r="C207" s="6">
        <f t="shared" ca="1" si="12"/>
        <v>9.2916108518043619E-2</v>
      </c>
      <c r="E207" s="6">
        <f t="shared" ca="1" si="13"/>
        <v>0.53701489581837702</v>
      </c>
    </row>
    <row r="208" spans="3:5" x14ac:dyDescent="0.2">
      <c r="C208" s="6">
        <f t="shared" ca="1" si="12"/>
        <v>0.79062125057303512</v>
      </c>
      <c r="E208" s="6">
        <f t="shared" ca="1" si="13"/>
        <v>0.78541747883102897</v>
      </c>
    </row>
    <row r="209" spans="3:5" x14ac:dyDescent="0.2">
      <c r="C209" s="6">
        <f t="shared" ca="1" si="12"/>
        <v>1.7734220941656014</v>
      </c>
      <c r="E209" s="6">
        <f t="shared" ca="1" si="13"/>
        <v>0.96192060469951257</v>
      </c>
    </row>
    <row r="210" spans="3:5" x14ac:dyDescent="0.2">
      <c r="C210" s="6">
        <f t="shared" ca="1" si="12"/>
        <v>1.2795406344267966</v>
      </c>
      <c r="E210" s="6">
        <f t="shared" ca="1" si="13"/>
        <v>0.89964663003981005</v>
      </c>
    </row>
    <row r="211" spans="3:5" x14ac:dyDescent="0.2">
      <c r="C211" s="6">
        <f t="shared" ca="1" si="12"/>
        <v>-0.55414696820771847</v>
      </c>
      <c r="E211" s="6">
        <f t="shared" ca="1" si="13"/>
        <v>0.28973913423555098</v>
      </c>
    </row>
    <row r="212" spans="3:5" x14ac:dyDescent="0.2">
      <c r="C212" s="6">
        <f t="shared" ca="1" si="12"/>
        <v>-1.0319472751738716</v>
      </c>
      <c r="E212" s="6">
        <f t="shared" ca="1" si="13"/>
        <v>0.15104840883845194</v>
      </c>
    </row>
    <row r="213" spans="3:5" x14ac:dyDescent="0.2">
      <c r="C213" s="6">
        <f t="shared" ca="1" si="12"/>
        <v>0.83310644810241519</v>
      </c>
      <c r="E213" s="6">
        <f t="shared" ca="1" si="13"/>
        <v>0.79760765134892719</v>
      </c>
    </row>
    <row r="214" spans="3:5" x14ac:dyDescent="0.2">
      <c r="C214" s="6">
        <f t="shared" ca="1" si="12"/>
        <v>-0.39309068742836867</v>
      </c>
      <c r="E214" s="6">
        <f t="shared" ca="1" si="13"/>
        <v>0.34712625099452576</v>
      </c>
    </row>
    <row r="215" spans="3:5" x14ac:dyDescent="0.2">
      <c r="C215" s="6">
        <f t="shared" ca="1" si="12"/>
        <v>1.2662451714286382</v>
      </c>
      <c r="E215" s="6">
        <f t="shared" ca="1" si="13"/>
        <v>0.89728734007109012</v>
      </c>
    </row>
    <row r="216" spans="3:5" x14ac:dyDescent="0.2">
      <c r="C216" s="6">
        <f t="shared" ca="1" si="12"/>
        <v>-2.3047129930708081</v>
      </c>
      <c r="E216" s="6">
        <f t="shared" ca="1" si="13"/>
        <v>1.0591326361928832E-2</v>
      </c>
    </row>
    <row r="217" spans="3:5" x14ac:dyDescent="0.2">
      <c r="C217" s="6">
        <f t="shared" ca="1" si="12"/>
        <v>0.73666287643186568</v>
      </c>
      <c r="E217" s="6">
        <f t="shared" ca="1" si="13"/>
        <v>0.76933630605391889</v>
      </c>
    </row>
    <row r="218" spans="3:5" x14ac:dyDescent="0.2">
      <c r="C218" s="6">
        <f t="shared" ca="1" si="12"/>
        <v>-0.59007144612555007</v>
      </c>
      <c r="E218" s="6">
        <f t="shared" ca="1" si="13"/>
        <v>0.27757137557391964</v>
      </c>
    </row>
    <row r="219" spans="3:5" x14ac:dyDescent="0.2">
      <c r="C219" s="6">
        <f t="shared" ca="1" si="12"/>
        <v>-0.62485028873622572</v>
      </c>
      <c r="E219" s="6">
        <f t="shared" ca="1" si="13"/>
        <v>0.26603466074041915</v>
      </c>
    </row>
    <row r="220" spans="3:5" x14ac:dyDescent="0.2">
      <c r="C220" s="6">
        <f t="shared" ca="1" si="12"/>
        <v>-0.35504818730384224</v>
      </c>
      <c r="E220" s="6">
        <f t="shared" ca="1" si="13"/>
        <v>0.3612767457912347</v>
      </c>
    </row>
    <row r="221" spans="3:5" x14ac:dyDescent="0.2">
      <c r="C221" s="6">
        <f t="shared" ca="1" si="12"/>
        <v>-0.32492631184592652</v>
      </c>
      <c r="E221" s="6">
        <f t="shared" ca="1" si="13"/>
        <v>0.37261842123947819</v>
      </c>
    </row>
    <row r="222" spans="3:5" x14ac:dyDescent="0.2">
      <c r="C222" s="6">
        <f t="shared" ca="1" si="12"/>
        <v>-0.4555852556233293</v>
      </c>
      <c r="E222" s="6">
        <f t="shared" ca="1" si="13"/>
        <v>0.32434412387446931</v>
      </c>
    </row>
    <row r="223" spans="3:5" x14ac:dyDescent="0.2">
      <c r="C223" s="6">
        <f t="shared" ca="1" si="12"/>
        <v>0.99257870883505384</v>
      </c>
      <c r="E223" s="6">
        <f t="shared" ca="1" si="13"/>
        <v>0.83954234759286128</v>
      </c>
    </row>
    <row r="224" spans="3:5" x14ac:dyDescent="0.2">
      <c r="C224" s="6">
        <f t="shared" ca="1" si="12"/>
        <v>-0.4968783362215865</v>
      </c>
      <c r="E224" s="6">
        <f t="shared" ca="1" si="13"/>
        <v>0.30963742466374888</v>
      </c>
    </row>
    <row r="225" spans="3:5" x14ac:dyDescent="0.2">
      <c r="C225" s="6">
        <f t="shared" ca="1" si="12"/>
        <v>-1.0311713909760298</v>
      </c>
      <c r="E225" s="6">
        <f t="shared" ca="1" si="13"/>
        <v>0.15123022706250555</v>
      </c>
    </row>
    <row r="226" spans="3:5" x14ac:dyDescent="0.2">
      <c r="C226" s="6">
        <f t="shared" ca="1" si="12"/>
        <v>8.0007579001850931E-2</v>
      </c>
      <c r="E226" s="6">
        <f t="shared" ca="1" si="13"/>
        <v>0.53188438593734977</v>
      </c>
    </row>
    <row r="227" spans="3:5" x14ac:dyDescent="0.2">
      <c r="C227" s="6">
        <f t="shared" ca="1" si="12"/>
        <v>-0.26117034071466405</v>
      </c>
      <c r="E227" s="6">
        <f t="shared" ca="1" si="13"/>
        <v>0.39698057461939484</v>
      </c>
    </row>
    <row r="228" spans="3:5" x14ac:dyDescent="0.2">
      <c r="C228" s="6">
        <f t="shared" ca="1" si="12"/>
        <v>-0.15621884810666314</v>
      </c>
      <c r="E228" s="6">
        <f t="shared" ca="1" si="13"/>
        <v>0.43793026024450366</v>
      </c>
    </row>
    <row r="229" spans="3:5" x14ac:dyDescent="0.2">
      <c r="C229" s="6">
        <f t="shared" ca="1" si="12"/>
        <v>-2.7816978511821796E-2</v>
      </c>
      <c r="E229" s="6">
        <f t="shared" ca="1" si="13"/>
        <v>0.48890406215413806</v>
      </c>
    </row>
    <row r="230" spans="3:5" x14ac:dyDescent="0.2">
      <c r="C230" s="6">
        <f t="shared" ca="1" si="12"/>
        <v>1.8325041619810936</v>
      </c>
      <c r="E230" s="6">
        <f t="shared" ca="1" si="13"/>
        <v>0.96656182887731001</v>
      </c>
    </row>
    <row r="231" spans="3:5" x14ac:dyDescent="0.2">
      <c r="C231" s="6">
        <f t="shared" ca="1" si="12"/>
        <v>0.16101589109632172</v>
      </c>
      <c r="E231" s="6">
        <f t="shared" ca="1" si="13"/>
        <v>0.56395955766715322</v>
      </c>
    </row>
    <row r="232" spans="3:5" x14ac:dyDescent="0.2">
      <c r="C232" s="6">
        <f t="shared" ca="1" si="12"/>
        <v>-0.17065967651917979</v>
      </c>
      <c r="E232" s="6">
        <f t="shared" ca="1" si="13"/>
        <v>0.43224568553744236</v>
      </c>
    </row>
    <row r="233" spans="3:5" x14ac:dyDescent="0.2">
      <c r="C233" s="6">
        <f t="shared" ca="1" si="12"/>
        <v>-0.2750675485049196</v>
      </c>
      <c r="E233" s="6">
        <f t="shared" ca="1" si="13"/>
        <v>0.39163217138521611</v>
      </c>
    </row>
    <row r="234" spans="3:5" x14ac:dyDescent="0.2">
      <c r="C234" s="6">
        <f t="shared" ca="1" si="12"/>
        <v>0.38214263650833852</v>
      </c>
      <c r="E234" s="6">
        <f t="shared" ca="1" si="13"/>
        <v>0.64882221600988055</v>
      </c>
    </row>
    <row r="235" spans="3:5" x14ac:dyDescent="0.2">
      <c r="C235" s="6">
        <f t="shared" ca="1" si="12"/>
        <v>-1.0057804806937358</v>
      </c>
      <c r="E235" s="6">
        <f t="shared" ca="1" si="13"/>
        <v>0.15726058940713605</v>
      </c>
    </row>
    <row r="236" spans="3:5" x14ac:dyDescent="0.2">
      <c r="C236" s="6">
        <f t="shared" ca="1" si="12"/>
        <v>-8.2336085388974287E-2</v>
      </c>
      <c r="E236" s="6">
        <f t="shared" ca="1" si="13"/>
        <v>0.46718972991652996</v>
      </c>
    </row>
    <row r="237" spans="3:5" x14ac:dyDescent="0.2">
      <c r="C237" s="6">
        <f t="shared" ca="1" si="12"/>
        <v>-0.68683237603184566</v>
      </c>
      <c r="E237" s="6">
        <f t="shared" ca="1" si="13"/>
        <v>0.24609418251285908</v>
      </c>
    </row>
    <row r="238" spans="3:5" x14ac:dyDescent="0.2">
      <c r="C238" s="6">
        <f t="shared" ca="1" si="12"/>
        <v>-1.3738957270963683</v>
      </c>
      <c r="E238" s="6">
        <f t="shared" ca="1" si="13"/>
        <v>8.4737028181363638E-2</v>
      </c>
    </row>
    <row r="239" spans="3:5" x14ac:dyDescent="0.2">
      <c r="C239" s="6">
        <f t="shared" ca="1" si="12"/>
        <v>-0.42785516347277275</v>
      </c>
      <c r="E239" s="6">
        <f t="shared" ca="1" si="13"/>
        <v>0.33437828606113595</v>
      </c>
    </row>
    <row r="240" spans="3:5" x14ac:dyDescent="0.2">
      <c r="C240" s="6">
        <f t="shared" ca="1" si="12"/>
        <v>-0.51087748138637901</v>
      </c>
      <c r="E240" s="6">
        <f t="shared" ca="1" si="13"/>
        <v>0.30471842510088121</v>
      </c>
    </row>
    <row r="241" spans="3:5" x14ac:dyDescent="0.2">
      <c r="C241" s="6">
        <f t="shared" ca="1" si="12"/>
        <v>6.6192035966033347E-2</v>
      </c>
      <c r="E241" s="6">
        <f t="shared" ca="1" si="13"/>
        <v>0.52638753137546002</v>
      </c>
    </row>
    <row r="242" spans="3:5" x14ac:dyDescent="0.2">
      <c r="C242" s="6">
        <f t="shared" ca="1" si="12"/>
        <v>0.62361340732752579</v>
      </c>
      <c r="E242" s="6">
        <f t="shared" ca="1" si="13"/>
        <v>0.73355924827861385</v>
      </c>
    </row>
    <row r="243" spans="3:5" x14ac:dyDescent="0.2">
      <c r="C243" s="6">
        <f t="shared" ca="1" si="12"/>
        <v>-6.4765512691363256E-2</v>
      </c>
      <c r="E243" s="6">
        <f t="shared" ca="1" si="13"/>
        <v>0.47418035033106565</v>
      </c>
    </row>
    <row r="244" spans="3:5" x14ac:dyDescent="0.2">
      <c r="C244" s="6">
        <f t="shared" ca="1" si="12"/>
        <v>-0.11392774686452559</v>
      </c>
      <c r="E244" s="6">
        <f t="shared" ca="1" si="13"/>
        <v>0.4546475349743242</v>
      </c>
    </row>
    <row r="245" spans="3:5" x14ac:dyDescent="0.2">
      <c r="C245" s="6">
        <f t="shared" ca="1" si="12"/>
        <v>-4.5980707689495373E-2</v>
      </c>
      <c r="E245" s="6">
        <f t="shared" ca="1" si="13"/>
        <v>0.4816628133386498</v>
      </c>
    </row>
    <row r="246" spans="3:5" x14ac:dyDescent="0.2">
      <c r="C246" s="6">
        <f t="shared" ca="1" si="12"/>
        <v>0.14961382984271859</v>
      </c>
      <c r="E246" s="6">
        <f t="shared" ca="1" si="13"/>
        <v>0.55946535181660728</v>
      </c>
    </row>
    <row r="247" spans="3:5" x14ac:dyDescent="0.2">
      <c r="C247" s="6">
        <f t="shared" ca="1" si="12"/>
        <v>1.8170331976652592</v>
      </c>
      <c r="E247" s="6">
        <f t="shared" ca="1" si="13"/>
        <v>0.96539398485737371</v>
      </c>
    </row>
    <row r="248" spans="3:5" x14ac:dyDescent="0.2">
      <c r="C248" s="6">
        <f t="shared" ca="1" si="12"/>
        <v>1.0639738357153024</v>
      </c>
      <c r="E248" s="6">
        <f t="shared" ca="1" si="13"/>
        <v>0.85632972379412775</v>
      </c>
    </row>
    <row r="249" spans="3:5" x14ac:dyDescent="0.2">
      <c r="C249" s="6">
        <f t="shared" ca="1" si="12"/>
        <v>0.11750275615675471</v>
      </c>
      <c r="E249" s="6">
        <f t="shared" ca="1" si="13"/>
        <v>0.54676916996096492</v>
      </c>
    </row>
    <row r="250" spans="3:5" x14ac:dyDescent="0.2">
      <c r="C250" s="6">
        <f t="shared" ca="1" si="12"/>
        <v>0.53475032013998691</v>
      </c>
      <c r="E250" s="6">
        <f t="shared" ca="1" si="13"/>
        <v>0.70358873979320702</v>
      </c>
    </row>
    <row r="251" spans="3:5" x14ac:dyDescent="0.2">
      <c r="C251" s="6">
        <f t="shared" ca="1" si="12"/>
        <v>-2.9826435697684919</v>
      </c>
      <c r="E251" s="6">
        <f t="shared" ca="1" si="13"/>
        <v>1.4288529116794901E-3</v>
      </c>
    </row>
    <row r="252" spans="3:5" x14ac:dyDescent="0.2">
      <c r="C252" s="6">
        <f t="shared" ca="1" si="12"/>
        <v>-9.7479435658434657E-2</v>
      </c>
      <c r="E252" s="6">
        <f t="shared" ca="1" si="13"/>
        <v>0.46117283220721184</v>
      </c>
    </row>
    <row r="253" spans="3:5" x14ac:dyDescent="0.2">
      <c r="C253" s="6">
        <f t="shared" ca="1" si="12"/>
        <v>0.53269064701497504</v>
      </c>
      <c r="E253" s="6">
        <f t="shared" ca="1" si="13"/>
        <v>0.70287612918826203</v>
      </c>
    </row>
    <row r="254" spans="3:5" x14ac:dyDescent="0.2">
      <c r="C254" s="6">
        <f t="shared" ca="1" si="12"/>
        <v>-0.28514147592950684</v>
      </c>
      <c r="E254" s="6">
        <f t="shared" ca="1" si="13"/>
        <v>0.3877678776022514</v>
      </c>
    </row>
    <row r="255" spans="3:5" x14ac:dyDescent="0.2">
      <c r="C255" s="6">
        <f t="shared" ca="1" si="12"/>
        <v>-0.15233795354762794</v>
      </c>
      <c r="E255" s="6">
        <f t="shared" ca="1" si="13"/>
        <v>0.43946019581726148</v>
      </c>
    </row>
    <row r="256" spans="3:5" x14ac:dyDescent="0.2">
      <c r="C256" s="6">
        <f t="shared" ca="1" si="12"/>
        <v>-0.1686291779670353</v>
      </c>
      <c r="E256" s="6">
        <f t="shared" ca="1" si="13"/>
        <v>0.43304416425811676</v>
      </c>
    </row>
    <row r="257" spans="3:5" x14ac:dyDescent="0.2">
      <c r="C257" s="6">
        <f t="shared" ca="1" si="12"/>
        <v>0.27507370205166515</v>
      </c>
      <c r="E257" s="6">
        <f t="shared" ca="1" si="13"/>
        <v>0.60837019238564061</v>
      </c>
    </row>
    <row r="258" spans="3:5" x14ac:dyDescent="0.2">
      <c r="C258" s="6">
        <f t="shared" ca="1" si="12"/>
        <v>-0.17425417238608507</v>
      </c>
      <c r="E258" s="6">
        <f t="shared" ca="1" si="13"/>
        <v>0.43083285664850102</v>
      </c>
    </row>
    <row r="259" spans="3:5" x14ac:dyDescent="0.2">
      <c r="C259" s="6">
        <f t="shared" ref="C259:C322" ca="1" si="14">_xlfn.NORM.S.INV(E259)</f>
        <v>0.23360791126364305</v>
      </c>
      <c r="E259" s="6">
        <f t="shared" ref="E259:E322" ca="1" si="15">RAND()</f>
        <v>0.59235530731192942</v>
      </c>
    </row>
    <row r="260" spans="3:5" x14ac:dyDescent="0.2">
      <c r="C260" s="6">
        <f t="shared" ca="1" si="14"/>
        <v>0.22839775400930307</v>
      </c>
      <c r="E260" s="6">
        <f t="shared" ca="1" si="15"/>
        <v>0.59033148232207922</v>
      </c>
    </row>
    <row r="261" spans="3:5" x14ac:dyDescent="0.2">
      <c r="C261" s="6">
        <f t="shared" ca="1" si="14"/>
        <v>1.54945715313431</v>
      </c>
      <c r="E261" s="6">
        <f t="shared" ca="1" si="15"/>
        <v>0.93936406807602257</v>
      </c>
    </row>
    <row r="262" spans="3:5" x14ac:dyDescent="0.2">
      <c r="C262" s="6">
        <f t="shared" ca="1" si="14"/>
        <v>0.80085075777088943</v>
      </c>
      <c r="E262" s="6">
        <f t="shared" ca="1" si="15"/>
        <v>0.78839097487538612</v>
      </c>
    </row>
    <row r="263" spans="3:5" x14ac:dyDescent="0.2">
      <c r="C263" s="6">
        <f t="shared" ca="1" si="14"/>
        <v>2.18929983303475E-2</v>
      </c>
      <c r="E263" s="6">
        <f t="shared" ca="1" si="15"/>
        <v>0.50873334501953604</v>
      </c>
    </row>
    <row r="264" spans="3:5" x14ac:dyDescent="0.2">
      <c r="C264" s="6">
        <f t="shared" ca="1" si="14"/>
        <v>1.3186551875696777</v>
      </c>
      <c r="E264" s="6">
        <f t="shared" ca="1" si="15"/>
        <v>0.90635779268753514</v>
      </c>
    </row>
    <row r="265" spans="3:5" x14ac:dyDescent="0.2">
      <c r="C265" s="6">
        <f t="shared" ca="1" si="14"/>
        <v>6.9204574438252758E-2</v>
      </c>
      <c r="E265" s="6">
        <f t="shared" ca="1" si="15"/>
        <v>0.52758660901762977</v>
      </c>
    </row>
    <row r="266" spans="3:5" x14ac:dyDescent="0.2">
      <c r="C266" s="6">
        <f t="shared" ca="1" si="14"/>
        <v>0.13067553986069455</v>
      </c>
      <c r="E266" s="6">
        <f t="shared" ca="1" si="15"/>
        <v>0.55198400862040897</v>
      </c>
    </row>
    <row r="267" spans="3:5" x14ac:dyDescent="0.2">
      <c r="C267" s="6">
        <f t="shared" ca="1" si="14"/>
        <v>1.7175408986423577</v>
      </c>
      <c r="E267" s="6">
        <f t="shared" ca="1" si="15"/>
        <v>0.95705980580955308</v>
      </c>
    </row>
    <row r="268" spans="3:5" x14ac:dyDescent="0.2">
      <c r="C268" s="6">
        <f t="shared" ca="1" si="14"/>
        <v>0.81718528137386637</v>
      </c>
      <c r="E268" s="6">
        <f t="shared" ca="1" si="15"/>
        <v>0.79308872373660333</v>
      </c>
    </row>
    <row r="269" spans="3:5" x14ac:dyDescent="0.2">
      <c r="C269" s="6">
        <f t="shared" ca="1" si="14"/>
        <v>0.95012932649978221</v>
      </c>
      <c r="E269" s="6">
        <f t="shared" ca="1" si="15"/>
        <v>0.82897672824163882</v>
      </c>
    </row>
    <row r="270" spans="3:5" x14ac:dyDescent="0.2">
      <c r="C270" s="6">
        <f t="shared" ca="1" si="14"/>
        <v>-7.2736650475909992E-3</v>
      </c>
      <c r="E270" s="6">
        <f t="shared" ca="1" si="15"/>
        <v>0.49709825306579591</v>
      </c>
    </row>
    <row r="271" spans="3:5" x14ac:dyDescent="0.2">
      <c r="C271" s="6">
        <f t="shared" ca="1" si="14"/>
        <v>0.20384875365115918</v>
      </c>
      <c r="E271" s="6">
        <f t="shared" ca="1" si="15"/>
        <v>0.58076415362259814</v>
      </c>
    </row>
    <row r="272" spans="3:5" x14ac:dyDescent="0.2">
      <c r="C272" s="6">
        <f t="shared" ca="1" si="14"/>
        <v>-0.42046897541891437</v>
      </c>
      <c r="E272" s="6">
        <f t="shared" ca="1" si="15"/>
        <v>0.33707144450888882</v>
      </c>
    </row>
    <row r="273" spans="3:5" x14ac:dyDescent="0.2">
      <c r="C273" s="6">
        <f t="shared" ca="1" si="14"/>
        <v>0.89020551668909265</v>
      </c>
      <c r="E273" s="6">
        <f t="shared" ca="1" si="15"/>
        <v>0.81332222850328939</v>
      </c>
    </row>
    <row r="274" spans="3:5" x14ac:dyDescent="0.2">
      <c r="C274" s="6">
        <f t="shared" ca="1" si="14"/>
        <v>-5.2332507519212319E-2</v>
      </c>
      <c r="E274" s="6">
        <f t="shared" ca="1" si="15"/>
        <v>0.47913187577082206</v>
      </c>
    </row>
    <row r="275" spans="3:5" x14ac:dyDescent="0.2">
      <c r="C275" s="6">
        <f t="shared" ca="1" si="14"/>
        <v>-0.57749129540747834</v>
      </c>
      <c r="E275" s="6">
        <f t="shared" ca="1" si="15"/>
        <v>0.28180380858430898</v>
      </c>
    </row>
    <row r="276" spans="3:5" x14ac:dyDescent="0.2">
      <c r="C276" s="6">
        <f t="shared" ca="1" si="14"/>
        <v>-0.41878546646571896</v>
      </c>
      <c r="E276" s="6">
        <f t="shared" ca="1" si="15"/>
        <v>0.33768646367025279</v>
      </c>
    </row>
    <row r="277" spans="3:5" x14ac:dyDescent="0.2">
      <c r="C277" s="6">
        <f t="shared" ca="1" si="14"/>
        <v>0.64607709000881497</v>
      </c>
      <c r="E277" s="6">
        <f t="shared" ca="1" si="15"/>
        <v>0.74088528423411881</v>
      </c>
    </row>
    <row r="278" spans="3:5" x14ac:dyDescent="0.2">
      <c r="C278" s="6">
        <f t="shared" ca="1" si="14"/>
        <v>-1.4071265818087866</v>
      </c>
      <c r="E278" s="6">
        <f t="shared" ca="1" si="15"/>
        <v>7.9694928575260282E-2</v>
      </c>
    </row>
    <row r="279" spans="3:5" x14ac:dyDescent="0.2">
      <c r="C279" s="6">
        <f t="shared" ca="1" si="14"/>
        <v>1.1077884365114963</v>
      </c>
      <c r="E279" s="6">
        <f t="shared" ca="1" si="15"/>
        <v>0.86602340239982978</v>
      </c>
    </row>
    <row r="280" spans="3:5" x14ac:dyDescent="0.2">
      <c r="C280" s="6">
        <f t="shared" ca="1" si="14"/>
        <v>1.0905689856951375</v>
      </c>
      <c r="E280" s="6">
        <f t="shared" ca="1" si="15"/>
        <v>0.86226870864358651</v>
      </c>
    </row>
    <row r="281" spans="3:5" x14ac:dyDescent="0.2">
      <c r="C281" s="6">
        <f t="shared" ca="1" si="14"/>
        <v>1.1205878680111703</v>
      </c>
      <c r="E281" s="6">
        <f t="shared" ca="1" si="15"/>
        <v>0.86876833425944955</v>
      </c>
    </row>
    <row r="282" spans="3:5" x14ac:dyDescent="0.2">
      <c r="C282" s="6">
        <f t="shared" ca="1" si="14"/>
        <v>0.12799664094858251</v>
      </c>
      <c r="E282" s="6">
        <f t="shared" ca="1" si="15"/>
        <v>0.55092418434438484</v>
      </c>
    </row>
    <row r="283" spans="3:5" x14ac:dyDescent="0.2">
      <c r="C283" s="6">
        <f t="shared" ca="1" si="14"/>
        <v>0.96509551955630934</v>
      </c>
      <c r="E283" s="6">
        <f t="shared" ca="1" si="15"/>
        <v>0.83275151456196461</v>
      </c>
    </row>
    <row r="284" spans="3:5" x14ac:dyDescent="0.2">
      <c r="C284" s="6">
        <f t="shared" ca="1" si="14"/>
        <v>-1.6038252682270573</v>
      </c>
      <c r="E284" s="6">
        <f t="shared" ca="1" si="15"/>
        <v>5.4376286594990608E-2</v>
      </c>
    </row>
    <row r="285" spans="3:5" x14ac:dyDescent="0.2">
      <c r="C285" s="6">
        <f t="shared" ca="1" si="14"/>
        <v>0.16719880731339121</v>
      </c>
      <c r="E285" s="6">
        <f t="shared" ca="1" si="15"/>
        <v>0.56639318858195731</v>
      </c>
    </row>
    <row r="286" spans="3:5" x14ac:dyDescent="0.2">
      <c r="C286" s="6">
        <f t="shared" ca="1" si="14"/>
        <v>-0.16146896234266547</v>
      </c>
      <c r="E286" s="6">
        <f t="shared" ca="1" si="15"/>
        <v>0.43586202751289205</v>
      </c>
    </row>
    <row r="287" spans="3:5" x14ac:dyDescent="0.2">
      <c r="C287" s="6">
        <f t="shared" ca="1" si="14"/>
        <v>1.0088730958460406</v>
      </c>
      <c r="E287" s="6">
        <f t="shared" ca="1" si="15"/>
        <v>0.84348225022494538</v>
      </c>
    </row>
    <row r="288" spans="3:5" x14ac:dyDescent="0.2">
      <c r="C288" s="6">
        <f t="shared" ca="1" si="14"/>
        <v>-0.49310353516706235</v>
      </c>
      <c r="E288" s="6">
        <f t="shared" ca="1" si="15"/>
        <v>0.31096971655523775</v>
      </c>
    </row>
    <row r="289" spans="3:5" x14ac:dyDescent="0.2">
      <c r="C289" s="6">
        <f t="shared" ca="1" si="14"/>
        <v>-0.62628501756595589</v>
      </c>
      <c r="E289" s="6">
        <f t="shared" ca="1" si="15"/>
        <v>0.26556400584856543</v>
      </c>
    </row>
    <row r="290" spans="3:5" x14ac:dyDescent="0.2">
      <c r="C290" s="6">
        <f t="shared" ca="1" si="14"/>
        <v>-1.8852553879632024</v>
      </c>
      <c r="E290" s="6">
        <f t="shared" ca="1" si="15"/>
        <v>2.9697683048680701E-2</v>
      </c>
    </row>
    <row r="291" spans="3:5" x14ac:dyDescent="0.2">
      <c r="C291" s="6">
        <f t="shared" ca="1" si="14"/>
        <v>-1.2395015152443303</v>
      </c>
      <c r="E291" s="6">
        <f t="shared" ca="1" si="15"/>
        <v>0.1075799139837561</v>
      </c>
    </row>
    <row r="292" spans="3:5" x14ac:dyDescent="0.2">
      <c r="C292" s="6">
        <f t="shared" ca="1" si="14"/>
        <v>0.20229750278172443</v>
      </c>
      <c r="E292" s="6">
        <f t="shared" ca="1" si="15"/>
        <v>0.58015792394514998</v>
      </c>
    </row>
    <row r="293" spans="3:5" x14ac:dyDescent="0.2">
      <c r="C293" s="6">
        <f t="shared" ca="1" si="14"/>
        <v>-0.35536197877708492</v>
      </c>
      <c r="E293" s="6">
        <f t="shared" ca="1" si="15"/>
        <v>0.36115921447666599</v>
      </c>
    </row>
    <row r="294" spans="3:5" x14ac:dyDescent="0.2">
      <c r="C294" s="6">
        <f t="shared" ca="1" si="14"/>
        <v>-3.0008773752138138</v>
      </c>
      <c r="E294" s="6">
        <f t="shared" ca="1" si="15"/>
        <v>1.3460147510637732E-3</v>
      </c>
    </row>
    <row r="295" spans="3:5" x14ac:dyDescent="0.2">
      <c r="C295" s="6">
        <f t="shared" ca="1" si="14"/>
        <v>-0.13785923079801682</v>
      </c>
      <c r="E295" s="6">
        <f t="shared" ca="1" si="15"/>
        <v>0.44517583589419329</v>
      </c>
    </row>
    <row r="296" spans="3:5" x14ac:dyDescent="0.2">
      <c r="C296" s="6">
        <f t="shared" ca="1" si="14"/>
        <v>-0.89029543812017087</v>
      </c>
      <c r="E296" s="6">
        <f t="shared" ca="1" si="15"/>
        <v>0.186653635006512</v>
      </c>
    </row>
    <row r="297" spans="3:5" x14ac:dyDescent="0.2">
      <c r="C297" s="6">
        <f t="shared" ca="1" si="14"/>
        <v>0.68111475667469668</v>
      </c>
      <c r="E297" s="6">
        <f t="shared" ca="1" si="15"/>
        <v>0.75210055979988844</v>
      </c>
    </row>
    <row r="298" spans="3:5" x14ac:dyDescent="0.2">
      <c r="C298" s="6">
        <f t="shared" ca="1" si="14"/>
        <v>-0.67914238778256464</v>
      </c>
      <c r="E298" s="6">
        <f t="shared" ca="1" si="15"/>
        <v>0.24852382355152169</v>
      </c>
    </row>
    <row r="299" spans="3:5" x14ac:dyDescent="0.2">
      <c r="C299" s="6">
        <f t="shared" ca="1" si="14"/>
        <v>0.86685528034254244</v>
      </c>
      <c r="E299" s="6">
        <f t="shared" ca="1" si="15"/>
        <v>0.8069893456589422</v>
      </c>
    </row>
    <row r="300" spans="3:5" x14ac:dyDescent="0.2">
      <c r="C300" s="6">
        <f t="shared" ca="1" si="14"/>
        <v>9.5751589980534055E-2</v>
      </c>
      <c r="E300" s="6">
        <f t="shared" ca="1" si="15"/>
        <v>0.53814106689138075</v>
      </c>
    </row>
    <row r="301" spans="3:5" x14ac:dyDescent="0.2">
      <c r="C301" s="6">
        <f t="shared" ca="1" si="14"/>
        <v>-1.1223665555919828</v>
      </c>
      <c r="E301" s="6">
        <f t="shared" ca="1" si="15"/>
        <v>0.13085330919635629</v>
      </c>
    </row>
    <row r="302" spans="3:5" x14ac:dyDescent="0.2">
      <c r="C302" s="6">
        <f t="shared" ca="1" si="14"/>
        <v>-1.9645918357568319</v>
      </c>
      <c r="E302" s="6">
        <f t="shared" ca="1" si="15"/>
        <v>2.4730748832670235E-2</v>
      </c>
    </row>
    <row r="303" spans="3:5" x14ac:dyDescent="0.2">
      <c r="C303" s="6">
        <f t="shared" ca="1" si="14"/>
        <v>2.5191825035542594</v>
      </c>
      <c r="E303" s="6">
        <f t="shared" ca="1" si="15"/>
        <v>0.99411861649115774</v>
      </c>
    </row>
    <row r="304" spans="3:5" x14ac:dyDescent="0.2">
      <c r="C304" s="6">
        <f t="shared" ca="1" si="14"/>
        <v>-0.99623003434502444</v>
      </c>
      <c r="E304" s="6">
        <f t="shared" ca="1" si="15"/>
        <v>0.15956919476985265</v>
      </c>
    </row>
    <row r="305" spans="3:5" x14ac:dyDescent="0.2">
      <c r="C305" s="6">
        <f t="shared" ca="1" si="14"/>
        <v>-0.36412854429688674</v>
      </c>
      <c r="E305" s="6">
        <f t="shared" ca="1" si="15"/>
        <v>0.35788101128391858</v>
      </c>
    </row>
    <row r="306" spans="3:5" x14ac:dyDescent="0.2">
      <c r="C306" s="6">
        <f t="shared" ca="1" si="14"/>
        <v>1.4407890517430177</v>
      </c>
      <c r="E306" s="6">
        <f t="shared" ca="1" si="15"/>
        <v>0.92517785629742699</v>
      </c>
    </row>
    <row r="307" spans="3:5" x14ac:dyDescent="0.2">
      <c r="C307" s="6">
        <f t="shared" ca="1" si="14"/>
        <v>0.3722237453364467</v>
      </c>
      <c r="E307" s="6">
        <f t="shared" ca="1" si="15"/>
        <v>0.64513686597988307</v>
      </c>
    </row>
    <row r="308" spans="3:5" x14ac:dyDescent="0.2">
      <c r="C308" s="6">
        <f t="shared" ca="1" si="14"/>
        <v>-0.74315910067928992</v>
      </c>
      <c r="E308" s="6">
        <f t="shared" ca="1" si="15"/>
        <v>0.22869268087727579</v>
      </c>
    </row>
    <row r="309" spans="3:5" x14ac:dyDescent="0.2">
      <c r="C309" s="6">
        <f t="shared" ca="1" si="14"/>
        <v>-0.4455216482937831</v>
      </c>
      <c r="E309" s="6">
        <f t="shared" ca="1" si="15"/>
        <v>0.32797140939808733</v>
      </c>
    </row>
    <row r="310" spans="3:5" x14ac:dyDescent="0.2">
      <c r="C310" s="6">
        <f t="shared" ca="1" si="14"/>
        <v>-0.47708762916591896</v>
      </c>
      <c r="E310" s="6">
        <f t="shared" ca="1" si="15"/>
        <v>0.31664986169714515</v>
      </c>
    </row>
    <row r="311" spans="3:5" x14ac:dyDescent="0.2">
      <c r="C311" s="6">
        <f t="shared" ca="1" si="14"/>
        <v>2.4187093664923145</v>
      </c>
      <c r="E311" s="6">
        <f t="shared" ca="1" si="15"/>
        <v>0.99221216035751991</v>
      </c>
    </row>
    <row r="312" spans="3:5" x14ac:dyDescent="0.2">
      <c r="C312" s="6">
        <f t="shared" ca="1" si="14"/>
        <v>1.3896526857297218</v>
      </c>
      <c r="E312" s="6">
        <f t="shared" ca="1" si="15"/>
        <v>0.91768281558881248</v>
      </c>
    </row>
    <row r="313" spans="3:5" x14ac:dyDescent="0.2">
      <c r="C313" s="6">
        <f t="shared" ca="1" si="14"/>
        <v>0.97033248729025323</v>
      </c>
      <c r="E313" s="6">
        <f t="shared" ca="1" si="15"/>
        <v>0.83405960560070014</v>
      </c>
    </row>
    <row r="314" spans="3:5" x14ac:dyDescent="0.2">
      <c r="C314" s="6">
        <f t="shared" ca="1" si="14"/>
        <v>-0.98720645713642141</v>
      </c>
      <c r="E314" s="6">
        <f t="shared" ca="1" si="15"/>
        <v>0.16177071847335345</v>
      </c>
    </row>
    <row r="315" spans="3:5" x14ac:dyDescent="0.2">
      <c r="C315" s="6">
        <f t="shared" ca="1" si="14"/>
        <v>-5.3462799550996143E-2</v>
      </c>
      <c r="E315" s="6">
        <f t="shared" ca="1" si="15"/>
        <v>0.47868158494826807</v>
      </c>
    </row>
    <row r="316" spans="3:5" x14ac:dyDescent="0.2">
      <c r="C316" s="6">
        <f t="shared" ca="1" si="14"/>
        <v>-0.76700289365127139</v>
      </c>
      <c r="E316" s="6">
        <f t="shared" ca="1" si="15"/>
        <v>0.22153989754146042</v>
      </c>
    </row>
    <row r="317" spans="3:5" x14ac:dyDescent="0.2">
      <c r="C317" s="6">
        <f t="shared" ca="1" si="14"/>
        <v>-0.28144935143692024</v>
      </c>
      <c r="E317" s="6">
        <f t="shared" ca="1" si="15"/>
        <v>0.38918288510631549</v>
      </c>
    </row>
    <row r="318" spans="3:5" x14ac:dyDescent="0.2">
      <c r="C318" s="6">
        <f t="shared" ca="1" si="14"/>
        <v>0.23991950574218282</v>
      </c>
      <c r="E318" s="6">
        <f t="shared" ca="1" si="15"/>
        <v>0.59480367048469618</v>
      </c>
    </row>
    <row r="319" spans="3:5" x14ac:dyDescent="0.2">
      <c r="C319" s="6">
        <f t="shared" ca="1" si="14"/>
        <v>-0.25880711833386999</v>
      </c>
      <c r="E319" s="6">
        <f t="shared" ca="1" si="15"/>
        <v>0.39789203266241435</v>
      </c>
    </row>
    <row r="320" spans="3:5" x14ac:dyDescent="0.2">
      <c r="C320" s="6">
        <f t="shared" ca="1" si="14"/>
        <v>-5.076973340103394E-2</v>
      </c>
      <c r="E320" s="6">
        <f t="shared" ca="1" si="15"/>
        <v>0.47975450450456514</v>
      </c>
    </row>
    <row r="321" spans="3:5" x14ac:dyDescent="0.2">
      <c r="C321" s="6">
        <f t="shared" ca="1" si="14"/>
        <v>1.7248680783412813</v>
      </c>
      <c r="E321" s="6">
        <f t="shared" ca="1" si="15"/>
        <v>0.95772437524853848</v>
      </c>
    </row>
    <row r="322" spans="3:5" x14ac:dyDescent="0.2">
      <c r="C322" s="6">
        <f t="shared" ca="1" si="14"/>
        <v>-1.0939231800513018</v>
      </c>
      <c r="E322" s="6">
        <f t="shared" ca="1" si="15"/>
        <v>0.13699433572204855</v>
      </c>
    </row>
    <row r="323" spans="3:5" x14ac:dyDescent="0.2">
      <c r="C323" s="6">
        <f t="shared" ref="C323:C386" ca="1" si="16">_xlfn.NORM.S.INV(E323)</f>
        <v>1.0066982289123978</v>
      </c>
      <c r="E323" s="6">
        <f t="shared" ref="E323:E386" ca="1" si="17">RAND()</f>
        <v>0.84296009325000931</v>
      </c>
    </row>
    <row r="324" spans="3:5" x14ac:dyDescent="0.2">
      <c r="C324" s="6">
        <f t="shared" ca="1" si="16"/>
        <v>-1.2623165573449966</v>
      </c>
      <c r="E324" s="6">
        <f t="shared" ca="1" si="17"/>
        <v>0.10341745056723006</v>
      </c>
    </row>
    <row r="325" spans="3:5" x14ac:dyDescent="0.2">
      <c r="C325" s="6">
        <f t="shared" ca="1" si="16"/>
        <v>-0.35312673333381761</v>
      </c>
      <c r="E325" s="6">
        <f t="shared" ca="1" si="17"/>
        <v>0.36199671599101524</v>
      </c>
    </row>
    <row r="326" spans="3:5" x14ac:dyDescent="0.2">
      <c r="C326" s="6">
        <f t="shared" ca="1" si="16"/>
        <v>-0.45393247959979066</v>
      </c>
      <c r="E326" s="6">
        <f t="shared" ca="1" si="17"/>
        <v>0.32493871272213937</v>
      </c>
    </row>
    <row r="327" spans="3:5" x14ac:dyDescent="0.2">
      <c r="C327" s="6">
        <f t="shared" ca="1" si="16"/>
        <v>-1.8063214351916805</v>
      </c>
      <c r="E327" s="6">
        <f t="shared" ca="1" si="17"/>
        <v>3.5434072762679181E-2</v>
      </c>
    </row>
    <row r="328" spans="3:5" x14ac:dyDescent="0.2">
      <c r="C328" s="6">
        <f t="shared" ca="1" si="16"/>
        <v>2.9699856929194932</v>
      </c>
      <c r="E328" s="6">
        <f t="shared" ca="1" si="17"/>
        <v>0.99851093190639917</v>
      </c>
    </row>
    <row r="329" spans="3:5" x14ac:dyDescent="0.2">
      <c r="C329" s="6">
        <f t="shared" ca="1" si="16"/>
        <v>0.79568868335705989</v>
      </c>
      <c r="E329" s="6">
        <f t="shared" ca="1" si="17"/>
        <v>0.78689349695358923</v>
      </c>
    </row>
    <row r="330" spans="3:5" x14ac:dyDescent="0.2">
      <c r="C330" s="6">
        <f t="shared" ca="1" si="16"/>
        <v>0.74717450322618395</v>
      </c>
      <c r="E330" s="6">
        <f t="shared" ca="1" si="17"/>
        <v>0.77252088373554217</v>
      </c>
    </row>
    <row r="331" spans="3:5" x14ac:dyDescent="0.2">
      <c r="C331" s="6">
        <f t="shared" ca="1" si="16"/>
        <v>1.0267445623515052</v>
      </c>
      <c r="E331" s="6">
        <f t="shared" ca="1" si="17"/>
        <v>0.84772962006256347</v>
      </c>
    </row>
    <row r="332" spans="3:5" x14ac:dyDescent="0.2">
      <c r="C332" s="6">
        <f t="shared" ca="1" si="16"/>
        <v>1.4619982907270488</v>
      </c>
      <c r="E332" s="6">
        <f t="shared" ca="1" si="17"/>
        <v>0.92812916086648434</v>
      </c>
    </row>
    <row r="333" spans="3:5" x14ac:dyDescent="0.2">
      <c r="C333" s="6">
        <f t="shared" ca="1" si="16"/>
        <v>-1.0948256024824501</v>
      </c>
      <c r="E333" s="6">
        <f t="shared" ca="1" si="17"/>
        <v>0.13679652382642804</v>
      </c>
    </row>
    <row r="334" spans="3:5" x14ac:dyDescent="0.2">
      <c r="C334" s="6">
        <f t="shared" ca="1" si="16"/>
        <v>0.98321528902181887</v>
      </c>
      <c r="E334" s="6">
        <f t="shared" ca="1" si="17"/>
        <v>0.8372492542126696</v>
      </c>
    </row>
    <row r="335" spans="3:5" x14ac:dyDescent="0.2">
      <c r="C335" s="6">
        <f t="shared" ca="1" si="16"/>
        <v>-2.7516043965579522</v>
      </c>
      <c r="E335" s="6">
        <f t="shared" ca="1" si="17"/>
        <v>2.9652056991283926E-3</v>
      </c>
    </row>
    <row r="336" spans="3:5" x14ac:dyDescent="0.2">
      <c r="C336" s="6">
        <f t="shared" ca="1" si="16"/>
        <v>1.7540167040402626</v>
      </c>
      <c r="E336" s="6">
        <f t="shared" ca="1" si="17"/>
        <v>0.9602861775213829</v>
      </c>
    </row>
    <row r="337" spans="3:5" x14ac:dyDescent="0.2">
      <c r="C337" s="6">
        <f t="shared" ca="1" si="16"/>
        <v>6.1463313213719839E-2</v>
      </c>
      <c r="E337" s="6">
        <f t="shared" ca="1" si="17"/>
        <v>0.52450488452156907</v>
      </c>
    </row>
    <row r="338" spans="3:5" x14ac:dyDescent="0.2">
      <c r="C338" s="6">
        <f t="shared" ca="1" si="16"/>
        <v>0.53520151812831618</v>
      </c>
      <c r="E338" s="6">
        <f t="shared" ca="1" si="17"/>
        <v>0.70374474167740952</v>
      </c>
    </row>
    <row r="339" spans="3:5" x14ac:dyDescent="0.2">
      <c r="C339" s="6">
        <f t="shared" ca="1" si="16"/>
        <v>1.1573146432019714</v>
      </c>
      <c r="E339" s="6">
        <f t="shared" ca="1" si="17"/>
        <v>0.87642808348144408</v>
      </c>
    </row>
    <row r="340" spans="3:5" x14ac:dyDescent="0.2">
      <c r="C340" s="6">
        <f t="shared" ca="1" si="16"/>
        <v>-0.9294894264043817</v>
      </c>
      <c r="E340" s="6">
        <f t="shared" ca="1" si="17"/>
        <v>0.17631775119722659</v>
      </c>
    </row>
    <row r="341" spans="3:5" x14ac:dyDescent="0.2">
      <c r="C341" s="6">
        <f t="shared" ca="1" si="16"/>
        <v>1.4226625734691702</v>
      </c>
      <c r="E341" s="6">
        <f t="shared" ca="1" si="17"/>
        <v>0.92258300244736025</v>
      </c>
    </row>
    <row r="342" spans="3:5" x14ac:dyDescent="0.2">
      <c r="C342" s="6">
        <f t="shared" ca="1" si="16"/>
        <v>1.4909261878050022</v>
      </c>
      <c r="E342" s="6">
        <f t="shared" ca="1" si="17"/>
        <v>0.9320095624923278</v>
      </c>
    </row>
    <row r="343" spans="3:5" x14ac:dyDescent="0.2">
      <c r="C343" s="6">
        <f t="shared" ca="1" si="16"/>
        <v>2.310731144739778</v>
      </c>
      <c r="E343" s="6">
        <f t="shared" ca="1" si="17"/>
        <v>0.98957614508660696</v>
      </c>
    </row>
    <row r="344" spans="3:5" x14ac:dyDescent="0.2">
      <c r="C344" s="6">
        <f t="shared" ca="1" si="16"/>
        <v>-2.4164607656040804</v>
      </c>
      <c r="E344" s="6">
        <f t="shared" ca="1" si="17"/>
        <v>7.8361075638413435E-3</v>
      </c>
    </row>
    <row r="345" spans="3:5" x14ac:dyDescent="0.2">
      <c r="C345" s="6">
        <f t="shared" ca="1" si="16"/>
        <v>0.52748033434288732</v>
      </c>
      <c r="E345" s="6">
        <f t="shared" ca="1" si="17"/>
        <v>0.701069965281652</v>
      </c>
    </row>
    <row r="346" spans="3:5" x14ac:dyDescent="0.2">
      <c r="C346" s="6">
        <f t="shared" ca="1" si="16"/>
        <v>-0.12122745730126447</v>
      </c>
      <c r="E346" s="6">
        <f t="shared" ca="1" si="17"/>
        <v>0.45175543835716303</v>
      </c>
    </row>
    <row r="347" spans="3:5" x14ac:dyDescent="0.2">
      <c r="C347" s="6">
        <f t="shared" ca="1" si="16"/>
        <v>0.94285425817776192</v>
      </c>
      <c r="E347" s="6">
        <f t="shared" ca="1" si="17"/>
        <v>0.82712227281024064</v>
      </c>
    </row>
    <row r="348" spans="3:5" x14ac:dyDescent="0.2">
      <c r="C348" s="6">
        <f t="shared" ca="1" si="16"/>
        <v>-1.1496428928017184</v>
      </c>
      <c r="E348" s="6">
        <f t="shared" ca="1" si="17"/>
        <v>0.1251454920623295</v>
      </c>
    </row>
    <row r="349" spans="3:5" x14ac:dyDescent="0.2">
      <c r="C349" s="6">
        <f t="shared" ca="1" si="16"/>
        <v>-1.3875357021132271</v>
      </c>
      <c r="E349" s="6">
        <f t="shared" ca="1" si="17"/>
        <v>8.2639236163632779E-2</v>
      </c>
    </row>
    <row r="350" spans="3:5" x14ac:dyDescent="0.2">
      <c r="C350" s="6">
        <f t="shared" ca="1" si="16"/>
        <v>0.25256307473897621</v>
      </c>
      <c r="E350" s="6">
        <f t="shared" ca="1" si="17"/>
        <v>0.5996970664288197</v>
      </c>
    </row>
    <row r="351" spans="3:5" x14ac:dyDescent="0.2">
      <c r="C351" s="6">
        <f t="shared" ca="1" si="16"/>
        <v>-2.4273237527823017</v>
      </c>
      <c r="E351" s="6">
        <f t="shared" ca="1" si="17"/>
        <v>7.6053377007311296E-3</v>
      </c>
    </row>
    <row r="352" spans="3:5" x14ac:dyDescent="0.2">
      <c r="C352" s="6">
        <f t="shared" ca="1" si="16"/>
        <v>-0.18526441828114903</v>
      </c>
      <c r="E352" s="6">
        <f t="shared" ca="1" si="17"/>
        <v>0.42651082249149996</v>
      </c>
    </row>
    <row r="353" spans="3:5" x14ac:dyDescent="0.2">
      <c r="C353" s="6">
        <f t="shared" ca="1" si="16"/>
        <v>-0.40486711092083055</v>
      </c>
      <c r="E353" s="6">
        <f t="shared" ca="1" si="17"/>
        <v>0.34278759747582976</v>
      </c>
    </row>
    <row r="354" spans="3:5" x14ac:dyDescent="0.2">
      <c r="C354" s="6">
        <f t="shared" ca="1" si="16"/>
        <v>1.1890980422747115</v>
      </c>
      <c r="E354" s="6">
        <f t="shared" ca="1" si="17"/>
        <v>0.88279945565922313</v>
      </c>
    </row>
    <row r="355" spans="3:5" x14ac:dyDescent="0.2">
      <c r="C355" s="6">
        <f t="shared" ca="1" si="16"/>
        <v>0.105778304847959</v>
      </c>
      <c r="E355" s="6">
        <f t="shared" ca="1" si="17"/>
        <v>0.54212087478708748</v>
      </c>
    </row>
    <row r="356" spans="3:5" x14ac:dyDescent="0.2">
      <c r="C356" s="6">
        <f t="shared" ca="1" si="16"/>
        <v>-1.2581484510257479</v>
      </c>
      <c r="E356" s="6">
        <f t="shared" ca="1" si="17"/>
        <v>0.10416903683885037</v>
      </c>
    </row>
    <row r="357" spans="3:5" x14ac:dyDescent="0.2">
      <c r="C357" s="6">
        <f t="shared" ca="1" si="16"/>
        <v>-0.49262502563740668</v>
      </c>
      <c r="E357" s="6">
        <f t="shared" ca="1" si="17"/>
        <v>0.31113878100242021</v>
      </c>
    </row>
    <row r="358" spans="3:5" x14ac:dyDescent="0.2">
      <c r="C358" s="6">
        <f t="shared" ca="1" si="16"/>
        <v>0.56238801432666896</v>
      </c>
      <c r="E358" s="6">
        <f t="shared" ca="1" si="17"/>
        <v>0.71307415829110954</v>
      </c>
    </row>
    <row r="359" spans="3:5" x14ac:dyDescent="0.2">
      <c r="C359" s="6">
        <f t="shared" ca="1" si="16"/>
        <v>0.93733833680386269</v>
      </c>
      <c r="E359" s="6">
        <f t="shared" ca="1" si="17"/>
        <v>0.82570772558061989</v>
      </c>
    </row>
    <row r="360" spans="3:5" x14ac:dyDescent="0.2">
      <c r="C360" s="6">
        <f t="shared" ca="1" si="16"/>
        <v>-1.5216800761079421</v>
      </c>
      <c r="E360" s="6">
        <f t="shared" ca="1" si="17"/>
        <v>6.4044631112942341E-2</v>
      </c>
    </row>
    <row r="361" spans="3:5" x14ac:dyDescent="0.2">
      <c r="C361" s="6">
        <f t="shared" ca="1" si="16"/>
        <v>0.42853955257279591</v>
      </c>
      <c r="E361" s="6">
        <f t="shared" ca="1" si="17"/>
        <v>0.66587082817669274</v>
      </c>
    </row>
    <row r="362" spans="3:5" x14ac:dyDescent="0.2">
      <c r="C362" s="6">
        <f t="shared" ca="1" si="16"/>
        <v>0.30134793110190106</v>
      </c>
      <c r="E362" s="6">
        <f t="shared" ca="1" si="17"/>
        <v>0.61842540260310697</v>
      </c>
    </row>
    <row r="363" spans="3:5" x14ac:dyDescent="0.2">
      <c r="C363" s="6">
        <f t="shared" ca="1" si="16"/>
        <v>-2.4697756471006209</v>
      </c>
      <c r="E363" s="6">
        <f t="shared" ca="1" si="17"/>
        <v>6.7598906806408676E-3</v>
      </c>
    </row>
    <row r="364" spans="3:5" x14ac:dyDescent="0.2">
      <c r="C364" s="6">
        <f t="shared" ca="1" si="16"/>
        <v>0.72480932207854076</v>
      </c>
      <c r="E364" s="6">
        <f t="shared" ca="1" si="17"/>
        <v>0.76571549197899091</v>
      </c>
    </row>
    <row r="365" spans="3:5" x14ac:dyDescent="0.2">
      <c r="C365" s="6">
        <f t="shared" ca="1" si="16"/>
        <v>-0.90744825075633462</v>
      </c>
      <c r="E365" s="6">
        <f t="shared" ca="1" si="17"/>
        <v>0.18208490175541725</v>
      </c>
    </row>
    <row r="366" spans="3:5" x14ac:dyDescent="0.2">
      <c r="C366" s="6">
        <f t="shared" ca="1" si="16"/>
        <v>-4.2786664030025422E-2</v>
      </c>
      <c r="E366" s="6">
        <f t="shared" ca="1" si="17"/>
        <v>0.48293579740856241</v>
      </c>
    </row>
    <row r="367" spans="3:5" x14ac:dyDescent="0.2">
      <c r="C367" s="6">
        <f t="shared" ca="1" si="16"/>
        <v>-8.9341063234613147E-2</v>
      </c>
      <c r="E367" s="6">
        <f t="shared" ca="1" si="17"/>
        <v>0.46440543039343185</v>
      </c>
    </row>
    <row r="368" spans="3:5" x14ac:dyDescent="0.2">
      <c r="C368" s="6">
        <f t="shared" ca="1" si="16"/>
        <v>0.8640822835098394</v>
      </c>
      <c r="E368" s="6">
        <f t="shared" ca="1" si="17"/>
        <v>0.80622865469481486</v>
      </c>
    </row>
    <row r="369" spans="3:5" x14ac:dyDescent="0.2">
      <c r="C369" s="6">
        <f t="shared" ca="1" si="16"/>
        <v>1.3877850541776899</v>
      </c>
      <c r="E369" s="6">
        <f t="shared" ca="1" si="17"/>
        <v>0.91739874637779328</v>
      </c>
    </row>
    <row r="370" spans="3:5" x14ac:dyDescent="0.2">
      <c r="C370" s="6">
        <f t="shared" ca="1" si="16"/>
        <v>-0.64003131203739261</v>
      </c>
      <c r="E370" s="6">
        <f t="shared" ca="1" si="17"/>
        <v>0.26107612143308034</v>
      </c>
    </row>
    <row r="371" spans="3:5" x14ac:dyDescent="0.2">
      <c r="C371" s="6">
        <f t="shared" ca="1" si="16"/>
        <v>-0.20004744375050049</v>
      </c>
      <c r="E371" s="6">
        <f t="shared" ca="1" si="17"/>
        <v>0.42072173811691582</v>
      </c>
    </row>
    <row r="372" spans="3:5" x14ac:dyDescent="0.2">
      <c r="C372" s="6">
        <f t="shared" ca="1" si="16"/>
        <v>-1.7614343842914428</v>
      </c>
      <c r="E372" s="6">
        <f t="shared" ca="1" si="17"/>
        <v>3.908245481204109E-2</v>
      </c>
    </row>
    <row r="373" spans="3:5" x14ac:dyDescent="0.2">
      <c r="C373" s="6">
        <f t="shared" ca="1" si="16"/>
        <v>0.95794157399982449</v>
      </c>
      <c r="E373" s="6">
        <f t="shared" ca="1" si="17"/>
        <v>0.83095388950930316</v>
      </c>
    </row>
    <row r="374" spans="3:5" x14ac:dyDescent="0.2">
      <c r="C374" s="6">
        <f t="shared" ca="1" si="16"/>
        <v>0.38490474371659517</v>
      </c>
      <c r="E374" s="6">
        <f t="shared" ca="1" si="17"/>
        <v>0.64984600439991735</v>
      </c>
    </row>
    <row r="375" spans="3:5" x14ac:dyDescent="0.2">
      <c r="C375" s="6">
        <f t="shared" ca="1" si="16"/>
        <v>0.89343066842949315</v>
      </c>
      <c r="E375" s="6">
        <f t="shared" ca="1" si="17"/>
        <v>0.81418670740739041</v>
      </c>
    </row>
    <row r="376" spans="3:5" x14ac:dyDescent="0.2">
      <c r="C376" s="6">
        <f t="shared" ca="1" si="16"/>
        <v>-1.3156334390971256</v>
      </c>
      <c r="E376" s="6">
        <f t="shared" ca="1" si="17"/>
        <v>9.414855222508256E-2</v>
      </c>
    </row>
    <row r="377" spans="3:5" x14ac:dyDescent="0.2">
      <c r="C377" s="6">
        <f t="shared" ca="1" si="16"/>
        <v>1.5510339195400096</v>
      </c>
      <c r="E377" s="6">
        <f t="shared" ca="1" si="17"/>
        <v>0.93955322225625748</v>
      </c>
    </row>
    <row r="378" spans="3:5" x14ac:dyDescent="0.2">
      <c r="C378" s="6">
        <f t="shared" ca="1" si="16"/>
        <v>-3.2424039037069224E-2</v>
      </c>
      <c r="E378" s="6">
        <f t="shared" ca="1" si="17"/>
        <v>0.48706694609248002</v>
      </c>
    </row>
    <row r="379" spans="3:5" x14ac:dyDescent="0.2">
      <c r="C379" s="6">
        <f t="shared" ca="1" si="16"/>
        <v>1.1789918468189968</v>
      </c>
      <c r="E379" s="6">
        <f t="shared" ca="1" si="17"/>
        <v>0.88079928879484171</v>
      </c>
    </row>
    <row r="380" spans="3:5" x14ac:dyDescent="0.2">
      <c r="C380" s="6">
        <f t="shared" ca="1" si="16"/>
        <v>-0.16144715766846632</v>
      </c>
      <c r="E380" s="6">
        <f t="shared" ca="1" si="17"/>
        <v>0.43587061367176905</v>
      </c>
    </row>
    <row r="381" spans="3:5" x14ac:dyDescent="0.2">
      <c r="C381" s="6">
        <f t="shared" ca="1" si="16"/>
        <v>-0.26659641299355186</v>
      </c>
      <c r="E381" s="6">
        <f t="shared" ca="1" si="17"/>
        <v>0.39488995886448353</v>
      </c>
    </row>
    <row r="382" spans="3:5" x14ac:dyDescent="0.2">
      <c r="C382" s="6">
        <f t="shared" ca="1" si="16"/>
        <v>1.1235754676450849</v>
      </c>
      <c r="E382" s="6">
        <f t="shared" ca="1" si="17"/>
        <v>0.86940341584667191</v>
      </c>
    </row>
    <row r="383" spans="3:5" x14ac:dyDescent="0.2">
      <c r="C383" s="6">
        <f t="shared" ca="1" si="16"/>
        <v>1.2500312458905163</v>
      </c>
      <c r="E383" s="6">
        <f t="shared" ca="1" si="17"/>
        <v>0.89435593325501939</v>
      </c>
    </row>
    <row r="384" spans="3:5" x14ac:dyDescent="0.2">
      <c r="C384" s="6">
        <f t="shared" ca="1" si="16"/>
        <v>-7.2298346335190139E-2</v>
      </c>
      <c r="E384" s="6">
        <f t="shared" ca="1" si="17"/>
        <v>0.47118224034391409</v>
      </c>
    </row>
    <row r="385" spans="3:5" x14ac:dyDescent="0.2">
      <c r="C385" s="6">
        <f t="shared" ca="1" si="16"/>
        <v>-0.48048575778593544</v>
      </c>
      <c r="E385" s="6">
        <f t="shared" ca="1" si="17"/>
        <v>0.3154410139615762</v>
      </c>
    </row>
    <row r="386" spans="3:5" x14ac:dyDescent="0.2">
      <c r="C386" s="6">
        <f t="shared" ca="1" si="16"/>
        <v>-0.95971685143851693</v>
      </c>
      <c r="E386" s="6">
        <f t="shared" ca="1" si="17"/>
        <v>0.16859886988400263</v>
      </c>
    </row>
    <row r="387" spans="3:5" x14ac:dyDescent="0.2">
      <c r="C387" s="6">
        <f t="shared" ref="C387:C450" ca="1" si="18">_xlfn.NORM.S.INV(E387)</f>
        <v>1.2137301339374467</v>
      </c>
      <c r="E387" s="6">
        <f t="shared" ref="E387:E450" ca="1" si="19">RAND()</f>
        <v>0.88757460334213678</v>
      </c>
    </row>
    <row r="388" spans="3:5" x14ac:dyDescent="0.2">
      <c r="C388" s="6">
        <f t="shared" ca="1" si="18"/>
        <v>0.12605880234076638</v>
      </c>
      <c r="E388" s="6">
        <f t="shared" ca="1" si="19"/>
        <v>0.55015731088761444</v>
      </c>
    </row>
    <row r="389" spans="3:5" x14ac:dyDescent="0.2">
      <c r="C389" s="6">
        <f t="shared" ca="1" si="18"/>
        <v>0.21266553563806154</v>
      </c>
      <c r="E389" s="6">
        <f t="shared" ca="1" si="19"/>
        <v>0.58420607480412912</v>
      </c>
    </row>
    <row r="390" spans="3:5" x14ac:dyDescent="0.2">
      <c r="C390" s="6">
        <f t="shared" ca="1" si="18"/>
        <v>-0.72881783962221458</v>
      </c>
      <c r="E390" s="6">
        <f t="shared" ca="1" si="19"/>
        <v>0.23305654877312154</v>
      </c>
    </row>
    <row r="391" spans="3:5" x14ac:dyDescent="0.2">
      <c r="C391" s="6">
        <f t="shared" ca="1" si="18"/>
        <v>0.59249490487493317</v>
      </c>
      <c r="E391" s="6">
        <f t="shared" ca="1" si="19"/>
        <v>0.7232403841946472</v>
      </c>
    </row>
    <row r="392" spans="3:5" x14ac:dyDescent="0.2">
      <c r="C392" s="6">
        <f t="shared" ca="1" si="18"/>
        <v>-1.1870266610799232</v>
      </c>
      <c r="E392" s="6">
        <f t="shared" ca="1" si="19"/>
        <v>0.11760855217356658</v>
      </c>
    </row>
    <row r="393" spans="3:5" x14ac:dyDescent="0.2">
      <c r="C393" s="6">
        <f t="shared" ca="1" si="18"/>
        <v>0.89136792893908379</v>
      </c>
      <c r="E393" s="6">
        <f t="shared" ca="1" si="19"/>
        <v>0.81363409138612863</v>
      </c>
    </row>
    <row r="394" spans="3:5" x14ac:dyDescent="0.2">
      <c r="C394" s="6">
        <f t="shared" ca="1" si="18"/>
        <v>-5.2472179747462579E-2</v>
      </c>
      <c r="E394" s="6">
        <f t="shared" ca="1" si="19"/>
        <v>0.47907623106642871</v>
      </c>
    </row>
    <row r="395" spans="3:5" x14ac:dyDescent="0.2">
      <c r="C395" s="6">
        <f t="shared" ca="1" si="18"/>
        <v>-0.81628343183534291</v>
      </c>
      <c r="E395" s="6">
        <f t="shared" ca="1" si="19"/>
        <v>0.20716902407907811</v>
      </c>
    </row>
    <row r="396" spans="3:5" x14ac:dyDescent="0.2">
      <c r="C396" s="6">
        <f t="shared" ca="1" si="18"/>
        <v>-0.32250807319542407</v>
      </c>
      <c r="E396" s="6">
        <f t="shared" ca="1" si="19"/>
        <v>0.37353391135027236</v>
      </c>
    </row>
    <row r="397" spans="3:5" x14ac:dyDescent="0.2">
      <c r="C397" s="6">
        <f t="shared" ca="1" si="18"/>
        <v>0.23466599483273251</v>
      </c>
      <c r="E397" s="6">
        <f t="shared" ca="1" si="19"/>
        <v>0.59276600852039429</v>
      </c>
    </row>
    <row r="398" spans="3:5" x14ac:dyDescent="0.2">
      <c r="C398" s="6">
        <f t="shared" ca="1" si="18"/>
        <v>0.37775367577078484</v>
      </c>
      <c r="E398" s="6">
        <f t="shared" ca="1" si="19"/>
        <v>0.64719320523439983</v>
      </c>
    </row>
    <row r="399" spans="3:5" x14ac:dyDescent="0.2">
      <c r="C399" s="6">
        <f t="shared" ca="1" si="18"/>
        <v>0.69428167361291904</v>
      </c>
      <c r="E399" s="6">
        <f t="shared" ca="1" si="19"/>
        <v>0.75624720919257271</v>
      </c>
    </row>
    <row r="400" spans="3:5" x14ac:dyDescent="0.2">
      <c r="C400" s="6">
        <f t="shared" ca="1" si="18"/>
        <v>0.67659649493763541</v>
      </c>
      <c r="E400" s="6">
        <f t="shared" ca="1" si="19"/>
        <v>0.75066899820009581</v>
      </c>
    </row>
    <row r="401" spans="3:5" x14ac:dyDescent="0.2">
      <c r="C401" s="6">
        <f t="shared" ca="1" si="18"/>
        <v>-0.9544669917339248</v>
      </c>
      <c r="E401" s="6">
        <f t="shared" ca="1" si="19"/>
        <v>0.16992365497457496</v>
      </c>
    </row>
    <row r="402" spans="3:5" x14ac:dyDescent="0.2">
      <c r="C402" s="6">
        <f t="shared" ca="1" si="18"/>
        <v>0.69240550976180637</v>
      </c>
      <c r="E402" s="6">
        <f t="shared" ca="1" si="19"/>
        <v>0.75565864665388738</v>
      </c>
    </row>
    <row r="403" spans="3:5" x14ac:dyDescent="0.2">
      <c r="C403" s="6">
        <f t="shared" ca="1" si="18"/>
        <v>-0.53610137881555042</v>
      </c>
      <c r="E403" s="6">
        <f t="shared" ca="1" si="19"/>
        <v>0.29594424362661842</v>
      </c>
    </row>
    <row r="404" spans="3:5" x14ac:dyDescent="0.2">
      <c r="C404" s="6">
        <f t="shared" ca="1" si="18"/>
        <v>-0.97983322242065896</v>
      </c>
      <c r="E404" s="6">
        <f t="shared" ca="1" si="19"/>
        <v>0.16358422498090364</v>
      </c>
    </row>
    <row r="405" spans="3:5" x14ac:dyDescent="0.2">
      <c r="C405" s="6">
        <f t="shared" ca="1" si="18"/>
        <v>0.22988680909833517</v>
      </c>
      <c r="E405" s="6">
        <f t="shared" ca="1" si="19"/>
        <v>0.59091013666874204</v>
      </c>
    </row>
    <row r="406" spans="3:5" x14ac:dyDescent="0.2">
      <c r="C406" s="6">
        <f t="shared" ca="1" si="18"/>
        <v>2.3995103090657044</v>
      </c>
      <c r="E406" s="6">
        <f t="shared" ca="1" si="19"/>
        <v>0.991791491230679</v>
      </c>
    </row>
    <row r="407" spans="3:5" x14ac:dyDescent="0.2">
      <c r="C407" s="6">
        <f t="shared" ca="1" si="18"/>
        <v>0.74402388549445586</v>
      </c>
      <c r="E407" s="6">
        <f t="shared" ca="1" si="19"/>
        <v>0.77156898751033731</v>
      </c>
    </row>
    <row r="408" spans="3:5" x14ac:dyDescent="0.2">
      <c r="C408" s="6">
        <f t="shared" ca="1" si="18"/>
        <v>0.68344354315694156</v>
      </c>
      <c r="E408" s="6">
        <f t="shared" ca="1" si="19"/>
        <v>0.75283669331937741</v>
      </c>
    </row>
    <row r="409" spans="3:5" x14ac:dyDescent="0.2">
      <c r="C409" s="6">
        <f t="shared" ca="1" si="18"/>
        <v>-1.5212277958368876</v>
      </c>
      <c r="E409" s="6">
        <f t="shared" ca="1" si="19"/>
        <v>6.4101341222546182E-2</v>
      </c>
    </row>
    <row r="410" spans="3:5" x14ac:dyDescent="0.2">
      <c r="C410" s="6">
        <f t="shared" ca="1" si="18"/>
        <v>-6.6682403723034495E-2</v>
      </c>
      <c r="E410" s="6">
        <f t="shared" ca="1" si="19"/>
        <v>0.47341727146178159</v>
      </c>
    </row>
    <row r="411" spans="3:5" x14ac:dyDescent="0.2">
      <c r="C411" s="6">
        <f t="shared" ca="1" si="18"/>
        <v>0.44690021622405834</v>
      </c>
      <c r="E411" s="6">
        <f t="shared" ca="1" si="19"/>
        <v>0.67252644607140177</v>
      </c>
    </row>
    <row r="412" spans="3:5" x14ac:dyDescent="0.2">
      <c r="C412" s="6">
        <f t="shared" ca="1" si="18"/>
        <v>-0.31691096961205933</v>
      </c>
      <c r="E412" s="6">
        <f t="shared" ca="1" si="19"/>
        <v>0.37565557909730196</v>
      </c>
    </row>
    <row r="413" spans="3:5" x14ac:dyDescent="0.2">
      <c r="C413" s="6">
        <f t="shared" ca="1" si="18"/>
        <v>0.58762020840880158</v>
      </c>
      <c r="E413" s="6">
        <f t="shared" ca="1" si="19"/>
        <v>0.72160637814221806</v>
      </c>
    </row>
    <row r="414" spans="3:5" x14ac:dyDescent="0.2">
      <c r="C414" s="6">
        <f t="shared" ca="1" si="18"/>
        <v>-0.83916526173961092</v>
      </c>
      <c r="E414" s="6">
        <f t="shared" ca="1" si="19"/>
        <v>0.20068828900029034</v>
      </c>
    </row>
    <row r="415" spans="3:5" x14ac:dyDescent="0.2">
      <c r="C415" s="6">
        <f t="shared" ca="1" si="18"/>
        <v>-0.15269705021233204</v>
      </c>
      <c r="E415" s="6">
        <f t="shared" ca="1" si="19"/>
        <v>0.4393185935375743</v>
      </c>
    </row>
    <row r="416" spans="3:5" x14ac:dyDescent="0.2">
      <c r="C416" s="6">
        <f t="shared" ca="1" si="18"/>
        <v>-9.2853672111858992E-2</v>
      </c>
      <c r="E416" s="6">
        <f t="shared" ca="1" si="19"/>
        <v>0.46300990548489052</v>
      </c>
    </row>
    <row r="417" spans="3:5" x14ac:dyDescent="0.2">
      <c r="C417" s="6">
        <f t="shared" ca="1" si="18"/>
        <v>0.22480053125840943</v>
      </c>
      <c r="E417" s="6">
        <f t="shared" ca="1" si="19"/>
        <v>0.588932773614531</v>
      </c>
    </row>
    <row r="418" spans="3:5" x14ac:dyDescent="0.2">
      <c r="C418" s="6">
        <f t="shared" ca="1" si="18"/>
        <v>0.44892920908531891</v>
      </c>
      <c r="E418" s="6">
        <f t="shared" ca="1" si="19"/>
        <v>0.67325863776504224</v>
      </c>
    </row>
    <row r="419" spans="3:5" x14ac:dyDescent="0.2">
      <c r="C419" s="6">
        <f t="shared" ca="1" si="18"/>
        <v>-1.0687008172442363</v>
      </c>
      <c r="E419" s="6">
        <f t="shared" ca="1" si="19"/>
        <v>0.14260225158691653</v>
      </c>
    </row>
    <row r="420" spans="3:5" x14ac:dyDescent="0.2">
      <c r="C420" s="6">
        <f t="shared" ca="1" si="18"/>
        <v>-1.5941028292640793</v>
      </c>
      <c r="E420" s="6">
        <f t="shared" ca="1" si="19"/>
        <v>5.5456502671966779E-2</v>
      </c>
    </row>
    <row r="421" spans="3:5" x14ac:dyDescent="0.2">
      <c r="C421" s="6">
        <f t="shared" ca="1" si="18"/>
        <v>-1.9475559557748841</v>
      </c>
      <c r="E421" s="6">
        <f t="shared" ca="1" si="19"/>
        <v>2.5734059106031992E-2</v>
      </c>
    </row>
    <row r="422" spans="3:5" x14ac:dyDescent="0.2">
      <c r="C422" s="6">
        <f t="shared" ca="1" si="18"/>
        <v>-2.4190652989521961</v>
      </c>
      <c r="E422" s="6">
        <f t="shared" ca="1" si="19"/>
        <v>7.7802233132779897E-3</v>
      </c>
    </row>
    <row r="423" spans="3:5" x14ac:dyDescent="0.2">
      <c r="C423" s="6">
        <f t="shared" ca="1" si="18"/>
        <v>-1.5855698790284847</v>
      </c>
      <c r="E423" s="6">
        <f t="shared" ca="1" si="19"/>
        <v>5.641845676692181E-2</v>
      </c>
    </row>
    <row r="424" spans="3:5" x14ac:dyDescent="0.2">
      <c r="C424" s="6">
        <f t="shared" ca="1" si="18"/>
        <v>-0.65347411900664165</v>
      </c>
      <c r="E424" s="6">
        <f t="shared" ca="1" si="19"/>
        <v>0.25672533458034719</v>
      </c>
    </row>
    <row r="425" spans="3:5" x14ac:dyDescent="0.2">
      <c r="C425" s="6">
        <f t="shared" ca="1" si="18"/>
        <v>1.6202343323234174</v>
      </c>
      <c r="E425" s="6">
        <f t="shared" ca="1" si="19"/>
        <v>0.94740902548399941</v>
      </c>
    </row>
    <row r="426" spans="3:5" x14ac:dyDescent="0.2">
      <c r="C426" s="6">
        <f t="shared" ca="1" si="18"/>
        <v>-1.5060381730501888</v>
      </c>
      <c r="E426" s="6">
        <f t="shared" ca="1" si="19"/>
        <v>6.6028687278282927E-2</v>
      </c>
    </row>
    <row r="427" spans="3:5" x14ac:dyDescent="0.2">
      <c r="C427" s="6">
        <f t="shared" ca="1" si="18"/>
        <v>-1.2862078619680604</v>
      </c>
      <c r="E427" s="6">
        <f t="shared" ca="1" si="19"/>
        <v>9.9185263991337758E-2</v>
      </c>
    </row>
    <row r="428" spans="3:5" x14ac:dyDescent="0.2">
      <c r="C428" s="6">
        <f t="shared" ca="1" si="18"/>
        <v>1.1245586942545789</v>
      </c>
      <c r="E428" s="6">
        <f t="shared" ca="1" si="19"/>
        <v>0.86961195727076912</v>
      </c>
    </row>
    <row r="429" spans="3:5" x14ac:dyDescent="0.2">
      <c r="C429" s="6">
        <f t="shared" ca="1" si="18"/>
        <v>-0.37596051502383981</v>
      </c>
      <c r="E429" s="6">
        <f t="shared" ca="1" si="19"/>
        <v>0.35347312529563002</v>
      </c>
    </row>
    <row r="430" spans="3:5" x14ac:dyDescent="0.2">
      <c r="C430" s="6">
        <f t="shared" ca="1" si="18"/>
        <v>0.33826901950768995</v>
      </c>
      <c r="E430" s="6">
        <f t="shared" ca="1" si="19"/>
        <v>0.63241976604557093</v>
      </c>
    </row>
    <row r="431" spans="3:5" x14ac:dyDescent="0.2">
      <c r="C431" s="6">
        <f t="shared" ca="1" si="18"/>
        <v>-0.57060002664234188</v>
      </c>
      <c r="E431" s="6">
        <f t="shared" ca="1" si="19"/>
        <v>0.28413540022882056</v>
      </c>
    </row>
    <row r="432" spans="3:5" x14ac:dyDescent="0.2">
      <c r="C432" s="6">
        <f t="shared" ca="1" si="18"/>
        <v>3.567430853541366E-2</v>
      </c>
      <c r="E432" s="6">
        <f t="shared" ca="1" si="19"/>
        <v>0.51422897183645011</v>
      </c>
    </row>
    <row r="433" spans="3:5" x14ac:dyDescent="0.2">
      <c r="C433" s="6">
        <f t="shared" ca="1" si="18"/>
        <v>0.59125417371442324</v>
      </c>
      <c r="E433" s="6">
        <f t="shared" ca="1" si="19"/>
        <v>0.72282493521238278</v>
      </c>
    </row>
    <row r="434" spans="3:5" x14ac:dyDescent="0.2">
      <c r="C434" s="6">
        <f t="shared" ca="1" si="18"/>
        <v>0.34457990740293382</v>
      </c>
      <c r="E434" s="6">
        <f t="shared" ca="1" si="19"/>
        <v>0.63479489337324524</v>
      </c>
    </row>
    <row r="435" spans="3:5" x14ac:dyDescent="0.2">
      <c r="C435" s="6">
        <f t="shared" ca="1" si="18"/>
        <v>0.71276722300807593</v>
      </c>
      <c r="E435" s="6">
        <f t="shared" ca="1" si="19"/>
        <v>0.76200509444810527</v>
      </c>
    </row>
    <row r="436" spans="3:5" x14ac:dyDescent="0.2">
      <c r="C436" s="6">
        <f t="shared" ca="1" si="18"/>
        <v>0.71230629091482434</v>
      </c>
      <c r="E436" s="6">
        <f t="shared" ca="1" si="19"/>
        <v>0.76186243534692011</v>
      </c>
    </row>
    <row r="437" spans="3:5" x14ac:dyDescent="0.2">
      <c r="C437" s="6">
        <f t="shared" ca="1" si="18"/>
        <v>-1.5999671128884316</v>
      </c>
      <c r="E437" s="6">
        <f t="shared" ca="1" si="19"/>
        <v>5.4802939661398598E-2</v>
      </c>
    </row>
    <row r="438" spans="3:5" x14ac:dyDescent="0.2">
      <c r="C438" s="6">
        <f t="shared" ca="1" si="18"/>
        <v>0.29408388221557924</v>
      </c>
      <c r="E438" s="6">
        <f t="shared" ca="1" si="19"/>
        <v>0.61565309663386236</v>
      </c>
    </row>
    <row r="439" spans="3:5" x14ac:dyDescent="0.2">
      <c r="C439" s="6">
        <f t="shared" ca="1" si="18"/>
        <v>0.53410663285454507</v>
      </c>
      <c r="E439" s="6">
        <f t="shared" ca="1" si="19"/>
        <v>0.70336611950364258</v>
      </c>
    </row>
    <row r="440" spans="3:5" x14ac:dyDescent="0.2">
      <c r="C440" s="6">
        <f t="shared" ca="1" si="18"/>
        <v>-1.3720732168132663</v>
      </c>
      <c r="E440" s="6">
        <f t="shared" ca="1" si="19"/>
        <v>8.5020323112749763E-2</v>
      </c>
    </row>
    <row r="441" spans="3:5" x14ac:dyDescent="0.2">
      <c r="C441" s="6">
        <f t="shared" ca="1" si="18"/>
        <v>-2.1874001216856073E-3</v>
      </c>
      <c r="E441" s="6">
        <f t="shared" ca="1" si="19"/>
        <v>0.49912735430319854</v>
      </c>
    </row>
    <row r="442" spans="3:5" x14ac:dyDescent="0.2">
      <c r="C442" s="6">
        <f t="shared" ca="1" si="18"/>
        <v>1.1715010570971165</v>
      </c>
      <c r="E442" s="6">
        <f t="shared" ca="1" si="19"/>
        <v>0.87930128341651337</v>
      </c>
    </row>
    <row r="443" spans="3:5" x14ac:dyDescent="0.2">
      <c r="C443" s="6">
        <f t="shared" ca="1" si="18"/>
        <v>0.29549672298629959</v>
      </c>
      <c r="E443" s="6">
        <f t="shared" ca="1" si="19"/>
        <v>0.61619277234116498</v>
      </c>
    </row>
    <row r="444" spans="3:5" x14ac:dyDescent="0.2">
      <c r="C444" s="6">
        <f t="shared" ca="1" si="18"/>
        <v>-1.4354000956410344</v>
      </c>
      <c r="E444" s="6">
        <f t="shared" ca="1" si="19"/>
        <v>7.5586559386301322E-2</v>
      </c>
    </row>
    <row r="445" spans="3:5" x14ac:dyDescent="0.2">
      <c r="C445" s="6">
        <f t="shared" ca="1" si="18"/>
        <v>0.49653459269925276</v>
      </c>
      <c r="E445" s="6">
        <f t="shared" ca="1" si="19"/>
        <v>0.6902413563623343</v>
      </c>
    </row>
    <row r="446" spans="3:5" x14ac:dyDescent="0.2">
      <c r="C446" s="6">
        <f t="shared" ca="1" si="18"/>
        <v>0.48959022411136566</v>
      </c>
      <c r="E446" s="6">
        <f t="shared" ca="1" si="19"/>
        <v>0.68778805225150286</v>
      </c>
    </row>
    <row r="447" spans="3:5" x14ac:dyDescent="0.2">
      <c r="C447" s="6">
        <f t="shared" ca="1" si="18"/>
        <v>-0.24079623699385524</v>
      </c>
      <c r="E447" s="6">
        <f t="shared" ca="1" si="19"/>
        <v>0.40485652313410048</v>
      </c>
    </row>
    <row r="448" spans="3:5" x14ac:dyDescent="0.2">
      <c r="C448" s="6">
        <f t="shared" ca="1" si="18"/>
        <v>1.5302581960714272</v>
      </c>
      <c r="E448" s="6">
        <f t="shared" ca="1" si="19"/>
        <v>0.93702358429077648</v>
      </c>
    </row>
    <row r="449" spans="3:5" x14ac:dyDescent="0.2">
      <c r="C449" s="6">
        <f t="shared" ca="1" si="18"/>
        <v>0.77552846096454997</v>
      </c>
      <c r="E449" s="6">
        <f t="shared" ca="1" si="19"/>
        <v>0.78098627274527377</v>
      </c>
    </row>
    <row r="450" spans="3:5" x14ac:dyDescent="0.2">
      <c r="C450" s="6">
        <f t="shared" ca="1" si="18"/>
        <v>-0.3352043857942163</v>
      </c>
      <c r="E450" s="6">
        <f t="shared" ca="1" si="19"/>
        <v>0.36873545692380316</v>
      </c>
    </row>
    <row r="451" spans="3:5" x14ac:dyDescent="0.2">
      <c r="C451" s="6">
        <f t="shared" ref="C451:C511" ca="1" si="20">_xlfn.NORM.S.INV(E451)</f>
        <v>0.30855339121844699</v>
      </c>
      <c r="E451" s="6">
        <f t="shared" ref="E451:E511" ca="1" si="21">RAND()</f>
        <v>0.62116935987963184</v>
      </c>
    </row>
    <row r="452" spans="3:5" x14ac:dyDescent="0.2">
      <c r="C452" s="6">
        <f t="shared" ca="1" si="20"/>
        <v>0.16233569393523245</v>
      </c>
      <c r="E452" s="6">
        <f t="shared" ca="1" si="21"/>
        <v>0.56447924612116884</v>
      </c>
    </row>
    <row r="453" spans="3:5" x14ac:dyDescent="0.2">
      <c r="C453" s="6">
        <f t="shared" ca="1" si="20"/>
        <v>-1.1060471048935991</v>
      </c>
      <c r="E453" s="6">
        <f t="shared" ca="1" si="21"/>
        <v>0.1343530657381834</v>
      </c>
    </row>
    <row r="454" spans="3:5" x14ac:dyDescent="0.2">
      <c r="C454" s="6">
        <f t="shared" ca="1" si="20"/>
        <v>1.2349976929311131</v>
      </c>
      <c r="E454" s="6">
        <f t="shared" ca="1" si="21"/>
        <v>0.8915843186183755</v>
      </c>
    </row>
    <row r="455" spans="3:5" x14ac:dyDescent="0.2">
      <c r="C455" s="6">
        <f t="shared" ca="1" si="20"/>
        <v>-1.1431172969129269</v>
      </c>
      <c r="E455" s="6">
        <f t="shared" ca="1" si="21"/>
        <v>0.1264949468316674</v>
      </c>
    </row>
    <row r="456" spans="3:5" x14ac:dyDescent="0.2">
      <c r="C456" s="6">
        <f t="shared" ca="1" si="20"/>
        <v>-9.2831785932179514E-2</v>
      </c>
      <c r="E456" s="6">
        <f t="shared" ca="1" si="21"/>
        <v>0.4630185992572915</v>
      </c>
    </row>
    <row r="457" spans="3:5" x14ac:dyDescent="0.2">
      <c r="C457" s="6">
        <f t="shared" ca="1" si="20"/>
        <v>-0.88425929753494659</v>
      </c>
      <c r="E457" s="6">
        <f t="shared" ca="1" si="21"/>
        <v>0.18827812742942651</v>
      </c>
    </row>
    <row r="458" spans="3:5" x14ac:dyDescent="0.2">
      <c r="C458" s="6">
        <f t="shared" ca="1" si="20"/>
        <v>-0.82948389681457779</v>
      </c>
      <c r="E458" s="6">
        <f t="shared" ca="1" si="21"/>
        <v>0.20341532259791284</v>
      </c>
    </row>
    <row r="459" spans="3:5" x14ac:dyDescent="0.2">
      <c r="C459" s="6">
        <f t="shared" ca="1" si="20"/>
        <v>0.6222964827878078</v>
      </c>
      <c r="E459" s="6">
        <f t="shared" ca="1" si="21"/>
        <v>0.73312653324351607</v>
      </c>
    </row>
    <row r="460" spans="3:5" x14ac:dyDescent="0.2">
      <c r="C460" s="6">
        <f t="shared" ca="1" si="20"/>
        <v>0.21104180988433427</v>
      </c>
      <c r="E460" s="6">
        <f t="shared" ca="1" si="21"/>
        <v>0.58357267678410896</v>
      </c>
    </row>
    <row r="461" spans="3:5" x14ac:dyDescent="0.2">
      <c r="C461" s="6">
        <f t="shared" ca="1" si="20"/>
        <v>-0.8656390598101481</v>
      </c>
      <c r="E461" s="6">
        <f t="shared" ca="1" si="21"/>
        <v>0.19334406427860018</v>
      </c>
    </row>
    <row r="462" spans="3:5" x14ac:dyDescent="0.2">
      <c r="C462" s="6">
        <f t="shared" ca="1" si="20"/>
        <v>0.28756740616444715</v>
      </c>
      <c r="E462" s="6">
        <f t="shared" ca="1" si="21"/>
        <v>0.6131610512407214</v>
      </c>
    </row>
    <row r="463" spans="3:5" x14ac:dyDescent="0.2">
      <c r="C463" s="6">
        <f t="shared" ca="1" si="20"/>
        <v>0.51639614538435363</v>
      </c>
      <c r="E463" s="6">
        <f t="shared" ca="1" si="21"/>
        <v>0.69721112129298402</v>
      </c>
    </row>
    <row r="464" spans="3:5" x14ac:dyDescent="0.2">
      <c r="C464" s="6">
        <f t="shared" ca="1" si="20"/>
        <v>1.0916182356414106</v>
      </c>
      <c r="E464" s="6">
        <f t="shared" ca="1" si="21"/>
        <v>0.86249953129963108</v>
      </c>
    </row>
    <row r="465" spans="3:5" x14ac:dyDescent="0.2">
      <c r="C465" s="6">
        <f t="shared" ca="1" si="20"/>
        <v>-1.8006106846636791</v>
      </c>
      <c r="E465" s="6">
        <f t="shared" ca="1" si="21"/>
        <v>3.5882131954347307E-2</v>
      </c>
    </row>
    <row r="466" spans="3:5" x14ac:dyDescent="0.2">
      <c r="C466" s="6">
        <f t="shared" ca="1" si="20"/>
        <v>1.2201141485589557</v>
      </c>
      <c r="E466" s="6">
        <f t="shared" ca="1" si="21"/>
        <v>0.88878919712401061</v>
      </c>
    </row>
    <row r="467" spans="3:5" x14ac:dyDescent="0.2">
      <c r="C467" s="6">
        <f t="shared" ca="1" si="20"/>
        <v>-0.70329012051881035</v>
      </c>
      <c r="E467" s="6">
        <f t="shared" ca="1" si="21"/>
        <v>0.24093748313282803</v>
      </c>
    </row>
    <row r="468" spans="3:5" x14ac:dyDescent="0.2">
      <c r="C468" s="6">
        <f t="shared" ca="1" si="20"/>
        <v>-1.0414142498394534</v>
      </c>
      <c r="E468" s="6">
        <f t="shared" ca="1" si="21"/>
        <v>0.14884166592158321</v>
      </c>
    </row>
    <row r="469" spans="3:5" x14ac:dyDescent="0.2">
      <c r="C469" s="6">
        <f t="shared" ca="1" si="20"/>
        <v>1.2097823784023665</v>
      </c>
      <c r="E469" s="6">
        <f t="shared" ca="1" si="21"/>
        <v>0.88681879514524564</v>
      </c>
    </row>
    <row r="470" spans="3:5" x14ac:dyDescent="0.2">
      <c r="C470" s="6">
        <f t="shared" ca="1" si="20"/>
        <v>-0.30215766185858201</v>
      </c>
      <c r="E470" s="6">
        <f t="shared" ca="1" si="21"/>
        <v>0.38126593878195558</v>
      </c>
    </row>
    <row r="471" spans="3:5" x14ac:dyDescent="0.2">
      <c r="C471" s="6">
        <f t="shared" ca="1" si="20"/>
        <v>-0.60493908649551298</v>
      </c>
      <c r="E471" s="6">
        <f t="shared" ca="1" si="21"/>
        <v>0.27260973554525536</v>
      </c>
    </row>
    <row r="472" spans="3:5" x14ac:dyDescent="0.2">
      <c r="C472" s="6">
        <f t="shared" ca="1" si="20"/>
        <v>7.1361392979950575E-2</v>
      </c>
      <c r="E472" s="6">
        <f t="shared" ca="1" si="21"/>
        <v>0.52844493240991752</v>
      </c>
    </row>
    <row r="473" spans="3:5" x14ac:dyDescent="0.2">
      <c r="C473" s="6">
        <f t="shared" ca="1" si="20"/>
        <v>-1.1025436113559326</v>
      </c>
      <c r="E473" s="6">
        <f t="shared" ca="1" si="21"/>
        <v>0.13511270477076531</v>
      </c>
    </row>
    <row r="474" spans="3:5" x14ac:dyDescent="0.2">
      <c r="C474" s="6">
        <f t="shared" ca="1" si="20"/>
        <v>-1.3417527972653172</v>
      </c>
      <c r="E474" s="6">
        <f t="shared" ca="1" si="21"/>
        <v>8.9838080901811668E-2</v>
      </c>
    </row>
    <row r="475" spans="3:5" x14ac:dyDescent="0.2">
      <c r="C475" s="6">
        <f t="shared" ca="1" si="20"/>
        <v>1.3747083292002444</v>
      </c>
      <c r="E475" s="6">
        <f t="shared" ca="1" si="21"/>
        <v>0.9153890560304685</v>
      </c>
    </row>
    <row r="476" spans="3:5" x14ac:dyDescent="0.2">
      <c r="C476" s="6">
        <f t="shared" ca="1" si="20"/>
        <v>-0.83855929096365212</v>
      </c>
      <c r="E476" s="6">
        <f t="shared" ca="1" si="21"/>
        <v>0.20085833147606424</v>
      </c>
    </row>
    <row r="477" spans="3:5" x14ac:dyDescent="0.2">
      <c r="C477" s="6">
        <f t="shared" ca="1" si="20"/>
        <v>1.0035072497379451</v>
      </c>
      <c r="E477" s="6">
        <f t="shared" ca="1" si="21"/>
        <v>0.84219190961492085</v>
      </c>
    </row>
    <row r="478" spans="3:5" x14ac:dyDescent="0.2">
      <c r="C478" s="6">
        <f t="shared" ca="1" si="20"/>
        <v>-0.62159480709162662</v>
      </c>
      <c r="E478" s="6">
        <f t="shared" ca="1" si="21"/>
        <v>0.26710416823814531</v>
      </c>
    </row>
    <row r="479" spans="3:5" x14ac:dyDescent="0.2">
      <c r="C479" s="6">
        <f t="shared" ca="1" si="20"/>
        <v>0.36061014643681183</v>
      </c>
      <c r="E479" s="6">
        <f t="shared" ca="1" si="21"/>
        <v>0.64080454837341727</v>
      </c>
    </row>
    <row r="480" spans="3:5" x14ac:dyDescent="0.2">
      <c r="C480" s="6">
        <f t="shared" ca="1" si="20"/>
        <v>-0.73964347824629539</v>
      </c>
      <c r="E480" s="6">
        <f t="shared" ca="1" si="21"/>
        <v>0.22975817631161255</v>
      </c>
    </row>
    <row r="481" spans="3:5" x14ac:dyDescent="0.2">
      <c r="C481" s="6">
        <f t="shared" ca="1" si="20"/>
        <v>-0.71237356845678512</v>
      </c>
      <c r="E481" s="6">
        <f t="shared" ca="1" si="21"/>
        <v>0.2381167392434177</v>
      </c>
    </row>
    <row r="482" spans="3:5" x14ac:dyDescent="0.2">
      <c r="C482" s="6">
        <f t="shared" ca="1" si="20"/>
        <v>0.15517693944587643</v>
      </c>
      <c r="E482" s="6">
        <f t="shared" ca="1" si="21"/>
        <v>0.56165908614328519</v>
      </c>
    </row>
    <row r="483" spans="3:5" x14ac:dyDescent="0.2">
      <c r="C483" s="6">
        <f t="shared" ca="1" si="20"/>
        <v>-0.42391020725417328</v>
      </c>
      <c r="E483" s="6">
        <f t="shared" ca="1" si="21"/>
        <v>0.33581564988992862</v>
      </c>
    </row>
    <row r="484" spans="3:5" x14ac:dyDescent="0.2">
      <c r="C484" s="6">
        <f t="shared" ca="1" si="20"/>
        <v>0.26872013591888155</v>
      </c>
      <c r="E484" s="6">
        <f t="shared" ca="1" si="21"/>
        <v>0.60592747233597999</v>
      </c>
    </row>
    <row r="485" spans="3:5" x14ac:dyDescent="0.2">
      <c r="C485" s="6">
        <f t="shared" ca="1" si="20"/>
        <v>-0.71642625700849627</v>
      </c>
      <c r="E485" s="6">
        <f t="shared" ca="1" si="21"/>
        <v>0.23686409336766201</v>
      </c>
    </row>
    <row r="486" spans="3:5" x14ac:dyDescent="0.2">
      <c r="C486" s="6">
        <f t="shared" ca="1" si="20"/>
        <v>-0.18137666717557244</v>
      </c>
      <c r="E486" s="6">
        <f t="shared" ca="1" si="21"/>
        <v>0.42803596600978966</v>
      </c>
    </row>
    <row r="487" spans="3:5" x14ac:dyDescent="0.2">
      <c r="C487" s="6">
        <f t="shared" ca="1" si="20"/>
        <v>0.63547266474589603</v>
      </c>
      <c r="E487" s="6">
        <f t="shared" ca="1" si="21"/>
        <v>0.73743990536488102</v>
      </c>
    </row>
    <row r="488" spans="3:5" x14ac:dyDescent="0.2">
      <c r="C488" s="6">
        <f t="shared" ca="1" si="20"/>
        <v>0.19626906328117311</v>
      </c>
      <c r="E488" s="6">
        <f t="shared" ca="1" si="21"/>
        <v>0.5778002128176617</v>
      </c>
    </row>
    <row r="489" spans="3:5" x14ac:dyDescent="0.2">
      <c r="C489" s="6">
        <f t="shared" ca="1" si="20"/>
        <v>-1.6929080537001149</v>
      </c>
      <c r="E489" s="6">
        <f t="shared" ca="1" si="21"/>
        <v>4.5236485054890974E-2</v>
      </c>
    </row>
    <row r="490" spans="3:5" x14ac:dyDescent="0.2">
      <c r="C490" s="6">
        <f t="shared" ca="1" si="20"/>
        <v>1.0671158929586007</v>
      </c>
      <c r="E490" s="6">
        <f t="shared" ca="1" si="21"/>
        <v>0.85704024701605397</v>
      </c>
    </row>
    <row r="491" spans="3:5" x14ac:dyDescent="0.2">
      <c r="C491" s="6">
        <f t="shared" ca="1" si="20"/>
        <v>-5.7899933171128379E-3</v>
      </c>
      <c r="E491" s="6">
        <f t="shared" ca="1" si="21"/>
        <v>0.49769013976853693</v>
      </c>
    </row>
    <row r="492" spans="3:5" x14ac:dyDescent="0.2">
      <c r="C492" s="6">
        <f t="shared" ca="1" si="20"/>
        <v>-6.1239684067835851E-2</v>
      </c>
      <c r="E492" s="6">
        <f t="shared" ca="1" si="21"/>
        <v>0.47558416285442395</v>
      </c>
    </row>
    <row r="493" spans="3:5" x14ac:dyDescent="0.2">
      <c r="C493" s="6">
        <f t="shared" ca="1" si="20"/>
        <v>-0.54775320620409318</v>
      </c>
      <c r="E493" s="6">
        <f t="shared" ca="1" si="21"/>
        <v>0.29193068654386123</v>
      </c>
    </row>
    <row r="494" spans="3:5" x14ac:dyDescent="0.2">
      <c r="C494" s="6">
        <f t="shared" ca="1" si="20"/>
        <v>9.5014860757185238E-2</v>
      </c>
      <c r="E494" s="6">
        <f t="shared" ca="1" si="21"/>
        <v>0.53784848842689326</v>
      </c>
    </row>
    <row r="495" spans="3:5" x14ac:dyDescent="0.2">
      <c r="C495" s="6">
        <f t="shared" ca="1" si="20"/>
        <v>-1.0482464845645065</v>
      </c>
      <c r="E495" s="6">
        <f t="shared" ca="1" si="21"/>
        <v>0.14726252937274364</v>
      </c>
    </row>
    <row r="496" spans="3:5" x14ac:dyDescent="0.2">
      <c r="C496" s="6">
        <f t="shared" ca="1" si="20"/>
        <v>0.59708665324449473</v>
      </c>
      <c r="E496" s="6">
        <f t="shared" ca="1" si="21"/>
        <v>0.72477523583265258</v>
      </c>
    </row>
    <row r="497" spans="3:5" x14ac:dyDescent="0.2">
      <c r="C497" s="6">
        <f t="shared" ca="1" si="20"/>
        <v>0.64053895227225632</v>
      </c>
      <c r="E497" s="6">
        <f t="shared" ca="1" si="21"/>
        <v>0.73908886313336486</v>
      </c>
    </row>
    <row r="498" spans="3:5" x14ac:dyDescent="0.2">
      <c r="C498" s="6">
        <f t="shared" ca="1" si="20"/>
        <v>-0.45193396881800335</v>
      </c>
      <c r="E498" s="6">
        <f t="shared" ca="1" si="21"/>
        <v>0.32565827613336795</v>
      </c>
    </row>
    <row r="499" spans="3:5" x14ac:dyDescent="0.2">
      <c r="C499" s="6">
        <f t="shared" ca="1" si="20"/>
        <v>-1.3429427570068682</v>
      </c>
      <c r="E499" s="6">
        <f t="shared" ca="1" si="21"/>
        <v>8.9645255043777183E-2</v>
      </c>
    </row>
    <row r="500" spans="3:5" x14ac:dyDescent="0.2">
      <c r="C500" s="6">
        <f t="shared" ca="1" si="20"/>
        <v>0.55000465281553812</v>
      </c>
      <c r="E500" s="6">
        <f t="shared" ca="1" si="21"/>
        <v>0.70884190886410925</v>
      </c>
    </row>
    <row r="501" spans="3:5" x14ac:dyDescent="0.2">
      <c r="C501" s="6">
        <f t="shared" ca="1" si="20"/>
        <v>0.34904463022955451</v>
      </c>
      <c r="E501" s="6">
        <f t="shared" ca="1" si="21"/>
        <v>0.63647209800300231</v>
      </c>
    </row>
    <row r="502" spans="3:5" x14ac:dyDescent="0.2">
      <c r="C502" s="6">
        <f t="shared" ca="1" si="20"/>
        <v>-0.66078356567149132</v>
      </c>
      <c r="E502" s="6">
        <f t="shared" ca="1" si="21"/>
        <v>0.25437556183478294</v>
      </c>
    </row>
    <row r="503" spans="3:5" x14ac:dyDescent="0.2">
      <c r="C503" s="6">
        <f t="shared" ca="1" si="20"/>
        <v>0.35358860295946881</v>
      </c>
      <c r="E503" s="6">
        <f t="shared" ca="1" si="21"/>
        <v>0.63817639159642048</v>
      </c>
    </row>
    <row r="504" spans="3:5" x14ac:dyDescent="0.2">
      <c r="C504" s="6">
        <f t="shared" ca="1" si="20"/>
        <v>0.76410460447211648</v>
      </c>
      <c r="E504" s="6">
        <f t="shared" ca="1" si="21"/>
        <v>0.77759754569957251</v>
      </c>
    </row>
    <row r="505" spans="3:5" x14ac:dyDescent="0.2">
      <c r="C505" s="6">
        <f t="shared" ca="1" si="20"/>
        <v>0.2488726021302653</v>
      </c>
      <c r="E505" s="6">
        <f t="shared" ca="1" si="21"/>
        <v>0.59827033552518782</v>
      </c>
    </row>
    <row r="506" spans="3:5" x14ac:dyDescent="0.2">
      <c r="C506" s="6">
        <f t="shared" ca="1" si="20"/>
        <v>1.1350878698788796</v>
      </c>
      <c r="E506" s="6">
        <f t="shared" ca="1" si="21"/>
        <v>0.87183074827413065</v>
      </c>
    </row>
    <row r="507" spans="3:5" x14ac:dyDescent="0.2">
      <c r="C507" s="6">
        <f t="shared" ca="1" si="20"/>
        <v>-0.92975179128687002</v>
      </c>
      <c r="E507" s="6">
        <f t="shared" ca="1" si="21"/>
        <v>0.17624980606881224</v>
      </c>
    </row>
    <row r="508" spans="3:5" x14ac:dyDescent="0.2">
      <c r="C508" s="6">
        <f t="shared" ca="1" si="20"/>
        <v>-1.7359114857858071</v>
      </c>
      <c r="E508" s="6">
        <f t="shared" ca="1" si="21"/>
        <v>4.1289743296485382E-2</v>
      </c>
    </row>
    <row r="509" spans="3:5" x14ac:dyDescent="0.2">
      <c r="C509" s="6">
        <f t="shared" ca="1" si="20"/>
        <v>-0.61273598250828698</v>
      </c>
      <c r="E509" s="6">
        <f t="shared" ca="1" si="21"/>
        <v>0.27002546311907605</v>
      </c>
    </row>
    <row r="510" spans="3:5" x14ac:dyDescent="0.2">
      <c r="C510" s="6">
        <f t="shared" ca="1" si="20"/>
        <v>1.9265401653682437</v>
      </c>
      <c r="E510" s="6">
        <f t="shared" ca="1" si="21"/>
        <v>0.97298151917012032</v>
      </c>
    </row>
    <row r="511" spans="3:5" x14ac:dyDescent="0.2">
      <c r="C511" s="6">
        <f t="shared" ca="1" si="20"/>
        <v>-0.62068290022318595</v>
      </c>
      <c r="E511" s="6">
        <f t="shared" ca="1" si="21"/>
        <v>0.26740414126936329</v>
      </c>
    </row>
    <row r="512" spans="3:5" x14ac:dyDescent="0.2">
      <c r="E512" s="6"/>
    </row>
    <row r="513" spans="5:5" x14ac:dyDescent="0.2">
      <c r="E513" s="6"/>
    </row>
    <row r="514" spans="5:5" x14ac:dyDescent="0.2">
      <c r="E514" s="6"/>
    </row>
    <row r="515" spans="5:5" x14ac:dyDescent="0.2">
      <c r="E515" s="6"/>
    </row>
    <row r="516" spans="5:5" x14ac:dyDescent="0.2">
      <c r="E516" s="6"/>
    </row>
    <row r="517" spans="5:5" x14ac:dyDescent="0.2">
      <c r="E517" s="6"/>
    </row>
    <row r="518" spans="5:5" x14ac:dyDescent="0.2">
      <c r="E518" s="6"/>
    </row>
    <row r="519" spans="5:5" x14ac:dyDescent="0.2">
      <c r="E519" s="6"/>
    </row>
    <row r="520" spans="5:5" x14ac:dyDescent="0.2">
      <c r="E520" s="6"/>
    </row>
    <row r="521" spans="5:5" x14ac:dyDescent="0.2">
      <c r="E521" s="6"/>
    </row>
    <row r="522" spans="5:5" x14ac:dyDescent="0.2">
      <c r="E522" s="6"/>
    </row>
    <row r="523" spans="5:5" x14ac:dyDescent="0.2">
      <c r="E523" s="6"/>
    </row>
    <row r="524" spans="5:5" x14ac:dyDescent="0.2">
      <c r="E524" s="6"/>
    </row>
    <row r="525" spans="5:5" x14ac:dyDescent="0.2">
      <c r="E525" s="6"/>
    </row>
    <row r="526" spans="5:5" x14ac:dyDescent="0.2">
      <c r="E526" s="6"/>
    </row>
    <row r="527" spans="5:5" x14ac:dyDescent="0.2">
      <c r="E527" s="6"/>
    </row>
    <row r="528" spans="5:5" x14ac:dyDescent="0.2">
      <c r="E528" s="6"/>
    </row>
    <row r="529" spans="5:5" x14ac:dyDescent="0.2">
      <c r="E529" s="6"/>
    </row>
    <row r="530" spans="5:5" x14ac:dyDescent="0.2">
      <c r="E530" s="6"/>
    </row>
    <row r="531" spans="5:5" x14ac:dyDescent="0.2">
      <c r="E531" s="6"/>
    </row>
    <row r="532" spans="5:5" x14ac:dyDescent="0.2">
      <c r="E532" s="6"/>
    </row>
    <row r="533" spans="5:5" x14ac:dyDescent="0.2">
      <c r="E533" s="6"/>
    </row>
    <row r="534" spans="5:5" x14ac:dyDescent="0.2">
      <c r="E534" s="6"/>
    </row>
    <row r="535" spans="5:5" x14ac:dyDescent="0.2">
      <c r="E535" s="6"/>
    </row>
    <row r="536" spans="5:5" x14ac:dyDescent="0.2">
      <c r="E536" s="6"/>
    </row>
    <row r="537" spans="5:5" x14ac:dyDescent="0.2">
      <c r="E537" s="6"/>
    </row>
    <row r="538" spans="5:5" x14ac:dyDescent="0.2">
      <c r="E538" s="6"/>
    </row>
    <row r="539" spans="5:5" x14ac:dyDescent="0.2">
      <c r="E539" s="6"/>
    </row>
    <row r="540" spans="5:5" x14ac:dyDescent="0.2">
      <c r="E540" s="6"/>
    </row>
    <row r="541" spans="5:5" x14ac:dyDescent="0.2">
      <c r="E541" s="6"/>
    </row>
    <row r="542" spans="5:5" x14ac:dyDescent="0.2">
      <c r="E542" s="6"/>
    </row>
    <row r="543" spans="5:5" x14ac:dyDescent="0.2">
      <c r="E543" s="6"/>
    </row>
    <row r="544" spans="5:5" x14ac:dyDescent="0.2">
      <c r="E544" s="6"/>
    </row>
    <row r="545" spans="5:5" x14ac:dyDescent="0.2">
      <c r="E545" s="6"/>
    </row>
    <row r="546" spans="5:5" x14ac:dyDescent="0.2">
      <c r="E546" s="6"/>
    </row>
    <row r="547" spans="5:5" x14ac:dyDescent="0.2">
      <c r="E547" s="6"/>
    </row>
    <row r="548" spans="5:5" x14ac:dyDescent="0.2">
      <c r="E548" s="6"/>
    </row>
    <row r="549" spans="5:5" x14ac:dyDescent="0.2">
      <c r="E549" s="6"/>
    </row>
    <row r="550" spans="5:5" x14ac:dyDescent="0.2">
      <c r="E550" s="6"/>
    </row>
    <row r="551" spans="5:5" x14ac:dyDescent="0.2">
      <c r="E551" s="6"/>
    </row>
    <row r="552" spans="5:5" x14ac:dyDescent="0.2">
      <c r="E552" s="6"/>
    </row>
    <row r="553" spans="5:5" x14ac:dyDescent="0.2">
      <c r="E553" s="6"/>
    </row>
    <row r="554" spans="5:5" x14ac:dyDescent="0.2">
      <c r="E554" s="6"/>
    </row>
    <row r="555" spans="5:5" x14ac:dyDescent="0.2">
      <c r="E555" s="6"/>
    </row>
    <row r="556" spans="5:5" x14ac:dyDescent="0.2">
      <c r="E556" s="6"/>
    </row>
    <row r="557" spans="5:5" x14ac:dyDescent="0.2">
      <c r="E557" s="6"/>
    </row>
    <row r="558" spans="5:5" x14ac:dyDescent="0.2">
      <c r="E558" s="6"/>
    </row>
    <row r="559" spans="5:5" x14ac:dyDescent="0.2">
      <c r="E559" s="6"/>
    </row>
    <row r="560" spans="5:5" x14ac:dyDescent="0.2">
      <c r="E560" s="6"/>
    </row>
    <row r="561" spans="5:5" x14ac:dyDescent="0.2">
      <c r="E561" s="6"/>
    </row>
    <row r="562" spans="5:5" x14ac:dyDescent="0.2">
      <c r="E562" s="6"/>
    </row>
    <row r="563" spans="5:5" x14ac:dyDescent="0.2">
      <c r="E563" s="6"/>
    </row>
    <row r="564" spans="5:5" x14ac:dyDescent="0.2">
      <c r="E564" s="6"/>
    </row>
    <row r="565" spans="5:5" x14ac:dyDescent="0.2">
      <c r="E565" s="6"/>
    </row>
    <row r="566" spans="5:5" x14ac:dyDescent="0.2">
      <c r="E566" s="6"/>
    </row>
    <row r="567" spans="5:5" x14ac:dyDescent="0.2">
      <c r="E567" s="6"/>
    </row>
    <row r="568" spans="5:5" x14ac:dyDescent="0.2">
      <c r="E568" s="6"/>
    </row>
    <row r="569" spans="5:5" x14ac:dyDescent="0.2">
      <c r="E569" s="6"/>
    </row>
    <row r="570" spans="5:5" x14ac:dyDescent="0.2">
      <c r="E570" s="6"/>
    </row>
    <row r="571" spans="5:5" x14ac:dyDescent="0.2">
      <c r="E571" s="6"/>
    </row>
    <row r="572" spans="5:5" x14ac:dyDescent="0.2">
      <c r="E572" s="6"/>
    </row>
    <row r="573" spans="5:5" x14ac:dyDescent="0.2">
      <c r="E573" s="6"/>
    </row>
    <row r="574" spans="5:5" x14ac:dyDescent="0.2">
      <c r="E574" s="6"/>
    </row>
    <row r="575" spans="5:5" x14ac:dyDescent="0.2">
      <c r="E575" s="6"/>
    </row>
    <row r="576" spans="5:5" x14ac:dyDescent="0.2">
      <c r="E576" s="6"/>
    </row>
    <row r="577" spans="5:5" x14ac:dyDescent="0.2">
      <c r="E577" s="6"/>
    </row>
    <row r="578" spans="5:5" x14ac:dyDescent="0.2">
      <c r="E578" s="6"/>
    </row>
    <row r="579" spans="5:5" x14ac:dyDescent="0.2">
      <c r="E579" s="6"/>
    </row>
    <row r="580" spans="5:5" x14ac:dyDescent="0.2">
      <c r="E580" s="6"/>
    </row>
    <row r="581" spans="5:5" x14ac:dyDescent="0.2">
      <c r="E581" s="6"/>
    </row>
    <row r="582" spans="5:5" x14ac:dyDescent="0.2">
      <c r="E582" s="6"/>
    </row>
    <row r="583" spans="5:5" x14ac:dyDescent="0.2">
      <c r="E583" s="6"/>
    </row>
    <row r="584" spans="5:5" x14ac:dyDescent="0.2">
      <c r="E584" s="6"/>
    </row>
    <row r="585" spans="5:5" x14ac:dyDescent="0.2">
      <c r="E585" s="6"/>
    </row>
    <row r="586" spans="5:5" x14ac:dyDescent="0.2">
      <c r="E586" s="6"/>
    </row>
    <row r="587" spans="5:5" x14ac:dyDescent="0.2">
      <c r="E587" s="6"/>
    </row>
    <row r="588" spans="5:5" x14ac:dyDescent="0.2">
      <c r="E588" s="6"/>
    </row>
    <row r="589" spans="5:5" x14ac:dyDescent="0.2">
      <c r="E589" s="6"/>
    </row>
    <row r="590" spans="5:5" x14ac:dyDescent="0.2">
      <c r="E590" s="6"/>
    </row>
    <row r="591" spans="5:5" x14ac:dyDescent="0.2">
      <c r="E591" s="6"/>
    </row>
    <row r="592" spans="5:5" x14ac:dyDescent="0.2">
      <c r="E592" s="6"/>
    </row>
    <row r="593" spans="5:5" x14ac:dyDescent="0.2">
      <c r="E593" s="6"/>
    </row>
    <row r="594" spans="5:5" x14ac:dyDescent="0.2">
      <c r="E594" s="6"/>
    </row>
    <row r="595" spans="5:5" x14ac:dyDescent="0.2">
      <c r="E595" s="6"/>
    </row>
    <row r="596" spans="5:5" x14ac:dyDescent="0.2">
      <c r="E596" s="6"/>
    </row>
    <row r="597" spans="5:5" x14ac:dyDescent="0.2">
      <c r="E597" s="6"/>
    </row>
    <row r="598" spans="5:5" x14ac:dyDescent="0.2">
      <c r="E598" s="6"/>
    </row>
    <row r="599" spans="5:5" x14ac:dyDescent="0.2">
      <c r="E599" s="6"/>
    </row>
    <row r="600" spans="5:5" x14ac:dyDescent="0.2">
      <c r="E600" s="6"/>
    </row>
    <row r="601" spans="5:5" x14ac:dyDescent="0.2">
      <c r="E601" s="6"/>
    </row>
    <row r="602" spans="5:5" x14ac:dyDescent="0.2">
      <c r="E602" s="6"/>
    </row>
    <row r="603" spans="5:5" x14ac:dyDescent="0.2">
      <c r="E603" s="6"/>
    </row>
    <row r="604" spans="5:5" x14ac:dyDescent="0.2">
      <c r="E604" s="6"/>
    </row>
    <row r="605" spans="5:5" x14ac:dyDescent="0.2">
      <c r="E605" s="6"/>
    </row>
    <row r="606" spans="5:5" x14ac:dyDescent="0.2">
      <c r="E606" s="6"/>
    </row>
    <row r="607" spans="5:5" x14ac:dyDescent="0.2">
      <c r="E607" s="6"/>
    </row>
    <row r="608" spans="5:5" x14ac:dyDescent="0.2">
      <c r="E608" s="6"/>
    </row>
    <row r="609" spans="5:5" x14ac:dyDescent="0.2">
      <c r="E609" s="6"/>
    </row>
    <row r="610" spans="5:5" x14ac:dyDescent="0.2">
      <c r="E610" s="6"/>
    </row>
    <row r="611" spans="5:5" x14ac:dyDescent="0.2">
      <c r="E611" s="6"/>
    </row>
    <row r="612" spans="5:5" x14ac:dyDescent="0.2">
      <c r="E612" s="6"/>
    </row>
    <row r="613" spans="5:5" x14ac:dyDescent="0.2">
      <c r="E613" s="6"/>
    </row>
    <row r="614" spans="5:5" x14ac:dyDescent="0.2">
      <c r="E614" s="6"/>
    </row>
    <row r="615" spans="5:5" x14ac:dyDescent="0.2">
      <c r="E615" s="6"/>
    </row>
    <row r="616" spans="5:5" x14ac:dyDescent="0.2">
      <c r="E616" s="6"/>
    </row>
    <row r="617" spans="5:5" x14ac:dyDescent="0.2">
      <c r="E617" s="6"/>
    </row>
    <row r="618" spans="5:5" x14ac:dyDescent="0.2">
      <c r="E618" s="6"/>
    </row>
    <row r="619" spans="5:5" x14ac:dyDescent="0.2">
      <c r="E619" s="6"/>
    </row>
    <row r="620" spans="5:5" x14ac:dyDescent="0.2">
      <c r="E620" s="6"/>
    </row>
    <row r="621" spans="5:5" x14ac:dyDescent="0.2">
      <c r="E621" s="6"/>
    </row>
    <row r="622" spans="5:5" x14ac:dyDescent="0.2">
      <c r="E622" s="6"/>
    </row>
    <row r="623" spans="5:5" x14ac:dyDescent="0.2">
      <c r="E623" s="6"/>
    </row>
    <row r="624" spans="5:5" x14ac:dyDescent="0.2">
      <c r="E624" s="6"/>
    </row>
    <row r="625" spans="5:5" x14ac:dyDescent="0.2">
      <c r="E625" s="6"/>
    </row>
  </sheetData>
  <pageMargins left="0.75" right="0.75" top="1" bottom="1" header="0.5" footer="0.5"/>
  <pageSetup orientation="portrait" horizontalDpi="4294967292" verticalDpi="4294967292"/>
  <ignoredErrors>
    <ignoredError sqref="I51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UAA US Equity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Evelyne Strechinsky</dc:creator>
  <cp:lastModifiedBy>nicolas</cp:lastModifiedBy>
  <dcterms:created xsi:type="dcterms:W3CDTF">2017-07-30T11:33:03Z</dcterms:created>
  <dcterms:modified xsi:type="dcterms:W3CDTF">2019-01-21T18:56:04Z</dcterms:modified>
</cp:coreProperties>
</file>