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8705" codeName="{00000000-0000-0000-0000-000000000000}"/>
  <workbookPr showInkAnnotation="0" codeName="ThisWorkbook" autoCompressPictures="0"/>
  <bookViews>
    <workbookView xWindow="-80" yWindow="0" windowWidth="27320" windowHeight="14900" tabRatio="500" activeTab="1"/>
  </bookViews>
  <sheets>
    <sheet name="Main" sheetId="8" r:id="rId1"/>
    <sheet name="Trade1" sheetId="1" r:id="rId2"/>
    <sheet name="Simulation" sheetId="9" r:id="rId3"/>
  </sheets>
  <definedNames>
    <definedName name="Account">#REF!</definedName>
    <definedName name="Amount">Trade1!$D$36</definedName>
    <definedName name="bump">Trade1!$H$14</definedName>
    <definedName name="C_0">#REF!</definedName>
    <definedName name="d_1">Trade1!$D$13</definedName>
    <definedName name="d_1_down">Trade1!$D$16</definedName>
    <definedName name="d_1_short">Trade1!$H$19</definedName>
    <definedName name="d_1_up">Trade1!$D$15</definedName>
    <definedName name="d_2">Trade1!$D$14</definedName>
    <definedName name="d_2_short">Trade1!$H$20</definedName>
    <definedName name="d1_volDown">Trade1!$D$28</definedName>
    <definedName name="d1_volUp">Trade1!$D$27</definedName>
    <definedName name="d2_volDown">Trade1!$E$28</definedName>
    <definedName name="d2_volUp">Trade1!$E$27</definedName>
    <definedName name="delta_down">Trade1!$D$21</definedName>
    <definedName name="delta_up">Trade1!$D$20</definedName>
    <definedName name="deltaCall">Trade1!$H$5</definedName>
    <definedName name="deltaPut">Trade1!$I$5</definedName>
    <definedName name="ExpiryDate">#REF!</definedName>
    <definedName name="GammaCall">Trade1!$H$6</definedName>
    <definedName name="GammaPut">Trade1!$I$6</definedName>
    <definedName name="K">Trade1!$D$6</definedName>
    <definedName name="mu">Simulation!#REF!</definedName>
    <definedName name="mu_d">Simulation!#REF!</definedName>
    <definedName name="Mult">Trade1!$E$36</definedName>
    <definedName name="PVCall">Trade1!$H$4</definedName>
    <definedName name="PVPut">Trade1!$I$4</definedName>
    <definedName name="q">Trade1!$D$10</definedName>
    <definedName name="r_dom">Trade1!$D$9</definedName>
    <definedName name="S_0" localSheetId="2">Simulation!#REF!</definedName>
    <definedName name="S_0">Trade1!$D$5</definedName>
    <definedName name="S_0_Down">Trade1!$H$16</definedName>
    <definedName name="S_0_Up">Trade1!$H$15</definedName>
    <definedName name="sigma" localSheetId="2">Simulation!#REF!</definedName>
    <definedName name="sigma">Trade1!$D$8</definedName>
    <definedName name="sigma_d">Simulation!#REF!</definedName>
    <definedName name="sigma_down">Trade1!$H$26</definedName>
    <definedName name="sigma_up">Trade1!$H$25</definedName>
    <definedName name="T" localSheetId="2">Simulation!#REF!</definedName>
    <definedName name="T">Trade1!$D$7</definedName>
    <definedName name="T_d">Simulation!#REF!</definedName>
    <definedName name="ThetaC1d">Trade1!$H$10</definedName>
    <definedName name="ThetaCall">Trade1!$H$7</definedName>
    <definedName name="ThetaP1d">Trade1!$I$10</definedName>
    <definedName name="ThetaPut">Trade1!$I$7</definedName>
    <definedName name="TShort">Trade1!$H$18</definedName>
    <definedName name="ValueDate">#REF!</definedName>
    <definedName name="Vega" localSheetId="1">Trade1!$L$37</definedName>
    <definedName name="Vega">#REF!</definedName>
    <definedName name="VegaCall">Trade1!$H$8</definedName>
    <definedName name="VegaPut">Trade1!$I$8</definedName>
    <definedName name="vol_bump">Trade1!$H$24</definedName>
  </definedNames>
  <calcPr calcId="140001" concurrentCalc="0"/>
  <extLst>
    <ext xmlns:mx="http://schemas.microsoft.com/office/mac/excel/2008/main" uri="{7523E5D3-25F3-A5E0-1632-64F254C22452}">
      <mx:ArchID Flags="2"/>
    </ex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B2" i="1" l="1"/>
  <c r="D7" i="1"/>
  <c r="F2" i="1"/>
  <c r="E2" i="1"/>
  <c r="D13" i="1"/>
  <c r="H6" i="1"/>
  <c r="M36" i="1"/>
  <c r="I38" i="1"/>
  <c r="U38" i="1"/>
  <c r="P38" i="1"/>
  <c r="D38" i="1"/>
  <c r="Q38" i="1"/>
  <c r="I39" i="1"/>
  <c r="U39" i="1"/>
  <c r="P39" i="1"/>
  <c r="D39" i="1"/>
  <c r="Q39" i="1"/>
  <c r="I40" i="1"/>
  <c r="U40" i="1"/>
  <c r="P40" i="1"/>
  <c r="D40" i="1"/>
  <c r="Q40" i="1"/>
  <c r="I41" i="1"/>
  <c r="U41" i="1"/>
  <c r="P41" i="1"/>
  <c r="D41" i="1"/>
  <c r="Q41" i="1"/>
  <c r="I42" i="1"/>
  <c r="U42" i="1"/>
  <c r="P42" i="1"/>
  <c r="D42" i="1"/>
  <c r="Q42" i="1"/>
  <c r="I43" i="1"/>
  <c r="U43" i="1"/>
  <c r="P43" i="1"/>
  <c r="D43" i="1"/>
  <c r="Q43" i="1"/>
  <c r="I44" i="1"/>
  <c r="U44" i="1"/>
  <c r="P44" i="1"/>
  <c r="D44" i="1"/>
  <c r="Q44" i="1"/>
  <c r="I45" i="1"/>
  <c r="U45" i="1"/>
  <c r="P45" i="1"/>
  <c r="D45" i="1"/>
  <c r="Q45" i="1"/>
  <c r="I46" i="1"/>
  <c r="U46" i="1"/>
  <c r="P46" i="1"/>
  <c r="D46" i="1"/>
  <c r="Q46" i="1"/>
  <c r="I47" i="1"/>
  <c r="U47" i="1"/>
  <c r="P47" i="1"/>
  <c r="D47" i="1"/>
  <c r="Q47" i="1"/>
  <c r="I48" i="1"/>
  <c r="U48" i="1"/>
  <c r="P48" i="1"/>
  <c r="D48" i="1"/>
  <c r="Q48" i="1"/>
  <c r="I49" i="1"/>
  <c r="U49" i="1"/>
  <c r="P49" i="1"/>
  <c r="D49" i="1"/>
  <c r="Q49" i="1"/>
  <c r="I50" i="1"/>
  <c r="U50" i="1"/>
  <c r="P50" i="1"/>
  <c r="D50" i="1"/>
  <c r="B38" i="1"/>
  <c r="E38" i="1"/>
  <c r="K38" i="1"/>
  <c r="B39" i="1"/>
  <c r="E39" i="1"/>
  <c r="K39" i="1"/>
  <c r="B40" i="1"/>
  <c r="E40" i="1"/>
  <c r="K40" i="1"/>
  <c r="B41" i="1"/>
  <c r="E41" i="1"/>
  <c r="K41" i="1"/>
  <c r="B42" i="1"/>
  <c r="E42" i="1"/>
  <c r="K42" i="1"/>
  <c r="B43" i="1"/>
  <c r="E43" i="1"/>
  <c r="K43" i="1"/>
  <c r="B44" i="1"/>
  <c r="E44" i="1"/>
  <c r="K44" i="1"/>
  <c r="B45" i="1"/>
  <c r="E45" i="1"/>
  <c r="K45" i="1"/>
  <c r="B46" i="1"/>
  <c r="E46" i="1"/>
  <c r="K46" i="1"/>
  <c r="B47" i="1"/>
  <c r="E47" i="1"/>
  <c r="K47" i="1"/>
  <c r="B48" i="1"/>
  <c r="E48" i="1"/>
  <c r="K48" i="1"/>
  <c r="B49" i="1"/>
  <c r="E49" i="1"/>
  <c r="K49" i="1"/>
  <c r="Q50" i="1"/>
  <c r="Q37" i="1"/>
  <c r="U37" i="1"/>
  <c r="P37" i="1"/>
  <c r="R38" i="1"/>
  <c r="R39" i="1"/>
  <c r="R40" i="1"/>
  <c r="R41" i="1"/>
  <c r="R42" i="1"/>
  <c r="R43" i="1"/>
  <c r="R44" i="1"/>
  <c r="R45" i="1"/>
  <c r="R46" i="1"/>
  <c r="R47" i="1"/>
  <c r="R48" i="1"/>
  <c r="R49" i="1"/>
  <c r="B50" i="1"/>
  <c r="E50" i="1"/>
  <c r="K50" i="1"/>
  <c r="R50" i="1"/>
  <c r="R37" i="1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3" i="9"/>
  <c r="I37" i="1"/>
  <c r="B37" i="1"/>
  <c r="E37" i="1"/>
  <c r="K37" i="1"/>
  <c r="H5" i="1"/>
  <c r="K36" i="1"/>
  <c r="D14" i="1"/>
  <c r="H14" i="1"/>
  <c r="H15" i="1"/>
  <c r="D15" i="1"/>
  <c r="A39" i="1"/>
  <c r="A40" i="1"/>
  <c r="A41" i="1"/>
  <c r="A42" i="1"/>
  <c r="A43" i="1"/>
  <c r="A44" i="1"/>
  <c r="A45" i="1"/>
  <c r="A46" i="1"/>
  <c r="A47" i="1"/>
  <c r="A48" i="1"/>
  <c r="A49" i="1"/>
  <c r="A50" i="1"/>
  <c r="A38" i="1"/>
  <c r="A37" i="1"/>
  <c r="D18" i="1"/>
  <c r="H18" i="1"/>
  <c r="H19" i="1"/>
  <c r="H20" i="1"/>
  <c r="H21" i="1"/>
  <c r="H4" i="1"/>
  <c r="H10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K9" i="8"/>
  <c r="H8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J9" i="8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I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F9" i="8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G9" i="8"/>
  <c r="H9" i="8"/>
  <c r="C36" i="1"/>
  <c r="D9" i="8"/>
  <c r="H36" i="1"/>
  <c r="J36" i="1"/>
  <c r="H37" i="1"/>
  <c r="J37" i="1"/>
  <c r="H38" i="1"/>
  <c r="J38" i="1"/>
  <c r="H39" i="1"/>
  <c r="J39" i="1"/>
  <c r="H40" i="1"/>
  <c r="J40" i="1"/>
  <c r="H41" i="1"/>
  <c r="J41" i="1"/>
  <c r="H42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E9" i="8"/>
  <c r="G36" i="1"/>
  <c r="E36" i="1"/>
  <c r="D20" i="1"/>
  <c r="K20" i="1"/>
  <c r="H16" i="1"/>
  <c r="D16" i="1"/>
  <c r="D21" i="1"/>
  <c r="K21" i="1"/>
  <c r="K22" i="1"/>
  <c r="D22" i="1"/>
  <c r="K23" i="1"/>
  <c r="I8" i="1"/>
  <c r="I21" i="1"/>
  <c r="I4" i="1"/>
  <c r="I10" i="1"/>
  <c r="I7" i="1"/>
  <c r="H7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I6" i="1"/>
  <c r="H25" i="1"/>
  <c r="D27" i="1"/>
  <c r="E27" i="1"/>
  <c r="H28" i="1"/>
  <c r="H26" i="1"/>
  <c r="D28" i="1"/>
  <c r="E28" i="1"/>
  <c r="H29" i="1"/>
  <c r="I28" i="1"/>
  <c r="I29" i="1"/>
  <c r="F37" i="1"/>
  <c r="F39" i="1"/>
  <c r="F40" i="1"/>
  <c r="F41" i="1"/>
  <c r="F42" i="1"/>
  <c r="F43" i="1"/>
  <c r="F44" i="1"/>
  <c r="F45" i="1"/>
  <c r="F46" i="1"/>
  <c r="F47" i="1"/>
  <c r="F48" i="1"/>
  <c r="F49" i="1"/>
  <c r="F50" i="1"/>
  <c r="F36" i="1"/>
  <c r="G1" i="1"/>
  <c r="F31" i="8"/>
  <c r="G31" i="8"/>
  <c r="E31" i="8"/>
  <c r="E8" i="1"/>
  <c r="F38" i="1"/>
  <c r="I5" i="1"/>
</calcChain>
</file>

<file path=xl/sharedStrings.xml><?xml version="1.0" encoding="utf-8"?>
<sst xmlns="http://schemas.openxmlformats.org/spreadsheetml/2006/main" count="83" uniqueCount="74">
  <si>
    <t>Spot</t>
  </si>
  <si>
    <t>Strike</t>
  </si>
  <si>
    <t>Value Date</t>
  </si>
  <si>
    <t>Expiry Date</t>
  </si>
  <si>
    <t>Volatility</t>
  </si>
  <si>
    <t>Div. Yield</t>
  </si>
  <si>
    <t>Call</t>
  </si>
  <si>
    <t>Put</t>
  </si>
  <si>
    <t>PV</t>
  </si>
  <si>
    <t>Delta</t>
  </si>
  <si>
    <t>Gamma</t>
  </si>
  <si>
    <t>Theta</t>
  </si>
  <si>
    <t>Vega</t>
  </si>
  <si>
    <t>Expiry (years)</t>
  </si>
  <si>
    <t>Domestic Rate</t>
  </si>
  <si>
    <t>d1</t>
  </si>
  <si>
    <t>d2</t>
  </si>
  <si>
    <t>Spot Up</t>
  </si>
  <si>
    <t>Spot Down</t>
  </si>
  <si>
    <t>d1 Up</t>
  </si>
  <si>
    <t>d1 Down</t>
  </si>
  <si>
    <t>Bump</t>
  </si>
  <si>
    <t>Bump (% Spot)</t>
  </si>
  <si>
    <t>PV with 1 day less</t>
  </si>
  <si>
    <t>TShort</t>
  </si>
  <si>
    <t>d1 with 1 day less</t>
  </si>
  <si>
    <t>d2 with 1 day less</t>
  </si>
  <si>
    <t>Vol Bump</t>
  </si>
  <si>
    <t>Vol Up</t>
  </si>
  <si>
    <t>Vol Down</t>
  </si>
  <si>
    <t>PV Vol Up</t>
  </si>
  <si>
    <t>vol up</t>
  </si>
  <si>
    <t>vol down</t>
  </si>
  <si>
    <t>PV Vol Down</t>
  </si>
  <si>
    <t>Mkt Px</t>
  </si>
  <si>
    <t>P&amp;L</t>
  </si>
  <si>
    <t>Currency</t>
  </si>
  <si>
    <t>Mkt Value</t>
  </si>
  <si>
    <t>Multiplier</t>
  </si>
  <si>
    <t>Implied Volatility</t>
  </si>
  <si>
    <t>TOTAL</t>
  </si>
  <si>
    <t>Option</t>
  </si>
  <si>
    <t>Traded Px</t>
  </si>
  <si>
    <t>UAA</t>
  </si>
  <si>
    <t>Stock</t>
  </si>
  <si>
    <t>C</t>
  </si>
  <si>
    <t>Trade type</t>
  </si>
  <si>
    <t>Underlying</t>
  </si>
  <si>
    <t>Amount</t>
  </si>
  <si>
    <t>Option type</t>
  </si>
  <si>
    <t>Date</t>
  </si>
  <si>
    <t>Expiry - Date</t>
  </si>
  <si>
    <t>Expiry - Years</t>
  </si>
  <si>
    <t>Theta 1-day</t>
  </si>
  <si>
    <t>Gamma computed with bumps</t>
  </si>
  <si>
    <t>Call Delta Up</t>
  </si>
  <si>
    <t>Call Delta Down</t>
  </si>
  <si>
    <t>pos delta up</t>
  </si>
  <si>
    <t>pos delta down</t>
  </si>
  <si>
    <t>pos gamma</t>
  </si>
  <si>
    <t>Delta USD</t>
  </si>
  <si>
    <t>Vega 1%</t>
  </si>
  <si>
    <t>Gamma 1%</t>
  </si>
  <si>
    <t>(1%)</t>
  </si>
  <si>
    <t>Option Delta</t>
  </si>
  <si>
    <t>Delta traded</t>
  </si>
  <si>
    <t>Net Delta</t>
  </si>
  <si>
    <t>T remaining</t>
  </si>
  <si>
    <t>Delta Call</t>
  </si>
  <si>
    <t>Net delta</t>
  </si>
  <si>
    <t>Random numbers simulated from X ~ U([0,1])</t>
  </si>
  <si>
    <t>Volatile()</t>
  </si>
  <si>
    <t>Values</t>
  </si>
  <si>
    <t>Volatility on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</si>
</sst>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[$-409]d\-mmm\-yy;@"/>
    <numFmt numFmtId="165" formatCode="0.00_ ;\-0.00\ "/>
    <numFmt numFmtId="166" formatCode="0.0000"/>
    <numFmt numFmtId="167" formatCode="0.000"/>
    <numFmt numFmtId="168" formatCode="0.0"/>
    <numFmt numFmtId="169" formatCode="0.0%"/>
    <numFmt numFmtId="170" formatCode="_-* #,##0_-;\-* #,##0_-;_-* &quot;-&quot;??_-;_-@_-"/>
    <numFmt numFmtId="171" formatCode="0.0000_ ;\-0.0000\ "/>
    <numFmt numFmtId="172" formatCode="[$-409]dd\-mmm\-yy;@"/>
    <numFmt numFmtId="173" formatCode="_-* #,##0.00\ _F_-;\-* #,##0.00\ _F_-;_-* &quot;-&quot;??\ _F_-;_-@_-"/>
    <numFmt numFmtId="174" formatCode="_-* #,##0\ _F_-;\-* #,##0\ _F_-;_-* &quot;-&quot;??\ _F_-;_-@_-"/>
    <numFmt numFmtId="176" formatCode="#,##0_ ;\-#,##0\ "/>
  </numFmts>
  <fonts count="1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</font>
    <font>
      <sz val="12"/>
      <color theme="0"/>
      <name val="Calibri"/>
      <family val="2"/>
      <scheme val="minor"/>
    </font>
    <font>
      <sz val="12"/>
      <color indexed="72"/>
      <name val="Lucida Grande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56">
    <xf numFmtId="0" fontId="0" fillId="0" borderId="0"/>
    <xf numFmtId="43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9">
    <xf numFmtId="0" fontId="0" fillId="0" borderId="0" xfId="0"/>
    <xf numFmtId="2" fontId="3" fillId="2" borderId="0" xfId="0" applyNumberFormat="1" applyFont="1" applyFill="1" applyAlignment="1">
      <alignment horizontal="center"/>
    </xf>
    <xf numFmtId="10" fontId="3" fillId="2" borderId="0" xfId="0" applyNumberFormat="1" applyFont="1" applyFill="1" applyAlignment="1">
      <alignment horizontal="center"/>
    </xf>
    <xf numFmtId="166" fontId="0" fillId="3" borderId="0" xfId="0" applyNumberFormat="1" applyFont="1" applyFill="1" applyAlignment="1">
      <alignment horizontal="center"/>
    </xf>
    <xf numFmtId="166" fontId="3" fillId="3" borderId="0" xfId="0" applyNumberFormat="1" applyFont="1" applyFill="1" applyAlignment="1">
      <alignment horizontal="center" vertical="center"/>
    </xf>
    <xf numFmtId="0" fontId="0" fillId="4" borderId="0" xfId="0" applyFill="1"/>
    <xf numFmtId="0" fontId="0" fillId="4" borderId="5" xfId="0" applyFill="1" applyBorder="1"/>
    <xf numFmtId="0" fontId="0" fillId="4" borderId="1" xfId="0" applyFill="1" applyBorder="1"/>
    <xf numFmtId="0" fontId="0" fillId="4" borderId="1" xfId="0" applyFill="1" applyBorder="1" applyAlignment="1">
      <alignment horizontal="right"/>
    </xf>
    <xf numFmtId="0" fontId="0" fillId="4" borderId="7" xfId="0" applyFill="1" applyBorder="1"/>
    <xf numFmtId="0" fontId="0" fillId="4" borderId="0" xfId="0" applyFill="1" applyBorder="1"/>
    <xf numFmtId="0" fontId="0" fillId="4" borderId="0" xfId="0" applyFill="1" applyBorder="1" applyAlignment="1">
      <alignment horizontal="right"/>
    </xf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38" fontId="0" fillId="4" borderId="5" xfId="0" applyNumberFormat="1" applyFill="1" applyBorder="1" applyAlignment="1">
      <alignment horizontal="center"/>
    </xf>
    <xf numFmtId="38" fontId="0" fillId="4" borderId="7" xfId="0" applyNumberFormat="1" applyFill="1" applyBorder="1" applyAlignment="1">
      <alignment horizontal="center"/>
    </xf>
    <xf numFmtId="38" fontId="0" fillId="4" borderId="9" xfId="0" applyNumberForma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3" fontId="0" fillId="4" borderId="1" xfId="0" applyNumberFormat="1" applyFill="1" applyBorder="1" applyAlignment="1">
      <alignment horizontal="center"/>
    </xf>
    <xf numFmtId="3" fontId="0" fillId="4" borderId="0" xfId="0" applyNumberForma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3" fillId="4" borderId="0" xfId="0" applyFont="1" applyFill="1" applyAlignment="1">
      <alignment horizontal="right"/>
    </xf>
    <xf numFmtId="38" fontId="3" fillId="4" borderId="0" xfId="0" applyNumberFormat="1" applyFont="1" applyFill="1" applyAlignment="1">
      <alignment horizontal="center"/>
    </xf>
    <xf numFmtId="3" fontId="3" fillId="4" borderId="0" xfId="0" applyNumberFormat="1" applyFont="1" applyFill="1" applyAlignment="1">
      <alignment horizontal="center"/>
    </xf>
    <xf numFmtId="168" fontId="3" fillId="4" borderId="0" xfId="0" applyNumberFormat="1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4" borderId="0" xfId="0" applyFill="1" applyAlignment="1">
      <alignment horizontal="right"/>
    </xf>
    <xf numFmtId="166" fontId="0" fillId="4" borderId="0" xfId="0" applyNumberFormat="1" applyFill="1"/>
    <xf numFmtId="0" fontId="0" fillId="4" borderId="0" xfId="0" applyFill="1" applyAlignment="1">
      <alignment horizontal="center"/>
    </xf>
    <xf numFmtId="1" fontId="0" fillId="4" borderId="0" xfId="0" applyNumberFormat="1" applyFill="1"/>
    <xf numFmtId="0" fontId="4" fillId="4" borderId="0" xfId="0" applyFont="1" applyFill="1" applyAlignment="1">
      <alignment horizontal="center"/>
    </xf>
    <xf numFmtId="167" fontId="3" fillId="4" borderId="0" xfId="0" applyNumberFormat="1" applyFont="1" applyFill="1" applyAlignment="1">
      <alignment horizontal="center" vertical="center"/>
    </xf>
    <xf numFmtId="165" fontId="2" fillId="3" borderId="0" xfId="1" applyNumberFormat="1" applyFont="1" applyFill="1" applyAlignment="1">
      <alignment vertical="center"/>
    </xf>
    <xf numFmtId="0" fontId="3" fillId="4" borderId="0" xfId="0" applyFont="1" applyFill="1"/>
    <xf numFmtId="0" fontId="3" fillId="4" borderId="2" xfId="0" applyFont="1" applyFill="1" applyBorder="1" applyAlignment="1">
      <alignment horizontal="right"/>
    </xf>
    <xf numFmtId="169" fontId="3" fillId="4" borderId="3" xfId="38" applyNumberFormat="1" applyFont="1" applyFill="1" applyBorder="1" applyAlignment="1">
      <alignment horizontal="center"/>
    </xf>
    <xf numFmtId="0" fontId="3" fillId="4" borderId="3" xfId="0" applyFont="1" applyFill="1" applyBorder="1"/>
    <xf numFmtId="0" fontId="3" fillId="4" borderId="4" xfId="0" applyFont="1" applyFill="1" applyBorder="1"/>
    <xf numFmtId="0" fontId="0" fillId="5" borderId="0" xfId="0" applyFill="1" applyAlignment="1">
      <alignment horizontal="center"/>
    </xf>
    <xf numFmtId="3" fontId="0" fillId="5" borderId="0" xfId="0" applyNumberFormat="1" applyFill="1"/>
    <xf numFmtId="3" fontId="0" fillId="4" borderId="0" xfId="0" applyNumberFormat="1" applyFill="1" applyAlignment="1">
      <alignment horizontal="center"/>
    </xf>
    <xf numFmtId="0" fontId="7" fillId="6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/>
    </xf>
    <xf numFmtId="43" fontId="0" fillId="4" borderId="0" xfId="1" applyFont="1" applyFill="1"/>
    <xf numFmtId="10" fontId="0" fillId="4" borderId="0" xfId="0" applyNumberFormat="1" applyFill="1"/>
    <xf numFmtId="170" fontId="0" fillId="4" borderId="0" xfId="1" applyNumberFormat="1" applyFont="1" applyFill="1"/>
    <xf numFmtId="171" fontId="2" fillId="3" borderId="0" xfId="1" applyNumberFormat="1" applyFont="1" applyFill="1" applyAlignment="1">
      <alignment vertical="center"/>
    </xf>
    <xf numFmtId="171" fontId="0" fillId="2" borderId="0" xfId="0" applyNumberFormat="1" applyFill="1"/>
    <xf numFmtId="2" fontId="0" fillId="4" borderId="0" xfId="0" applyNumberFormat="1" applyFill="1" applyAlignment="1">
      <alignment horizontal="left"/>
    </xf>
    <xf numFmtId="3" fontId="0" fillId="2" borderId="0" xfId="0" applyNumberFormat="1" applyFill="1"/>
    <xf numFmtId="3" fontId="8" fillId="4" borderId="0" xfId="0" applyNumberFormat="1" applyFont="1" applyFill="1" applyAlignment="1">
      <alignment horizontal="center" vertical="center"/>
    </xf>
    <xf numFmtId="0" fontId="8" fillId="4" borderId="0" xfId="0" applyFont="1" applyFill="1" applyAlignment="1">
      <alignment horizontal="right" vertical="center"/>
    </xf>
    <xf numFmtId="38" fontId="2" fillId="3" borderId="0" xfId="1" applyNumberFormat="1" applyFont="1" applyFill="1" applyAlignment="1">
      <alignment horizontal="center" vertical="center"/>
    </xf>
    <xf numFmtId="165" fontId="0" fillId="2" borderId="0" xfId="0" applyNumberFormat="1" applyFill="1"/>
    <xf numFmtId="172" fontId="0" fillId="4" borderId="0" xfId="0" applyNumberFormat="1" applyFill="1"/>
    <xf numFmtId="172" fontId="0" fillId="5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3" fontId="0" fillId="4" borderId="0" xfId="1" applyNumberFormat="1" applyFont="1" applyFill="1" applyAlignment="1">
      <alignment horizontal="center"/>
    </xf>
    <xf numFmtId="9" fontId="0" fillId="4" borderId="0" xfId="38" applyFont="1" applyFill="1"/>
    <xf numFmtId="9" fontId="0" fillId="4" borderId="0" xfId="38" applyFont="1" applyFill="1" applyAlignment="1">
      <alignment horizontal="center"/>
    </xf>
    <xf numFmtId="2" fontId="0" fillId="4" borderId="0" xfId="0" applyNumberFormat="1" applyFill="1"/>
    <xf numFmtId="0" fontId="3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10" fontId="0" fillId="4" borderId="0" xfId="38" applyNumberFormat="1" applyFont="1" applyFill="1"/>
    <xf numFmtId="3" fontId="0" fillId="2" borderId="0" xfId="0" applyNumberFormat="1" applyFont="1" applyFill="1"/>
    <xf numFmtId="164" fontId="3" fillId="2" borderId="0" xfId="0" applyNumberFormat="1" applyFont="1" applyFill="1" applyAlignment="1">
      <alignment horizontal="center"/>
    </xf>
    <xf numFmtId="9" fontId="0" fillId="4" borderId="0" xfId="0" applyNumberFormat="1" applyFill="1" applyAlignment="1">
      <alignment horizontal="center"/>
    </xf>
    <xf numFmtId="10" fontId="3" fillId="2" borderId="1" xfId="0" applyNumberFormat="1" applyFont="1" applyFill="1" applyBorder="1" applyAlignment="1">
      <alignment horizontal="center"/>
    </xf>
    <xf numFmtId="0" fontId="0" fillId="4" borderId="10" xfId="0" applyFill="1" applyBorder="1" applyAlignment="1">
      <alignment horizontal="right"/>
    </xf>
    <xf numFmtId="167" fontId="3" fillId="3" borderId="0" xfId="0" applyNumberFormat="1" applyFont="1" applyFill="1" applyAlignment="1">
      <alignment horizontal="center" vertical="center"/>
    </xf>
    <xf numFmtId="3" fontId="0" fillId="4" borderId="0" xfId="0" applyNumberFormat="1" applyFill="1"/>
    <xf numFmtId="0" fontId="0" fillId="4" borderId="0" xfId="0" quotePrefix="1" applyFill="1"/>
    <xf numFmtId="3" fontId="0" fillId="4" borderId="6" xfId="0" applyNumberFormat="1" applyFill="1" applyBorder="1" applyAlignment="1">
      <alignment horizontal="center"/>
    </xf>
    <xf numFmtId="168" fontId="0" fillId="4" borderId="0" xfId="0" applyNumberFormat="1" applyFill="1" applyBorder="1" applyAlignment="1">
      <alignment horizontal="center"/>
    </xf>
    <xf numFmtId="0" fontId="0" fillId="4" borderId="8" xfId="0" applyFill="1" applyBorder="1"/>
    <xf numFmtId="3" fontId="0" fillId="4" borderId="10" xfId="0" applyNumberFormat="1" applyFill="1" applyBorder="1" applyAlignment="1">
      <alignment horizontal="center"/>
    </xf>
    <xf numFmtId="0" fontId="0" fillId="4" borderId="0" xfId="0" applyFont="1" applyFill="1"/>
    <xf numFmtId="0" fontId="3" fillId="4" borderId="1" xfId="0" applyFont="1" applyFill="1" applyBorder="1" applyAlignment="1">
      <alignment horizontal="right"/>
    </xf>
    <xf numFmtId="0" fontId="9" fillId="0" borderId="0" xfId="49" applyProtection="1"/>
    <xf numFmtId="0" fontId="9" fillId="0" borderId="0" xfId="49" applyAlignment="1" applyProtection="1">
      <alignment horizontal="center"/>
    </xf>
    <xf numFmtId="10" fontId="0" fillId="0" borderId="0" xfId="50" applyNumberFormat="1" applyFont="1" applyProtection="1"/>
    <xf numFmtId="2" fontId="9" fillId="0" borderId="0" xfId="49" applyNumberFormat="1" applyProtection="1"/>
    <xf numFmtId="10" fontId="0" fillId="0" borderId="0" xfId="50" applyNumberFormat="1" applyFont="1" applyAlignment="1" applyProtection="1">
      <alignment horizontal="center"/>
    </xf>
    <xf numFmtId="0" fontId="3" fillId="4" borderId="0" xfId="0" applyFont="1" applyFill="1" applyAlignment="1">
      <alignment horizontal="center"/>
    </xf>
    <xf numFmtId="176" fontId="0" fillId="4" borderId="0" xfId="1" applyNumberFormat="1" applyFont="1" applyFill="1"/>
    <xf numFmtId="169" fontId="0" fillId="4" borderId="0" xfId="38" applyNumberFormat="1" applyFont="1" applyFill="1"/>
    <xf numFmtId="0" fontId="3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9" fillId="4" borderId="0" xfId="49" applyFill="1" applyProtection="1"/>
    <xf numFmtId="174" fontId="0" fillId="4" borderId="0" xfId="51" applyNumberFormat="1" applyFont="1" applyFill="1" applyProtection="1"/>
    <xf numFmtId="0" fontId="9" fillId="4" borderId="0" xfId="49" applyFill="1" applyAlignment="1" applyProtection="1">
      <alignment horizontal="center"/>
    </xf>
    <xf numFmtId="2" fontId="9" fillId="4" borderId="0" xfId="49" applyNumberFormat="1" applyFill="1" applyProtection="1"/>
    <xf numFmtId="10" fontId="0" fillId="4" borderId="0" xfId="50" applyNumberFormat="1" applyFont="1" applyFill="1" applyProtection="1"/>
    <xf numFmtId="169" fontId="9" fillId="4" borderId="0" xfId="49" applyNumberFormat="1" applyFill="1" applyProtection="1"/>
    <xf numFmtId="10" fontId="0" fillId="4" borderId="0" xfId="50" applyNumberFormat="1" applyFont="1" applyFill="1" applyAlignment="1" applyProtection="1">
      <alignment horizontal="center"/>
    </xf>
    <xf numFmtId="10" fontId="3" fillId="2" borderId="0" xfId="38" applyNumberFormat="1" applyFont="1" applyFill="1" applyAlignment="1">
      <alignment horizontal="center" vertical="center"/>
    </xf>
    <xf numFmtId="0" fontId="10" fillId="4" borderId="0" xfId="0" applyFont="1" applyFill="1" applyAlignment="1">
      <alignment horizontal="center"/>
    </xf>
  </cellXfs>
  <cellStyles count="56">
    <cellStyle name="Comma" xfId="1" builtinId="3"/>
    <cellStyle name="Comma 2" xfId="51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3" builtinId="9" hidden="1"/>
    <cellStyle name="Followed Hyperlink" xfId="5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52" builtinId="8" hidden="1"/>
    <cellStyle name="Hyperlink" xfId="54" builtinId="8" hidden="1"/>
    <cellStyle name="Normal" xfId="0" builtinId="0"/>
    <cellStyle name="Normal 2" xfId="49"/>
    <cellStyle name="Percent" xfId="38" builtinId="5"/>
    <cellStyle name="Percent 2" xfId="50"/>
  </cellStyles>
  <dxfs count="0"/>
  <tableStyles count="0" defaultTableStyle="TableStyleMedium9" defaultPivotStyle="PivotStyleMedium4"/>
  <colors>
    <mruColors>
      <color rgb="FF5978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0</xdr:rowOff>
        </xdr:from>
        <xdr:to>
          <xdr:col>13</xdr:col>
          <xdr:colOff>101600</xdr:colOff>
          <xdr:row>4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Simulate stock path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T81"/>
  <sheetViews>
    <sheetView workbookViewId="0">
      <selection activeCell="D9" sqref="D9"/>
    </sheetView>
  </sheetViews>
  <sheetFormatPr baseColWidth="10" defaultRowHeight="15" x14ac:dyDescent="0"/>
  <cols>
    <col min="2" max="2" width="4.6640625" customWidth="1"/>
    <col min="4" max="4" width="13.1640625" customWidth="1"/>
    <col min="6" max="6" width="11.5" customWidth="1"/>
  </cols>
  <sheetData>
    <row r="1" spans="1:20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</row>
    <row r="3" spans="1:20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20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0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20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20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</row>
    <row r="8" spans="1:20">
      <c r="A8" s="5"/>
      <c r="B8" s="88" t="s">
        <v>41</v>
      </c>
      <c r="C8" s="88"/>
      <c r="D8" s="88"/>
      <c r="E8" s="18" t="s">
        <v>35</v>
      </c>
      <c r="F8" s="18" t="s">
        <v>64</v>
      </c>
      <c r="G8" s="18" t="s">
        <v>65</v>
      </c>
      <c r="H8" s="64" t="s">
        <v>66</v>
      </c>
      <c r="I8" s="64" t="s">
        <v>62</v>
      </c>
      <c r="J8" s="64" t="s">
        <v>61</v>
      </c>
      <c r="K8" s="64" t="s">
        <v>53</v>
      </c>
      <c r="L8" s="5"/>
      <c r="M8" s="5"/>
      <c r="N8" s="5"/>
      <c r="O8" s="5"/>
      <c r="P8" s="5"/>
      <c r="Q8" s="5"/>
      <c r="R8" s="5"/>
      <c r="S8" s="5"/>
      <c r="T8" s="5"/>
    </row>
    <row r="9" spans="1:20">
      <c r="A9" s="5"/>
      <c r="B9" s="6"/>
      <c r="C9" s="7"/>
      <c r="D9" s="79" t="str">
        <f>Trade1!C36</f>
        <v>UAA US 2/15/2019 C20.5 Equity</v>
      </c>
      <c r="E9" s="15">
        <f>Trade1!J51</f>
        <v>0</v>
      </c>
      <c r="F9" s="19">
        <f ca="1">Trade1!K36</f>
        <v>102358.40803662177</v>
      </c>
      <c r="G9" s="19">
        <f>Trade1!I52*S_0</f>
        <v>0</v>
      </c>
      <c r="H9" s="19">
        <f ca="1">F9+G9</f>
        <v>102358.40803662177</v>
      </c>
      <c r="I9" s="19">
        <f>Trade1!M51</f>
        <v>0</v>
      </c>
      <c r="J9" s="19">
        <f>Trade1!L51</f>
        <v>0</v>
      </c>
      <c r="K9" s="74">
        <f>Trade1!N51</f>
        <v>0</v>
      </c>
      <c r="L9" s="5"/>
      <c r="M9" s="5"/>
      <c r="N9" s="5"/>
      <c r="O9" s="5"/>
      <c r="P9" s="5"/>
      <c r="Q9" s="5"/>
      <c r="R9" s="5"/>
      <c r="S9" s="5"/>
      <c r="T9" s="5"/>
    </row>
    <row r="10" spans="1:20">
      <c r="A10" s="5"/>
      <c r="B10" s="9"/>
      <c r="C10" s="10"/>
      <c r="D10" s="11"/>
      <c r="E10" s="16"/>
      <c r="F10" s="20"/>
      <c r="G10" s="75"/>
      <c r="H10" s="20">
        <f t="shared" ref="H10:H30" si="0">F10+G10</f>
        <v>0</v>
      </c>
      <c r="I10" s="10"/>
      <c r="J10" s="10"/>
      <c r="K10" s="76"/>
      <c r="L10" s="5"/>
      <c r="M10" s="5"/>
      <c r="N10" s="5"/>
      <c r="O10" s="5"/>
      <c r="P10" s="5"/>
      <c r="Q10" s="5"/>
      <c r="R10" s="5"/>
      <c r="S10" s="5"/>
      <c r="T10" s="5"/>
    </row>
    <row r="11" spans="1:20">
      <c r="A11" s="5"/>
      <c r="B11" s="9"/>
      <c r="C11" s="10"/>
      <c r="D11" s="11"/>
      <c r="E11" s="16"/>
      <c r="F11" s="20"/>
      <c r="G11" s="75"/>
      <c r="H11" s="20">
        <f t="shared" si="0"/>
        <v>0</v>
      </c>
      <c r="I11" s="10"/>
      <c r="J11" s="10"/>
      <c r="K11" s="76"/>
      <c r="L11" s="5"/>
      <c r="M11" s="5"/>
      <c r="N11" s="5"/>
      <c r="O11" s="5"/>
      <c r="P11" s="5"/>
      <c r="Q11" s="5"/>
      <c r="R11" s="5"/>
      <c r="S11" s="5"/>
      <c r="T11" s="5"/>
    </row>
    <row r="12" spans="1:20">
      <c r="A12" s="5"/>
      <c r="B12" s="9"/>
      <c r="C12" s="10"/>
      <c r="D12" s="11"/>
      <c r="E12" s="16"/>
      <c r="F12" s="20"/>
      <c r="G12" s="75"/>
      <c r="H12" s="20">
        <f t="shared" si="0"/>
        <v>0</v>
      </c>
      <c r="I12" s="10"/>
      <c r="J12" s="10"/>
      <c r="K12" s="76"/>
      <c r="L12" s="5"/>
      <c r="M12" s="5"/>
      <c r="N12" s="5"/>
      <c r="O12" s="5"/>
      <c r="P12" s="5"/>
      <c r="Q12" s="5"/>
      <c r="R12" s="5"/>
      <c r="S12" s="5"/>
      <c r="T12" s="5"/>
    </row>
    <row r="13" spans="1:20">
      <c r="A13" s="5"/>
      <c r="B13" s="9"/>
      <c r="C13" s="10"/>
      <c r="D13" s="11"/>
      <c r="E13" s="16"/>
      <c r="F13" s="20"/>
      <c r="G13" s="75"/>
      <c r="H13" s="20">
        <f t="shared" si="0"/>
        <v>0</v>
      </c>
      <c r="I13" s="10"/>
      <c r="J13" s="10"/>
      <c r="K13" s="76"/>
      <c r="L13" s="5"/>
      <c r="M13" s="5"/>
      <c r="N13" s="5"/>
      <c r="O13" s="5"/>
      <c r="P13" s="5"/>
      <c r="Q13" s="5"/>
      <c r="R13" s="5"/>
      <c r="S13" s="5"/>
      <c r="T13" s="5"/>
    </row>
    <row r="14" spans="1:20">
      <c r="A14" s="5"/>
      <c r="B14" s="9"/>
      <c r="C14" s="10"/>
      <c r="D14" s="11"/>
      <c r="E14" s="16"/>
      <c r="F14" s="20"/>
      <c r="G14" s="75"/>
      <c r="H14" s="20">
        <f t="shared" si="0"/>
        <v>0</v>
      </c>
      <c r="I14" s="10"/>
      <c r="J14" s="10"/>
      <c r="K14" s="76"/>
      <c r="L14" s="5"/>
      <c r="M14" s="5"/>
      <c r="N14" s="5"/>
      <c r="O14" s="5"/>
      <c r="P14" s="5"/>
      <c r="Q14" s="5"/>
      <c r="R14" s="5"/>
      <c r="S14" s="5"/>
      <c r="T14" s="5"/>
    </row>
    <row r="15" spans="1:20">
      <c r="A15" s="5"/>
      <c r="B15" s="9"/>
      <c r="C15" s="10"/>
      <c r="D15" s="11"/>
      <c r="E15" s="16"/>
      <c r="F15" s="20"/>
      <c r="G15" s="75"/>
      <c r="H15" s="20">
        <f t="shared" si="0"/>
        <v>0</v>
      </c>
      <c r="I15" s="10"/>
      <c r="J15" s="10"/>
      <c r="K15" s="76"/>
      <c r="L15" s="5"/>
      <c r="M15" s="78"/>
      <c r="N15" s="5"/>
      <c r="O15" s="5"/>
      <c r="P15" s="5"/>
      <c r="Q15" s="5"/>
      <c r="R15" s="5"/>
      <c r="S15" s="5"/>
      <c r="T15" s="5"/>
    </row>
    <row r="16" spans="1:20">
      <c r="A16" s="5"/>
      <c r="B16" s="9"/>
      <c r="C16" s="10"/>
      <c r="D16" s="11"/>
      <c r="E16" s="16"/>
      <c r="F16" s="20"/>
      <c r="G16" s="75"/>
      <c r="H16" s="20">
        <f t="shared" si="0"/>
        <v>0</v>
      </c>
      <c r="I16" s="10"/>
      <c r="J16" s="10"/>
      <c r="K16" s="76"/>
      <c r="L16" s="5"/>
      <c r="M16" s="5"/>
      <c r="N16" s="5"/>
      <c r="O16" s="5"/>
      <c r="P16" s="5"/>
      <c r="Q16" s="5"/>
      <c r="R16" s="5"/>
      <c r="S16" s="5"/>
      <c r="T16" s="5"/>
    </row>
    <row r="17" spans="1:20">
      <c r="A17" s="5"/>
      <c r="B17" s="9"/>
      <c r="C17" s="10"/>
      <c r="D17" s="11"/>
      <c r="E17" s="16"/>
      <c r="F17" s="20"/>
      <c r="G17" s="75"/>
      <c r="H17" s="20">
        <f t="shared" si="0"/>
        <v>0</v>
      </c>
      <c r="I17" s="10"/>
      <c r="J17" s="10"/>
      <c r="K17" s="76"/>
      <c r="L17" s="5"/>
      <c r="M17" s="5"/>
      <c r="N17" s="5"/>
      <c r="O17" s="5"/>
      <c r="P17" s="5"/>
      <c r="Q17" s="5"/>
      <c r="R17" s="5"/>
      <c r="S17" s="5"/>
      <c r="T17" s="5"/>
    </row>
    <row r="18" spans="1:20">
      <c r="A18" s="5"/>
      <c r="B18" s="9"/>
      <c r="C18" s="10"/>
      <c r="D18" s="11"/>
      <c r="E18" s="16"/>
      <c r="F18" s="20"/>
      <c r="G18" s="75"/>
      <c r="H18" s="20">
        <f t="shared" si="0"/>
        <v>0</v>
      </c>
      <c r="I18" s="10"/>
      <c r="J18" s="10"/>
      <c r="K18" s="76"/>
      <c r="L18" s="5"/>
      <c r="M18" s="5"/>
      <c r="N18" s="5"/>
      <c r="O18" s="5"/>
      <c r="P18" s="5"/>
      <c r="Q18" s="5"/>
      <c r="R18" s="5"/>
      <c r="S18" s="5"/>
      <c r="T18" s="5"/>
    </row>
    <row r="19" spans="1:20">
      <c r="A19" s="5"/>
      <c r="B19" s="9"/>
      <c r="C19" s="10"/>
      <c r="D19" s="11"/>
      <c r="E19" s="16"/>
      <c r="F19" s="20"/>
      <c r="G19" s="75"/>
      <c r="H19" s="20">
        <f t="shared" si="0"/>
        <v>0</v>
      </c>
      <c r="I19" s="10"/>
      <c r="J19" s="10"/>
      <c r="K19" s="76"/>
      <c r="L19" s="5"/>
      <c r="M19" s="5"/>
      <c r="N19" s="5"/>
      <c r="O19" s="5"/>
      <c r="P19" s="5"/>
      <c r="Q19" s="5"/>
      <c r="R19" s="5"/>
      <c r="S19" s="5"/>
      <c r="T19" s="5"/>
    </row>
    <row r="20" spans="1:20">
      <c r="A20" s="5"/>
      <c r="B20" s="9"/>
      <c r="C20" s="10"/>
      <c r="D20" s="11"/>
      <c r="E20" s="16"/>
      <c r="F20" s="20"/>
      <c r="G20" s="75"/>
      <c r="H20" s="20">
        <f t="shared" si="0"/>
        <v>0</v>
      </c>
      <c r="I20" s="10"/>
      <c r="J20" s="10"/>
      <c r="K20" s="76"/>
      <c r="L20" s="5"/>
      <c r="M20" s="5"/>
      <c r="N20" s="5"/>
      <c r="O20" s="5"/>
      <c r="P20" s="5"/>
      <c r="Q20" s="5"/>
      <c r="R20" s="5"/>
      <c r="S20" s="5"/>
      <c r="T20" s="5"/>
    </row>
    <row r="21" spans="1:20">
      <c r="A21" s="5"/>
      <c r="B21" s="9"/>
      <c r="C21" s="10"/>
      <c r="D21" s="11"/>
      <c r="E21" s="16"/>
      <c r="F21" s="20"/>
      <c r="G21" s="75"/>
      <c r="H21" s="20">
        <f t="shared" si="0"/>
        <v>0</v>
      </c>
      <c r="I21" s="10"/>
      <c r="J21" s="10"/>
      <c r="K21" s="76"/>
      <c r="L21" s="5"/>
      <c r="M21" s="5"/>
      <c r="N21" s="5"/>
      <c r="O21" s="5"/>
      <c r="P21" s="5"/>
      <c r="Q21" s="5"/>
      <c r="R21" s="5"/>
      <c r="S21" s="5"/>
      <c r="T21" s="5"/>
    </row>
    <row r="22" spans="1:20">
      <c r="A22" s="5"/>
      <c r="B22" s="9"/>
      <c r="C22" s="10"/>
      <c r="D22" s="11"/>
      <c r="E22" s="16"/>
      <c r="F22" s="20"/>
      <c r="G22" s="75"/>
      <c r="H22" s="20">
        <f t="shared" si="0"/>
        <v>0</v>
      </c>
      <c r="I22" s="10"/>
      <c r="J22" s="10"/>
      <c r="K22" s="76"/>
      <c r="L22" s="5"/>
      <c r="M22" s="5"/>
      <c r="N22" s="5"/>
      <c r="O22" s="5"/>
      <c r="P22" s="5"/>
      <c r="Q22" s="5"/>
      <c r="R22" s="5"/>
      <c r="S22" s="5"/>
      <c r="T22" s="5"/>
    </row>
    <row r="23" spans="1:20">
      <c r="A23" s="5"/>
      <c r="B23" s="9"/>
      <c r="C23" s="10"/>
      <c r="D23" s="11"/>
      <c r="E23" s="16"/>
      <c r="F23" s="20"/>
      <c r="G23" s="75"/>
      <c r="H23" s="20">
        <f t="shared" si="0"/>
        <v>0</v>
      </c>
      <c r="I23" s="10"/>
      <c r="J23" s="10"/>
      <c r="K23" s="76"/>
      <c r="L23" s="5"/>
      <c r="M23" s="5"/>
      <c r="N23" s="5"/>
      <c r="O23" s="5"/>
      <c r="P23" s="5"/>
      <c r="Q23" s="5"/>
      <c r="R23" s="5"/>
      <c r="S23" s="5"/>
      <c r="T23" s="5"/>
    </row>
    <row r="24" spans="1:20">
      <c r="A24" s="5"/>
      <c r="B24" s="9"/>
      <c r="C24" s="10"/>
      <c r="D24" s="11"/>
      <c r="E24" s="16"/>
      <c r="F24" s="20"/>
      <c r="G24" s="75"/>
      <c r="H24" s="20">
        <f t="shared" si="0"/>
        <v>0</v>
      </c>
      <c r="I24" s="10"/>
      <c r="J24" s="10"/>
      <c r="K24" s="76"/>
      <c r="L24" s="5"/>
      <c r="M24" s="5"/>
      <c r="N24" s="5"/>
      <c r="O24" s="5"/>
      <c r="P24" s="5"/>
      <c r="Q24" s="5"/>
      <c r="R24" s="5"/>
      <c r="S24" s="5"/>
      <c r="T24" s="5"/>
    </row>
    <row r="25" spans="1:20">
      <c r="A25" s="5"/>
      <c r="B25" s="9"/>
      <c r="C25" s="10"/>
      <c r="D25" s="11"/>
      <c r="E25" s="16"/>
      <c r="F25" s="20"/>
      <c r="G25" s="75"/>
      <c r="H25" s="20">
        <f t="shared" si="0"/>
        <v>0</v>
      </c>
      <c r="I25" s="10"/>
      <c r="J25" s="10"/>
      <c r="K25" s="76"/>
      <c r="L25" s="5"/>
      <c r="M25" s="5"/>
      <c r="N25" s="5"/>
      <c r="O25" s="5"/>
      <c r="P25" s="5"/>
      <c r="Q25" s="5"/>
      <c r="R25" s="5"/>
      <c r="S25" s="5"/>
      <c r="T25" s="5"/>
    </row>
    <row r="26" spans="1:20">
      <c r="A26" s="5"/>
      <c r="B26" s="9"/>
      <c r="C26" s="10"/>
      <c r="D26" s="10"/>
      <c r="E26" s="16"/>
      <c r="F26" s="20"/>
      <c r="G26" s="75"/>
      <c r="H26" s="20">
        <f t="shared" si="0"/>
        <v>0</v>
      </c>
      <c r="I26" s="10"/>
      <c r="J26" s="10"/>
      <c r="K26" s="76"/>
      <c r="L26" s="5"/>
      <c r="M26" s="5"/>
      <c r="N26" s="5"/>
      <c r="O26" s="5"/>
      <c r="P26" s="5"/>
      <c r="Q26" s="5"/>
      <c r="R26" s="5"/>
      <c r="S26" s="5"/>
      <c r="T26" s="5"/>
    </row>
    <row r="27" spans="1:20">
      <c r="A27" s="5"/>
      <c r="B27" s="9"/>
      <c r="C27" s="10"/>
      <c r="D27" s="10"/>
      <c r="E27" s="16"/>
      <c r="F27" s="20"/>
      <c r="G27" s="75"/>
      <c r="H27" s="20">
        <f t="shared" si="0"/>
        <v>0</v>
      </c>
      <c r="I27" s="10"/>
      <c r="J27" s="10"/>
      <c r="K27" s="76"/>
      <c r="L27" s="5"/>
      <c r="M27" s="5"/>
      <c r="N27" s="5"/>
      <c r="O27" s="5"/>
      <c r="P27" s="5"/>
      <c r="Q27" s="5"/>
      <c r="R27" s="5"/>
      <c r="S27" s="5"/>
      <c r="T27" s="5"/>
    </row>
    <row r="28" spans="1:20">
      <c r="A28" s="5"/>
      <c r="B28" s="9"/>
      <c r="C28" s="10"/>
      <c r="D28" s="10"/>
      <c r="E28" s="16"/>
      <c r="F28" s="20"/>
      <c r="G28" s="75"/>
      <c r="H28" s="20">
        <f t="shared" si="0"/>
        <v>0</v>
      </c>
      <c r="I28" s="10"/>
      <c r="J28" s="10"/>
      <c r="K28" s="76"/>
      <c r="L28" s="5"/>
      <c r="M28" s="5"/>
      <c r="N28" s="5"/>
      <c r="O28" s="5"/>
      <c r="P28" s="5"/>
      <c r="Q28" s="5"/>
      <c r="R28" s="5"/>
      <c r="S28" s="5"/>
      <c r="T28" s="5"/>
    </row>
    <row r="29" spans="1:20">
      <c r="A29" s="5"/>
      <c r="B29" s="9"/>
      <c r="C29" s="10"/>
      <c r="D29" s="10"/>
      <c r="E29" s="16"/>
      <c r="F29" s="20"/>
      <c r="G29" s="75"/>
      <c r="H29" s="20">
        <f t="shared" si="0"/>
        <v>0</v>
      </c>
      <c r="I29" s="10"/>
      <c r="J29" s="10"/>
      <c r="K29" s="76"/>
      <c r="L29" s="5"/>
      <c r="M29" s="5"/>
      <c r="N29" s="5"/>
      <c r="O29" s="5"/>
      <c r="P29" s="5"/>
      <c r="Q29" s="5"/>
      <c r="R29" s="5"/>
      <c r="S29" s="5"/>
      <c r="T29" s="5"/>
    </row>
    <row r="30" spans="1:20">
      <c r="A30" s="5"/>
      <c r="B30" s="12"/>
      <c r="C30" s="13"/>
      <c r="D30" s="13"/>
      <c r="E30" s="17"/>
      <c r="F30" s="21"/>
      <c r="G30" s="13"/>
      <c r="H30" s="77">
        <f t="shared" si="0"/>
        <v>0</v>
      </c>
      <c r="I30" s="13"/>
      <c r="J30" s="13"/>
      <c r="K30" s="14"/>
      <c r="L30" s="5"/>
      <c r="M30" s="5"/>
      <c r="N30" s="5"/>
      <c r="O30" s="5"/>
      <c r="P30" s="5"/>
      <c r="Q30" s="5"/>
      <c r="R30" s="5"/>
      <c r="S30" s="5"/>
      <c r="T30" s="5"/>
    </row>
    <row r="31" spans="1:20">
      <c r="A31" s="5"/>
      <c r="B31" s="5"/>
      <c r="C31" s="5"/>
      <c r="D31" s="22" t="s">
        <v>40</v>
      </c>
      <c r="E31" s="23">
        <f>SUM(E9:E30)</f>
        <v>0</v>
      </c>
      <c r="F31" s="24">
        <f ca="1">SUM(F9:F30)</f>
        <v>102358.40803662177</v>
      </c>
      <c r="G31" s="25">
        <f>SUM(G9:G30)</f>
        <v>0</v>
      </c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</sheetData>
  <mergeCells count="1">
    <mergeCell ref="B8:D8"/>
  </mergeCells>
  <pageMargins left="0.7" right="0.7" top="0.75" bottom="0.75" header="0.3" footer="0.3"/>
  <ignoredErrors>
    <ignoredError sqref="H10:H11" emptyCellReferenc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Z707"/>
  <sheetViews>
    <sheetView tabSelected="1" workbookViewId="0">
      <selection activeCell="I38" sqref="I38"/>
    </sheetView>
  </sheetViews>
  <sheetFormatPr baseColWidth="10" defaultRowHeight="15" x14ac:dyDescent="0"/>
  <cols>
    <col min="1" max="1" width="10.33203125" customWidth="1"/>
    <col min="2" max="2" width="10" customWidth="1"/>
    <col min="3" max="3" width="26.83203125" customWidth="1"/>
    <col min="4" max="4" width="12" customWidth="1"/>
    <col min="5" max="5" width="9.83203125" customWidth="1"/>
    <col min="6" max="6" width="8.1640625" customWidth="1"/>
    <col min="7" max="7" width="14" customWidth="1"/>
    <col min="8" max="8" width="10.33203125" customWidth="1"/>
    <col min="9" max="9" width="12.83203125" customWidth="1"/>
    <col min="10" max="10" width="12.5" customWidth="1"/>
    <col min="11" max="11" width="14.6640625" customWidth="1"/>
    <col min="12" max="12" width="11.6640625" customWidth="1"/>
    <col min="14" max="14" width="11.5" customWidth="1"/>
    <col min="16" max="16" width="11.83203125" bestFit="1" customWidth="1"/>
    <col min="17" max="17" width="12.5" bestFit="1" customWidth="1"/>
  </cols>
  <sheetData>
    <row r="1" spans="1:26">
      <c r="A1" s="43" t="s">
        <v>44</v>
      </c>
      <c r="B1" s="44" t="s">
        <v>43</v>
      </c>
      <c r="C1" s="43" t="s">
        <v>52</v>
      </c>
      <c r="D1" s="1"/>
      <c r="E1" s="5"/>
      <c r="F1" s="5"/>
      <c r="G1" s="36" t="str">
        <f>IF(D36&gt;0, "Bought", "Sold") &amp; " at"</f>
        <v>Bought at</v>
      </c>
      <c r="H1" s="37">
        <v>0.65400000000000003</v>
      </c>
      <c r="I1" s="38" t="s">
        <v>39</v>
      </c>
      <c r="J1" s="39"/>
      <c r="K1" s="5"/>
      <c r="L1" s="5"/>
      <c r="M1" s="5"/>
      <c r="N1" s="5"/>
      <c r="O1" s="5"/>
      <c r="P1" s="5"/>
      <c r="Q1" s="5"/>
      <c r="R1" s="5"/>
      <c r="S1" s="5"/>
      <c r="U1" s="5"/>
      <c r="V1" s="5"/>
      <c r="W1" s="5"/>
      <c r="X1" s="5"/>
      <c r="Y1" s="5"/>
      <c r="Z1" s="5"/>
    </row>
    <row r="2" spans="1:26">
      <c r="A2" s="43" t="s">
        <v>2</v>
      </c>
      <c r="B2" s="57">
        <f ca="1">TODAY()</f>
        <v>43490</v>
      </c>
      <c r="C2" s="43" t="s">
        <v>51</v>
      </c>
      <c r="D2" s="67">
        <v>43511</v>
      </c>
      <c r="E2" s="5" t="str">
        <f ca="1">"( "&amp;F2&amp;" days)"</f>
        <v>( 21 days)</v>
      </c>
      <c r="F2" s="98">
        <f ca="1">D2-B2</f>
        <v>21</v>
      </c>
      <c r="G2" s="5"/>
      <c r="H2" s="29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>
      <c r="A3" s="43" t="s">
        <v>49</v>
      </c>
      <c r="B3" s="44" t="s">
        <v>45</v>
      </c>
      <c r="C3" s="5"/>
      <c r="D3" s="5"/>
      <c r="E3" s="5"/>
      <c r="F3" s="5"/>
      <c r="G3" s="5"/>
      <c r="H3" s="30" t="s">
        <v>6</v>
      </c>
      <c r="I3" s="30" t="s">
        <v>7</v>
      </c>
      <c r="J3" s="5"/>
      <c r="K3" s="85" t="s">
        <v>73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>
      <c r="A4" s="5"/>
      <c r="B4" s="5"/>
      <c r="C4" s="28"/>
      <c r="D4" s="33"/>
      <c r="E4" s="31"/>
      <c r="F4" s="5"/>
      <c r="G4" s="28" t="s">
        <v>8</v>
      </c>
      <c r="H4" s="3">
        <f ca="1">S_0*EXP(-q*T)*_xlfn.NORM.S.DIST(d_1,1)-K*EXP(-r_dom*T)*_xlfn.NORM.S.DIST(d_2,1)</f>
        <v>1.1712903467609799</v>
      </c>
      <c r="I4" s="3">
        <f ca="1">K*EXP(-r_dom*T)*_xlfn.NORM.S.DIST(-d_2,1)-S_0*EXP(-q*T)*_xlfn.NORM.S.DIST(-d_1,1)</f>
        <v>1.3813617744023645</v>
      </c>
      <c r="J4" s="5"/>
      <c r="K4" s="97">
        <v>0.65400000000000003</v>
      </c>
      <c r="L4" s="47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>
      <c r="A5" s="5"/>
      <c r="B5" s="5"/>
      <c r="C5" s="28" t="s">
        <v>0</v>
      </c>
      <c r="D5" s="1">
        <v>20.28</v>
      </c>
      <c r="E5" s="68">
        <v>0</v>
      </c>
      <c r="F5" s="5"/>
      <c r="G5" s="28" t="s">
        <v>9</v>
      </c>
      <c r="H5" s="4">
        <f ca="1">_xlfn.NORM.S.DIST(d_1,1)*EXP(-q*T)</f>
        <v>0.50472587789261225</v>
      </c>
      <c r="I5" s="4">
        <f ca="1">H5-1</f>
        <v>-0.49527412210738775</v>
      </c>
      <c r="J5" s="5"/>
      <c r="K5" s="97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>
      <c r="A6" s="5"/>
      <c r="B6" s="5"/>
      <c r="C6" s="28" t="s">
        <v>1</v>
      </c>
      <c r="D6" s="1">
        <v>20.5</v>
      </c>
      <c r="E6" s="5"/>
      <c r="F6" s="5"/>
      <c r="G6" s="28" t="s">
        <v>10</v>
      </c>
      <c r="H6" s="4">
        <f ca="1">EXP(-q*T)*_xlfn.NORM.S.DIST(d_1,0)/(S_0*sigma*SQRT(T))</f>
        <v>0.12530655544531574</v>
      </c>
      <c r="I6" s="4">
        <f ca="1">K*EXP(-r_dom*T)*_xlfn.NORM.S.DIST(d_2,0)/(sigma*SQRT(T)*S_0^2)</f>
        <v>0.12530655544531574</v>
      </c>
      <c r="J6" s="29"/>
      <c r="K6" s="29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>
      <c r="A7" s="5"/>
      <c r="B7" s="5"/>
      <c r="C7" s="28" t="s">
        <v>13</v>
      </c>
      <c r="D7" s="3">
        <f ca="1">IF(D1="",(D2-B2)/365,D1)</f>
        <v>5.7534246575342465E-2</v>
      </c>
      <c r="E7" s="32"/>
      <c r="F7" s="5"/>
      <c r="G7" s="28" t="s">
        <v>11</v>
      </c>
      <c r="H7" s="3">
        <f ca="1">-EXP(-q*T)*S_0*_xlfn.NORM.S.DIST(d_1,0)*sigma/(2*SQRT(T))-r_dom*K*EXP(-r_dom*T)*_xlfn.NORM.S.DIST(d_2,1)+q*S_0*EXP(-q*T)*_xlfn.NORM.S.DIST(d_1,1)</f>
        <v>-11.082891818302285</v>
      </c>
      <c r="I7" s="3">
        <f ca="1">-EXP(-q*T)*(S_0*_xlfn.NORM.S.DIST(d_1,0)*sigma)/(2*SQRT(T))+r_dom*K*EXP(-r_dom*T)*_xlfn.NORM.S.DIST(-d_2,1)-q*S_0*EXP(-q*T)*_xlfn.NORM.S.DIST(-d_1,1)</f>
        <v>-10.910479659037422</v>
      </c>
      <c r="J7" s="29"/>
      <c r="K7" s="29"/>
      <c r="L7" s="29"/>
      <c r="M7" s="29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>
      <c r="A8" s="5"/>
      <c r="B8" s="5"/>
      <c r="C8" s="28" t="s">
        <v>4</v>
      </c>
      <c r="D8" s="2">
        <v>0.65400000000000003</v>
      </c>
      <c r="E8" s="5" t="str">
        <f>"("&amp;ROUND(sigma/SQRT(260)*100,2)&amp;"% daily)"</f>
        <v>(4.06% daily)</v>
      </c>
      <c r="F8" s="5"/>
      <c r="G8" s="28" t="s">
        <v>12</v>
      </c>
      <c r="H8" s="71">
        <f ca="1">S_0*EXP(-q*T)*_xlfn.NORM.S.DIST(d_1,0)*SQRT(T)/100</f>
        <v>1.9391610161108398E-2</v>
      </c>
      <c r="I8" s="71">
        <f ca="1">K*EXP(-r_dom*T)*_xlfn.NORM.S.DIST(d_2,0)*SQRT(T)/100</f>
        <v>1.9391610161108394E-2</v>
      </c>
      <c r="J8" s="29"/>
      <c r="K8" s="29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>
      <c r="A9" s="5"/>
      <c r="B9" s="5"/>
      <c r="C9" s="28" t="s">
        <v>14</v>
      </c>
      <c r="D9" s="2">
        <v>0.02</v>
      </c>
      <c r="E9" s="5"/>
      <c r="F9" s="5"/>
      <c r="G9" s="28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>
      <c r="A10" s="5"/>
      <c r="B10" s="5"/>
      <c r="C10" s="28" t="s">
        <v>5</v>
      </c>
      <c r="D10" s="2">
        <v>1.17E-2</v>
      </c>
      <c r="E10" s="5"/>
      <c r="F10" s="5"/>
      <c r="G10" s="28" t="s">
        <v>53</v>
      </c>
      <c r="H10" s="3">
        <f ca="1">H21-PVCall</f>
        <v>-3.0734020116314653E-2</v>
      </c>
      <c r="I10" s="3">
        <f ca="1">I21-PVPut</f>
        <v>-3.0261637708019151E-2</v>
      </c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>
      <c r="A11" s="5"/>
      <c r="B11" s="5"/>
      <c r="C11" s="5"/>
      <c r="D11" s="5"/>
      <c r="E11" s="5"/>
      <c r="F11" s="5"/>
      <c r="G11" s="28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6" hidden="1" customHeight="1">
      <c r="A12" s="7"/>
      <c r="B12" s="7"/>
      <c r="C12" s="7"/>
      <c r="D12" s="7"/>
      <c r="E12" s="7"/>
      <c r="F12" s="7"/>
      <c r="G12" s="8" t="s">
        <v>22</v>
      </c>
      <c r="H12" s="69">
        <v>0.01</v>
      </c>
      <c r="I12" s="7"/>
      <c r="J12" s="7"/>
      <c r="K12" s="7"/>
      <c r="L12" s="7"/>
      <c r="M12" s="7"/>
      <c r="N12" s="7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6" hidden="1" customHeight="1">
      <c r="A13" s="5"/>
      <c r="B13" s="5"/>
      <c r="C13" s="28" t="s">
        <v>15</v>
      </c>
      <c r="D13" s="5">
        <f ca="1">((LN(S_0/K)+(r_dom-q+sigma^2/2)*T))/(sigma*SQRT(T))</f>
        <v>1.2698290531524645E-2</v>
      </c>
      <c r="E13" s="5"/>
      <c r="F13" s="5"/>
      <c r="G13" s="28"/>
      <c r="H13" s="4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6" hidden="1" customHeight="1">
      <c r="A14" s="5"/>
      <c r="B14" s="5"/>
      <c r="C14" s="28" t="s">
        <v>16</v>
      </c>
      <c r="D14" s="5">
        <f ca="1">d_1-sigma*SQRT(T)</f>
        <v>-0.14417209484512694</v>
      </c>
      <c r="E14" s="5"/>
      <c r="F14" s="5"/>
      <c r="G14" s="28" t="s">
        <v>21</v>
      </c>
      <c r="H14" s="45">
        <f>H12*S_0</f>
        <v>0.20280000000000001</v>
      </c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6" hidden="1" customHeight="1">
      <c r="A15" s="5"/>
      <c r="B15" s="5"/>
      <c r="C15" s="28" t="s">
        <v>19</v>
      </c>
      <c r="D15" s="5">
        <f ca="1">(LN(S_0_Up/K)+(r_dom-q+sigma^2/2)*T)/(sigma*SQRT(T))</f>
        <v>7.6128560236522896E-2</v>
      </c>
      <c r="E15" s="5"/>
      <c r="F15" s="5"/>
      <c r="G15" s="28" t="s">
        <v>17</v>
      </c>
      <c r="H15" s="5">
        <f>S_0+bump</f>
        <v>20.482800000000001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6" hidden="1" customHeight="1">
      <c r="A16" s="5"/>
      <c r="B16" s="5"/>
      <c r="C16" s="28" t="s">
        <v>20</v>
      </c>
      <c r="D16" s="5">
        <f ca="1">(LN(S_0_Down/K)+(r_dom-q+sigma^2/2)*T)/(sigma*SQRT(T))</f>
        <v>-5.1369479999989427E-2</v>
      </c>
      <c r="E16" s="5"/>
      <c r="F16" s="5"/>
      <c r="G16" s="28" t="s">
        <v>18</v>
      </c>
      <c r="H16" s="5">
        <f>S_0-bump</f>
        <v>20.077200000000001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6" hidden="1" customHeight="1">
      <c r="A17" s="5"/>
      <c r="B17" s="5"/>
      <c r="C17" s="5"/>
      <c r="D17" s="5"/>
      <c r="E17" s="5"/>
      <c r="F17" s="5"/>
      <c r="G17" s="28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6" hidden="1" customHeight="1">
      <c r="A18" s="5"/>
      <c r="B18" s="5"/>
      <c r="C18" s="28" t="s">
        <v>3</v>
      </c>
      <c r="D18" s="56">
        <f ca="1">B2+T*365</f>
        <v>43511</v>
      </c>
      <c r="E18" s="5"/>
      <c r="F18" s="5"/>
      <c r="G18" s="28" t="s">
        <v>24</v>
      </c>
      <c r="H18" s="3">
        <f ca="1">(D18-B2-1)/365</f>
        <v>5.4794520547945202E-2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6" hidden="1" customHeight="1">
      <c r="A19" s="5"/>
      <c r="B19" s="5"/>
      <c r="C19" s="5"/>
      <c r="D19" s="5"/>
      <c r="E19" s="5"/>
      <c r="F19" s="5"/>
      <c r="G19" s="28" t="s">
        <v>25</v>
      </c>
      <c r="H19" s="5">
        <f ca="1">((LN(S_0/K)+(r_dom-q+sigma^2/2)*TShort))/(sigma*SQRT(TShort))</f>
        <v>9.0360918165451158E-3</v>
      </c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6" hidden="1" customHeight="1">
      <c r="A20" s="5"/>
      <c r="B20" s="5"/>
      <c r="C20" s="28" t="s">
        <v>55</v>
      </c>
      <c r="D20" s="4">
        <f ca="1">_xlfn.NORM.S.DIST(d_1_up,1)*EXP(-q*T)</f>
        <v>0.52998471118305723</v>
      </c>
      <c r="E20" s="5"/>
      <c r="F20" s="5"/>
      <c r="G20" s="28" t="s">
        <v>26</v>
      </c>
      <c r="H20" s="5">
        <f ca="1">d_1_short-sigma*SQRT(TShort)</f>
        <v>-0.14405372871599367</v>
      </c>
      <c r="I20" s="5"/>
      <c r="J20" s="5" t="s">
        <v>57</v>
      </c>
      <c r="K20" s="41">
        <f ca="1">delta_up*S_0*Amount</f>
        <v>1074.8089942792401</v>
      </c>
      <c r="L20" s="72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6" hidden="1" customHeight="1">
      <c r="A21" s="5"/>
      <c r="B21" s="5"/>
      <c r="C21" s="28" t="s">
        <v>56</v>
      </c>
      <c r="D21" s="4">
        <f ca="1">_xlfn.NORM.S.DIST(d_1_down,1)*EXP(-q*T)</f>
        <v>0.47919287443729652</v>
      </c>
      <c r="E21" s="5"/>
      <c r="F21" s="5"/>
      <c r="G21" s="28" t="s">
        <v>23</v>
      </c>
      <c r="H21" s="3">
        <f ca="1">S_0*EXP(-q*TShort)*_xlfn.NORM.S.DIST(d_1_short,1)-K*EXP(-r_dom*TShort)*_xlfn.NORM.S.DIST(d_2_short,1)</f>
        <v>1.1405563266446652</v>
      </c>
      <c r="I21" s="3">
        <f ca="1">K*EXP(-r_dom*TShort)*_xlfn.NORM.S.DIST(-d_2_short,1)-S_0*EXP(-q*TShort)*_xlfn.NORM.S.DIST(-d_1_short,1)</f>
        <v>1.3511001366943454</v>
      </c>
      <c r="J21" s="5" t="s">
        <v>58</v>
      </c>
      <c r="K21" s="41">
        <f ca="1">delta_down*S_0*Amount</f>
        <v>971.80314935883735</v>
      </c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6" hidden="1" customHeight="1">
      <c r="A22" s="5"/>
      <c r="B22" s="5"/>
      <c r="C22" s="28" t="s">
        <v>54</v>
      </c>
      <c r="D22" s="4">
        <f ca="1">(D20-D21)/(2*bump)</f>
        <v>0.12522642195700373</v>
      </c>
      <c r="E22" s="5"/>
      <c r="F22" s="5"/>
      <c r="G22" s="5"/>
      <c r="H22" s="5"/>
      <c r="I22" s="5"/>
      <c r="J22" s="5" t="s">
        <v>59</v>
      </c>
      <c r="K22" s="41">
        <f ca="1">(K20-K21)/2</f>
        <v>51.502922460201376</v>
      </c>
      <c r="L22" s="73" t="s">
        <v>63</v>
      </c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6" hidden="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41">
        <f ca="1">D22*Amount*S_0^2/100</f>
        <v>51.502922460201361</v>
      </c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6" hidden="1" customHeight="1">
      <c r="A24" s="5"/>
      <c r="B24" s="5"/>
      <c r="C24" s="5"/>
      <c r="D24" s="5"/>
      <c r="E24" s="5"/>
      <c r="F24" s="5"/>
      <c r="G24" s="28" t="s">
        <v>27</v>
      </c>
      <c r="H24" s="2">
        <v>1E-4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6" hidden="1" customHeight="1">
      <c r="A25" s="5"/>
      <c r="B25" s="5"/>
      <c r="C25" s="5"/>
      <c r="D25" s="5"/>
      <c r="E25" s="5"/>
      <c r="F25" s="5"/>
      <c r="G25" s="28" t="s">
        <v>28</v>
      </c>
      <c r="H25" s="46">
        <f>sigma+H24</f>
        <v>0.65410000000000001</v>
      </c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6" hidden="1" customHeight="1">
      <c r="A26" s="5"/>
      <c r="B26" s="5"/>
      <c r="C26" s="5"/>
      <c r="D26" s="5" t="s">
        <v>15</v>
      </c>
      <c r="E26" s="5" t="s">
        <v>16</v>
      </c>
      <c r="F26" s="5"/>
      <c r="G26" s="28" t="s">
        <v>29</v>
      </c>
      <c r="H26" s="46">
        <f>sigma-H24</f>
        <v>0.65390000000000004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6" hidden="1" customHeight="1">
      <c r="A27" s="5"/>
      <c r="B27" s="5"/>
      <c r="C27" s="5" t="s">
        <v>31</v>
      </c>
      <c r="D27" s="5">
        <f ca="1">((LN(S_0/K)+(r_dom-q+sigma_up^2/2)*T))/(sigma_up*SQRT(T))</f>
        <v>1.2720333657651196E-2</v>
      </c>
      <c r="E27" s="5">
        <f ca="1">D27-sigma_up*SQRT(T)</f>
        <v>-0.14417403801645859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6" hidden="1" customHeight="1">
      <c r="A28" s="5"/>
      <c r="B28" s="5"/>
      <c r="C28" s="5" t="s">
        <v>32</v>
      </c>
      <c r="D28" s="5">
        <f ca="1">((LN(S_0/K)+(r_dom-q+sigma_down^2/2)*T))/(sigma_down*SQRT(T))</f>
        <v>1.2676244331540481E-2</v>
      </c>
      <c r="E28" s="5">
        <f ca="1">D28-sigma_down*SQRT(T)</f>
        <v>-0.14417015474765288</v>
      </c>
      <c r="F28" s="5"/>
      <c r="G28" s="28" t="s">
        <v>30</v>
      </c>
      <c r="H28" s="5">
        <f ca="1">S_0*EXP(-q*T)*_xlfn.NORM.S.DIST(d1_volUp,1)-K*EXP(-r_dom*T)*_xlfn.NORM.S.DIST(d2_volUp,1)</f>
        <v>1.1714842628354365</v>
      </c>
      <c r="I28" s="5">
        <f ca="1">K*EXP(-r_dom*T)*_xlfn.NORM.S.DIST(-d2_volUp,1)-S_0*EXP(-q*T)*_xlfn.NORM.S.DIST(-d1_volUp,1)</f>
        <v>1.3815556904768158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6" hidden="1" customHeight="1">
      <c r="A29" s="13"/>
      <c r="B29" s="13"/>
      <c r="C29" s="13"/>
      <c r="D29" s="13"/>
      <c r="E29" s="13"/>
      <c r="F29" s="13"/>
      <c r="G29" s="70" t="s">
        <v>33</v>
      </c>
      <c r="H29" s="13">
        <f ca="1">S_0*EXP(-q*T)*_xlfn.NORM.S.DIST(d1_volDown,1)-K*EXP(-r_dom*T)*_xlfn.NORM.S.DIST(d2_volDown,1)</f>
        <v>1.1710964306322431</v>
      </c>
      <c r="I29" s="13">
        <f ca="1">K*EXP(-r_dom*T)*_xlfn.NORM.S.DIST(-d2_volDown,1)-S_0*EXP(-q*T)*_xlfn.NORM.S.DIST(-d1_volDown,1)</f>
        <v>1.3811678582736242</v>
      </c>
      <c r="J29" s="13"/>
      <c r="K29" s="13"/>
      <c r="L29" s="13"/>
      <c r="M29" s="13"/>
      <c r="N29" s="13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6" customHeight="1">
      <c r="A30" s="5"/>
      <c r="B30" s="5"/>
      <c r="C30" s="5"/>
      <c r="D30" s="5"/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6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72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6" customHeight="1">
      <c r="A32" s="5"/>
      <c r="B32" s="5"/>
      <c r="C32" s="5"/>
      <c r="D32" s="28"/>
      <c r="E32" s="42"/>
      <c r="F32" s="5"/>
      <c r="G32" s="50"/>
      <c r="H32" s="5"/>
      <c r="I32" s="5"/>
      <c r="J32" s="87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6" customHeight="1">
      <c r="A33" s="5"/>
      <c r="B33" s="5"/>
      <c r="C33" s="5"/>
      <c r="D33" s="28"/>
      <c r="E33" s="42"/>
      <c r="F33" s="30"/>
      <c r="G33" s="50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>
      <c r="A34" s="5"/>
      <c r="B34" s="5"/>
      <c r="C34" s="5"/>
      <c r="D34" s="53"/>
      <c r="E34" s="52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>
      <c r="A35" s="27" t="s">
        <v>50</v>
      </c>
      <c r="B35" s="35" t="s">
        <v>46</v>
      </c>
      <c r="C35" s="26" t="s">
        <v>47</v>
      </c>
      <c r="D35" s="26" t="s">
        <v>48</v>
      </c>
      <c r="E35" s="26" t="s">
        <v>38</v>
      </c>
      <c r="F35" s="26" t="s">
        <v>36</v>
      </c>
      <c r="G35" s="26" t="s">
        <v>37</v>
      </c>
      <c r="H35" s="26" t="s">
        <v>34</v>
      </c>
      <c r="I35" s="26" t="s">
        <v>42</v>
      </c>
      <c r="J35" s="26" t="s">
        <v>35</v>
      </c>
      <c r="K35" s="26" t="s">
        <v>60</v>
      </c>
      <c r="L35" s="26" t="s">
        <v>61</v>
      </c>
      <c r="M35" s="26" t="s">
        <v>62</v>
      </c>
      <c r="N35" s="63" t="s">
        <v>53</v>
      </c>
      <c r="O35" s="5"/>
      <c r="P35" s="5" t="s">
        <v>68</v>
      </c>
      <c r="Q35" s="5" t="s">
        <v>65</v>
      </c>
      <c r="R35" s="5" t="s">
        <v>69</v>
      </c>
      <c r="S35" s="5"/>
      <c r="T35" s="5"/>
      <c r="U35" s="5" t="s">
        <v>67</v>
      </c>
      <c r="V35" s="5"/>
      <c r="W35" s="5"/>
      <c r="X35" s="5"/>
      <c r="Y35" s="5"/>
      <c r="Z35" s="5"/>
    </row>
    <row r="36" spans="1:26">
      <c r="A36" s="56">
        <v>43489</v>
      </c>
      <c r="B36" s="30" t="s">
        <v>41</v>
      </c>
      <c r="C36" s="28" t="str">
        <f>$B$1 &amp; " US " &amp; MONTH($D$2)&amp;"/"&amp;DAY($D$2)&amp;"/"&amp;YEAR($D$2) &amp; " " &amp; B3 &amp; K &amp; " Equity"</f>
        <v>UAA US 2/15/2019 C20.5 Equity</v>
      </c>
      <c r="D36" s="66">
        <v>100</v>
      </c>
      <c r="E36" s="40">
        <f>IF(B36="Delta", 1, IF(B36="Option", 100, ""))</f>
        <v>100</v>
      </c>
      <c r="F36" s="40" t="str">
        <f>IF(D36="","","USD")</f>
        <v>USD</v>
      </c>
      <c r="G36" s="41">
        <f ca="1">IF(D36="","",D36*E36*H36)</f>
        <v>11712.903467609798</v>
      </c>
      <c r="H36" s="48">
        <f t="shared" ref="H36:H50" ca="1" si="0">IF(B36="Option",IF(B3="C",PVCall,PVPut),IF(B36="Delta",S_0,""))</f>
        <v>1.1712903467609799</v>
      </c>
      <c r="I36" s="49">
        <v>1.2013</v>
      </c>
      <c r="J36" s="54">
        <f ca="1">IF(D36="","",(H36-I36)*E36*D36)</f>
        <v>-300.09653239020162</v>
      </c>
      <c r="K36" s="41">
        <f t="shared" ref="K36:K50" ca="1" si="1">IF(B36="Option",IF($B$3="C",D36*E36*S_0*deltaCall,D36*E36*S_0*deltaPut),IF(B36="Delta",D36*E36*S_0,""))</f>
        <v>102358.40803662177</v>
      </c>
      <c r="L36" s="41">
        <f t="shared" ref="L36:L50" ca="1" si="2">IF(B36="Option",IF($B$3="C",D36*E36*VegaCall,D36*E36*VegaPut),IF(B36="Delta",0,""))</f>
        <v>193.91610161108397</v>
      </c>
      <c r="M36" s="41">
        <f t="shared" ref="M36:M50" ca="1" si="3">IF(B36="Option",IF($B$3="C",D36*E36*S_0^2/100*GammaCall,D36*E36*S_0^2/100*GammaPut),IF(B36="Delta",0,""))</f>
        <v>5153.5879633060749</v>
      </c>
      <c r="N36" s="41">
        <f ca="1">IF(B36="Option",IF($B$3="C",D36*E36*ThetaC1d,D36*E36*ThetaP1d),IF(B36="Delta",0,""))</f>
        <v>-307.3402011631465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>
      <c r="A37" s="56">
        <f>A36</f>
        <v>43489</v>
      </c>
      <c r="B37" s="30" t="str">
        <f>IF(D37="","","Delta")</f>
        <v>Delta</v>
      </c>
      <c r="C37" s="28" t="str">
        <f>IF($B37="Delta",$B$1&amp;" US Equity", "")</f>
        <v>UAA US Equity</v>
      </c>
      <c r="D37" s="66">
        <v>-5061</v>
      </c>
      <c r="E37" s="40">
        <f t="shared" ref="E37:E50" si="4">IF(B37="Delta", 1, IF(B37="Option", 100, ""))</f>
        <v>1</v>
      </c>
      <c r="F37" s="40" t="str">
        <f t="shared" ref="F37:F50" si="5">IF(D37="","","USD")</f>
        <v>USD</v>
      </c>
      <c r="G37" s="41">
        <f t="shared" ref="G37:G50" si="6">IF(D37="","",D37*E37*H37)</f>
        <v>-102637.08</v>
      </c>
      <c r="H37" s="34">
        <f t="shared" si="0"/>
        <v>20.28</v>
      </c>
      <c r="I37" s="55">
        <f>S_0</f>
        <v>20.28</v>
      </c>
      <c r="J37" s="54">
        <f>IF(D37="","",(H37-I37)*E37*D37)</f>
        <v>0</v>
      </c>
      <c r="K37" s="41">
        <f t="shared" si="1"/>
        <v>-102637.08</v>
      </c>
      <c r="L37" s="41">
        <f t="shared" si="2"/>
        <v>0</v>
      </c>
      <c r="M37" s="41">
        <f t="shared" si="3"/>
        <v>0</v>
      </c>
      <c r="N37" s="41">
        <f t="shared" ref="N37:N50" si="7">IF(B37="Option",IF($B$3="C",D37*E37*ThetaCall,D37*E37*ThetaPut),IF(B37="Delta",0,""))</f>
        <v>0</v>
      </c>
      <c r="O37" s="5"/>
      <c r="P37" s="86">
        <f t="shared" ref="P37:P50" si="8">Amount*Mult*_xlfn.NORM.S.DIST(((LN(I37/K)+(r_dom-q+sigma^2/2)*U37))/(sigma*SQRT(U37)),1)*EXP(-q*U37)</f>
        <v>5061.043912475975</v>
      </c>
      <c r="Q37" s="86">
        <f>SUM($D$37:D37)</f>
        <v>-5061</v>
      </c>
      <c r="R37" s="86">
        <f>P37+Q37</f>
        <v>4.3912475975048437E-2</v>
      </c>
      <c r="S37" s="5"/>
      <c r="T37" s="5"/>
      <c r="U37" s="5">
        <f>($D$2-A37)/365</f>
        <v>6.0273972602739728E-2</v>
      </c>
      <c r="V37" s="5"/>
      <c r="W37" s="5"/>
      <c r="X37" s="5"/>
      <c r="Y37" s="5"/>
      <c r="Z37" s="5"/>
    </row>
    <row r="38" spans="1:26">
      <c r="A38" s="56">
        <f>A37+1</f>
        <v>43490</v>
      </c>
      <c r="B38" s="30" t="str">
        <f t="shared" ref="B38:B50" si="9">IF(D38="","","Delta")</f>
        <v>Delta</v>
      </c>
      <c r="C38" s="28" t="str">
        <f t="shared" ref="C38:C50" si="10">IF($B38="Delta",$B$1&amp;" US Equity", "")</f>
        <v>UAA US Equity</v>
      </c>
      <c r="D38" s="51">
        <f>-(P38+Q37)</f>
        <v>1960.7732599160922</v>
      </c>
      <c r="E38" s="40">
        <f t="shared" si="4"/>
        <v>1</v>
      </c>
      <c r="F38" s="40" t="str">
        <f t="shared" si="5"/>
        <v>USD</v>
      </c>
      <c r="G38" s="41">
        <f t="shared" si="6"/>
        <v>39764.481711098349</v>
      </c>
      <c r="H38" s="34">
        <f t="shared" si="0"/>
        <v>20.28</v>
      </c>
      <c r="I38" s="55">
        <f>$I37*EXP(sigma*_xlfn.NORM.S.INV(Simulation!C3)*SQRT(1/252)+((r_dom-q)-0.5*sigma^2)*1/252)</f>
        <v>18.726916047514873</v>
      </c>
      <c r="J38" s="54">
        <f t="shared" ref="J38:J50" si="11">IF(D38="","",(H38-I38)*E38*D38)</f>
        <v>3045.2454844376339</v>
      </c>
      <c r="K38" s="41">
        <f t="shared" si="1"/>
        <v>39764.481711098349</v>
      </c>
      <c r="L38" s="41">
        <f t="shared" si="2"/>
        <v>0</v>
      </c>
      <c r="M38" s="41">
        <f t="shared" si="3"/>
        <v>0</v>
      </c>
      <c r="N38" s="41">
        <f t="shared" si="7"/>
        <v>0</v>
      </c>
      <c r="O38" s="5"/>
      <c r="P38" s="86">
        <f t="shared" si="8"/>
        <v>3100.2267400839078</v>
      </c>
      <c r="Q38" s="86">
        <f>SUM($D$37:D38)</f>
        <v>-3100.2267400839078</v>
      </c>
      <c r="R38" s="86">
        <f t="shared" ref="R38:R50" si="12">P38+Q38</f>
        <v>0</v>
      </c>
      <c r="S38" s="5"/>
      <c r="T38" s="5"/>
      <c r="U38" s="5">
        <f t="shared" ref="U38:U50" si="13">($D$2-A38)/365</f>
        <v>5.7534246575342465E-2</v>
      </c>
      <c r="V38" s="5"/>
      <c r="W38" s="5"/>
      <c r="X38" s="5"/>
      <c r="Y38" s="5"/>
      <c r="Z38" s="5"/>
    </row>
    <row r="39" spans="1:26">
      <c r="A39" s="56">
        <f t="shared" ref="A39:A50" si="14">A38+1</f>
        <v>43491</v>
      </c>
      <c r="B39" s="30" t="str">
        <f t="shared" si="9"/>
        <v>Delta</v>
      </c>
      <c r="C39" s="28" t="str">
        <f t="shared" si="10"/>
        <v>UAA US Equity</v>
      </c>
      <c r="D39" s="51">
        <f t="shared" ref="D39:D50" si="15">-(P39+Q38)</f>
        <v>-1229.4320036982313</v>
      </c>
      <c r="E39" s="40">
        <f t="shared" si="4"/>
        <v>1</v>
      </c>
      <c r="F39" s="40" t="str">
        <f t="shared" si="5"/>
        <v>USD</v>
      </c>
      <c r="G39" s="41">
        <f t="shared" si="6"/>
        <v>-24932.881035000129</v>
      </c>
      <c r="H39" s="34">
        <f t="shared" si="0"/>
        <v>20.28</v>
      </c>
      <c r="I39" s="55">
        <f>$I38*EXP(sigma*_xlfn.NORM.S.INV(Simulation!C4)*SQRT(1/252)+((r_dom-q)-0.5*sigma^2)*1/252)</f>
        <v>19.737374743664457</v>
      </c>
      <c r="J39" s="54">
        <f t="shared" si="11"/>
        <v>-667.12085615387423</v>
      </c>
      <c r="K39" s="41">
        <f t="shared" si="1"/>
        <v>-24932.881035000129</v>
      </c>
      <c r="L39" s="41">
        <f t="shared" si="2"/>
        <v>0</v>
      </c>
      <c r="M39" s="41">
        <f t="shared" si="3"/>
        <v>0</v>
      </c>
      <c r="N39" s="41">
        <f t="shared" si="7"/>
        <v>0</v>
      </c>
      <c r="O39" s="5"/>
      <c r="P39" s="86">
        <f t="shared" si="8"/>
        <v>4329.658743782139</v>
      </c>
      <c r="Q39" s="86">
        <f>SUM($D$37:D39)</f>
        <v>-4329.658743782139</v>
      </c>
      <c r="R39" s="86">
        <f t="shared" si="12"/>
        <v>0</v>
      </c>
      <c r="S39" s="5"/>
      <c r="T39" s="5"/>
      <c r="U39" s="5">
        <f t="shared" si="13"/>
        <v>5.4794520547945202E-2</v>
      </c>
      <c r="V39" s="5"/>
      <c r="W39" s="5"/>
      <c r="X39" s="5"/>
      <c r="Y39" s="5"/>
      <c r="Z39" s="5"/>
    </row>
    <row r="40" spans="1:26">
      <c r="A40" s="56">
        <f t="shared" si="14"/>
        <v>43492</v>
      </c>
      <c r="B40" s="30" t="str">
        <f t="shared" si="9"/>
        <v>Delta</v>
      </c>
      <c r="C40" s="28" t="str">
        <f t="shared" si="10"/>
        <v>UAA US Equity</v>
      </c>
      <c r="D40" s="51">
        <f t="shared" si="15"/>
        <v>496.63266575289072</v>
      </c>
      <c r="E40" s="40">
        <f t="shared" si="4"/>
        <v>1</v>
      </c>
      <c r="F40" s="40" t="str">
        <f t="shared" si="5"/>
        <v>USD</v>
      </c>
      <c r="G40" s="41">
        <f t="shared" si="6"/>
        <v>10071.710461468625</v>
      </c>
      <c r="H40" s="34">
        <f t="shared" si="0"/>
        <v>20.28</v>
      </c>
      <c r="I40" s="55">
        <f>$I39*EXP(sigma*_xlfn.NORM.S.INV(Simulation!C5)*SQRT(1/252)+((r_dom-q)-0.5*sigma^2)*1/252)</f>
        <v>19.388157907697149</v>
      </c>
      <c r="J40" s="54">
        <f t="shared" si="11"/>
        <v>442.91791573100102</v>
      </c>
      <c r="K40" s="41">
        <f t="shared" si="1"/>
        <v>10071.710461468625</v>
      </c>
      <c r="L40" s="41">
        <f t="shared" si="2"/>
        <v>0</v>
      </c>
      <c r="M40" s="41">
        <f t="shared" si="3"/>
        <v>0</v>
      </c>
      <c r="N40" s="41">
        <f t="shared" si="7"/>
        <v>0</v>
      </c>
      <c r="O40" s="5"/>
      <c r="P40" s="86">
        <f t="shared" si="8"/>
        <v>3833.0260780292483</v>
      </c>
      <c r="Q40" s="86">
        <f>SUM($D$37:D40)</f>
        <v>-3833.0260780292483</v>
      </c>
      <c r="R40" s="86">
        <f t="shared" si="12"/>
        <v>0</v>
      </c>
      <c r="S40" s="5"/>
      <c r="T40" s="5"/>
      <c r="U40" s="5">
        <f t="shared" si="13"/>
        <v>5.2054794520547946E-2</v>
      </c>
      <c r="V40" s="5"/>
      <c r="W40" s="5"/>
      <c r="X40" s="5"/>
      <c r="Y40" s="5"/>
      <c r="Z40" s="5"/>
    </row>
    <row r="41" spans="1:26">
      <c r="A41" s="56">
        <f t="shared" si="14"/>
        <v>43493</v>
      </c>
      <c r="B41" s="30" t="str">
        <f t="shared" si="9"/>
        <v>Delta</v>
      </c>
      <c r="C41" s="28" t="str">
        <f t="shared" si="10"/>
        <v>UAA US Equity</v>
      </c>
      <c r="D41" s="51">
        <f t="shared" si="15"/>
        <v>245.42295488103264</v>
      </c>
      <c r="E41" s="40">
        <f t="shared" si="4"/>
        <v>1</v>
      </c>
      <c r="F41" s="40" t="str">
        <f t="shared" si="5"/>
        <v>USD</v>
      </c>
      <c r="G41" s="41">
        <f t="shared" si="6"/>
        <v>4977.1775249873426</v>
      </c>
      <c r="H41" s="34">
        <f t="shared" si="0"/>
        <v>20.28</v>
      </c>
      <c r="I41" s="55">
        <f>$I40*EXP(sigma*_xlfn.NORM.S.INV(Simulation!C6)*SQRT(1/252)+((r_dom-q)-0.5*sigma^2)*1/252)</f>
        <v>19.240313967405587</v>
      </c>
      <c r="J41" s="54">
        <f t="shared" si="11"/>
        <v>255.16281826785868</v>
      </c>
      <c r="K41" s="41">
        <f t="shared" si="1"/>
        <v>4977.1775249873426</v>
      </c>
      <c r="L41" s="41">
        <f t="shared" si="2"/>
        <v>0</v>
      </c>
      <c r="M41" s="41">
        <f t="shared" si="3"/>
        <v>0</v>
      </c>
      <c r="N41" s="41">
        <f t="shared" si="7"/>
        <v>0</v>
      </c>
      <c r="O41" s="5"/>
      <c r="P41" s="86">
        <f t="shared" si="8"/>
        <v>3587.6031231482157</v>
      </c>
      <c r="Q41" s="86">
        <f>SUM($D$37:D41)</f>
        <v>-3587.6031231482157</v>
      </c>
      <c r="R41" s="86">
        <f t="shared" si="12"/>
        <v>0</v>
      </c>
      <c r="S41" s="5"/>
      <c r="T41" s="5"/>
      <c r="U41" s="5">
        <f t="shared" si="13"/>
        <v>4.9315068493150684E-2</v>
      </c>
      <c r="V41" s="5"/>
      <c r="W41" s="5"/>
      <c r="X41" s="5"/>
      <c r="Y41" s="5"/>
      <c r="Z41" s="5"/>
    </row>
    <row r="42" spans="1:26">
      <c r="A42" s="56">
        <f t="shared" si="14"/>
        <v>43494</v>
      </c>
      <c r="B42" s="30" t="str">
        <f t="shared" si="9"/>
        <v>Delta</v>
      </c>
      <c r="C42" s="28" t="str">
        <f t="shared" si="10"/>
        <v>UAA US Equity</v>
      </c>
      <c r="D42" s="51">
        <f t="shared" si="15"/>
        <v>-682.77630822081483</v>
      </c>
      <c r="E42" s="40">
        <f t="shared" si="4"/>
        <v>1</v>
      </c>
      <c r="F42" s="40" t="str">
        <f t="shared" si="5"/>
        <v>USD</v>
      </c>
      <c r="G42" s="41">
        <f t="shared" si="6"/>
        <v>-13846.703530718125</v>
      </c>
      <c r="H42" s="34">
        <f t="shared" si="0"/>
        <v>20.28</v>
      </c>
      <c r="I42" s="55">
        <f>$I41*EXP(sigma*_xlfn.NORM.S.INV(Simulation!C7)*SQRT(1/252)+((r_dom-q)-0.5*sigma^2)*1/252)</f>
        <v>19.7707324803471</v>
      </c>
      <c r="J42" s="54">
        <f t="shared" si="11"/>
        <v>-347.71579696537935</v>
      </c>
      <c r="K42" s="41">
        <f t="shared" si="1"/>
        <v>-13846.703530718125</v>
      </c>
      <c r="L42" s="41">
        <f t="shared" si="2"/>
        <v>0</v>
      </c>
      <c r="M42" s="41">
        <f t="shared" si="3"/>
        <v>0</v>
      </c>
      <c r="N42" s="41">
        <f t="shared" si="7"/>
        <v>0</v>
      </c>
      <c r="O42" s="5"/>
      <c r="P42" s="86">
        <f t="shared" si="8"/>
        <v>4270.3794313690305</v>
      </c>
      <c r="Q42" s="86">
        <f>SUM($D$37:D42)</f>
        <v>-4270.3794313690305</v>
      </c>
      <c r="R42" s="86">
        <f t="shared" si="12"/>
        <v>0</v>
      </c>
      <c r="S42" s="5"/>
      <c r="T42" s="5"/>
      <c r="U42" s="5">
        <f t="shared" si="13"/>
        <v>4.6575342465753428E-2</v>
      </c>
      <c r="V42" s="5"/>
      <c r="W42" s="5"/>
      <c r="X42" s="5"/>
      <c r="Y42" s="5"/>
      <c r="Z42" s="5"/>
    </row>
    <row r="43" spans="1:26">
      <c r="A43" s="56">
        <f t="shared" si="14"/>
        <v>43495</v>
      </c>
      <c r="B43" s="30" t="str">
        <f t="shared" si="9"/>
        <v>Delta</v>
      </c>
      <c r="C43" s="28" t="str">
        <f t="shared" si="10"/>
        <v>UAA US Equity</v>
      </c>
      <c r="D43" s="51">
        <f t="shared" si="15"/>
        <v>793.36779511368059</v>
      </c>
      <c r="E43" s="40">
        <f t="shared" si="4"/>
        <v>1</v>
      </c>
      <c r="F43" s="40" t="str">
        <f t="shared" si="5"/>
        <v>USD</v>
      </c>
      <c r="G43" s="41">
        <f t="shared" si="6"/>
        <v>16089.498884905443</v>
      </c>
      <c r="H43" s="34">
        <f t="shared" si="0"/>
        <v>20.28</v>
      </c>
      <c r="I43" s="55">
        <f>$I42*EXP(sigma*_xlfn.NORM.S.INV(Simulation!C8)*SQRT(1/252)+((r_dom-q)-0.5*sigma^2)*1/252)</f>
        <v>19.242870989969251</v>
      </c>
      <c r="J43" s="54">
        <f t="shared" si="11"/>
        <v>822.82475593653021</v>
      </c>
      <c r="K43" s="41">
        <f t="shared" si="1"/>
        <v>16089.498884905443</v>
      </c>
      <c r="L43" s="41">
        <f t="shared" si="2"/>
        <v>0</v>
      </c>
      <c r="M43" s="41">
        <f t="shared" si="3"/>
        <v>0</v>
      </c>
      <c r="N43" s="41">
        <f t="shared" si="7"/>
        <v>0</v>
      </c>
      <c r="O43" s="5"/>
      <c r="P43" s="86">
        <f t="shared" si="8"/>
        <v>3477.0116362553499</v>
      </c>
      <c r="Q43" s="86">
        <f>SUM($D$37:D43)</f>
        <v>-3477.0116362553499</v>
      </c>
      <c r="R43" s="86">
        <f t="shared" si="12"/>
        <v>0</v>
      </c>
      <c r="S43" s="5"/>
      <c r="T43" s="5"/>
      <c r="U43" s="5">
        <f t="shared" si="13"/>
        <v>4.3835616438356165E-2</v>
      </c>
      <c r="V43" s="5"/>
      <c r="W43" s="5"/>
      <c r="X43" s="5"/>
      <c r="Y43" s="5"/>
      <c r="Z43" s="5"/>
    </row>
    <row r="44" spans="1:26">
      <c r="A44" s="56">
        <f t="shared" si="14"/>
        <v>43496</v>
      </c>
      <c r="B44" s="30" t="str">
        <f t="shared" si="9"/>
        <v>Delta</v>
      </c>
      <c r="C44" s="28" t="str">
        <f t="shared" si="10"/>
        <v>UAA US Equity</v>
      </c>
      <c r="D44" s="51">
        <f t="shared" si="15"/>
        <v>894.5685805596836</v>
      </c>
      <c r="E44" s="40">
        <f t="shared" si="4"/>
        <v>1</v>
      </c>
      <c r="F44" s="40" t="str">
        <f t="shared" si="5"/>
        <v>USD</v>
      </c>
      <c r="G44" s="41">
        <f t="shared" si="6"/>
        <v>18141.850813750385</v>
      </c>
      <c r="H44" s="34">
        <f t="shared" si="0"/>
        <v>20.28</v>
      </c>
      <c r="I44" s="55">
        <f>$I43*EXP(sigma*_xlfn.NORM.S.INV(Simulation!C9)*SQRT(1/252)+((r_dom-q)-0.5*sigma^2)*1/252)</f>
        <v>18.640425698890876</v>
      </c>
      <c r="J44" s="54">
        <f t="shared" si="11"/>
        <v>1466.7116552653251</v>
      </c>
      <c r="K44" s="41">
        <f t="shared" si="1"/>
        <v>18141.850813750385</v>
      </c>
      <c r="L44" s="41">
        <f t="shared" si="2"/>
        <v>0</v>
      </c>
      <c r="M44" s="41">
        <f t="shared" si="3"/>
        <v>0</v>
      </c>
      <c r="N44" s="41">
        <f t="shared" si="7"/>
        <v>0</v>
      </c>
      <c r="O44" s="5"/>
      <c r="P44" s="86">
        <f t="shared" si="8"/>
        <v>2582.4430556956663</v>
      </c>
      <c r="Q44" s="86">
        <f>SUM($D$37:D44)</f>
        <v>-2582.4430556956663</v>
      </c>
      <c r="R44" s="86">
        <f t="shared" si="12"/>
        <v>0</v>
      </c>
      <c r="S44" s="5"/>
      <c r="T44" s="5"/>
      <c r="U44" s="5">
        <f t="shared" si="13"/>
        <v>4.1095890410958902E-2</v>
      </c>
      <c r="V44" s="5"/>
      <c r="W44" s="5"/>
      <c r="X44" s="5"/>
      <c r="Y44" s="5"/>
      <c r="Z44" s="5"/>
    </row>
    <row r="45" spans="1:26">
      <c r="A45" s="56">
        <f t="shared" si="14"/>
        <v>43497</v>
      </c>
      <c r="B45" s="30" t="str">
        <f t="shared" si="9"/>
        <v>Delta</v>
      </c>
      <c r="C45" s="28" t="str">
        <f t="shared" si="10"/>
        <v>UAA US Equity</v>
      </c>
      <c r="D45" s="51">
        <f t="shared" si="15"/>
        <v>-55.252544694965309</v>
      </c>
      <c r="E45" s="40">
        <f t="shared" si="4"/>
        <v>1</v>
      </c>
      <c r="F45" s="40" t="str">
        <f t="shared" si="5"/>
        <v>USD</v>
      </c>
      <c r="G45" s="41">
        <f t="shared" si="6"/>
        <v>-1120.5216064138965</v>
      </c>
      <c r="H45" s="34">
        <f t="shared" si="0"/>
        <v>20.28</v>
      </c>
      <c r="I45" s="55">
        <f>$I44*EXP(sigma*_xlfn.NORM.S.INV(Simulation!C10)*SQRT(1/252)+((r_dom-q)-0.5*sigma^2)*1/252)</f>
        <v>18.746945417377262</v>
      </c>
      <c r="J45" s="54">
        <f t="shared" si="11"/>
        <v>-84.705166846184284</v>
      </c>
      <c r="K45" s="41">
        <f t="shared" si="1"/>
        <v>-1120.5216064138965</v>
      </c>
      <c r="L45" s="41">
        <f t="shared" si="2"/>
        <v>0</v>
      </c>
      <c r="M45" s="41">
        <f t="shared" si="3"/>
        <v>0</v>
      </c>
      <c r="N45" s="41">
        <f t="shared" si="7"/>
        <v>0</v>
      </c>
      <c r="O45" s="5"/>
      <c r="P45" s="86">
        <f t="shared" si="8"/>
        <v>2637.6956003906316</v>
      </c>
      <c r="Q45" s="86">
        <f>SUM($D$37:D45)</f>
        <v>-2637.6956003906316</v>
      </c>
      <c r="R45" s="86">
        <f t="shared" si="12"/>
        <v>0</v>
      </c>
      <c r="S45" s="5"/>
      <c r="T45" s="5"/>
      <c r="U45" s="5">
        <f t="shared" si="13"/>
        <v>3.8356164383561646E-2</v>
      </c>
      <c r="V45" s="5"/>
      <c r="W45" s="5"/>
      <c r="X45" s="5"/>
      <c r="Y45" s="5"/>
      <c r="Z45" s="5"/>
    </row>
    <row r="46" spans="1:26">
      <c r="A46" s="56">
        <f t="shared" si="14"/>
        <v>43498</v>
      </c>
      <c r="B46" s="30" t="str">
        <f t="shared" si="9"/>
        <v>Delta</v>
      </c>
      <c r="C46" s="28" t="str">
        <f t="shared" si="10"/>
        <v>UAA US Equity</v>
      </c>
      <c r="D46" s="51">
        <f t="shared" si="15"/>
        <v>658.996557906926</v>
      </c>
      <c r="E46" s="40">
        <f t="shared" si="4"/>
        <v>1</v>
      </c>
      <c r="F46" s="40" t="str">
        <f t="shared" si="5"/>
        <v>USD</v>
      </c>
      <c r="G46" s="41">
        <f t="shared" si="6"/>
        <v>13364.450194352459</v>
      </c>
      <c r="H46" s="34">
        <f t="shared" si="0"/>
        <v>20.28</v>
      </c>
      <c r="I46" s="55">
        <f>$I45*EXP(sigma*_xlfn.NORM.S.INV(Simulation!C11)*SQRT(1/252)+((r_dom-q)-0.5*sigma^2)*1/252)</f>
        <v>18.315172647221821</v>
      </c>
      <c r="J46" s="54">
        <f t="shared" si="11"/>
        <v>1294.8144623621979</v>
      </c>
      <c r="K46" s="41">
        <f t="shared" si="1"/>
        <v>13364.450194352459</v>
      </c>
      <c r="L46" s="41">
        <f t="shared" si="2"/>
        <v>0</v>
      </c>
      <c r="M46" s="41">
        <f t="shared" si="3"/>
        <v>0</v>
      </c>
      <c r="N46" s="41">
        <f t="shared" si="7"/>
        <v>0</v>
      </c>
      <c r="O46" s="5"/>
      <c r="P46" s="86">
        <f t="shared" si="8"/>
        <v>1978.6990424837056</v>
      </c>
      <c r="Q46" s="86">
        <f>SUM($D$37:D46)</f>
        <v>-1978.6990424837056</v>
      </c>
      <c r="R46" s="86">
        <f t="shared" si="12"/>
        <v>0</v>
      </c>
      <c r="S46" s="5"/>
      <c r="T46" s="5"/>
      <c r="U46" s="5">
        <f t="shared" si="13"/>
        <v>3.5616438356164383E-2</v>
      </c>
      <c r="V46" s="5"/>
      <c r="W46" s="5"/>
      <c r="X46" s="5"/>
      <c r="Y46" s="5"/>
      <c r="Z46" s="5"/>
    </row>
    <row r="47" spans="1:26">
      <c r="A47" s="56">
        <f t="shared" si="14"/>
        <v>43499</v>
      </c>
      <c r="B47" s="30" t="str">
        <f t="shared" si="9"/>
        <v>Delta</v>
      </c>
      <c r="C47" s="28" t="str">
        <f t="shared" si="10"/>
        <v>UAA US Equity</v>
      </c>
      <c r="D47" s="51">
        <f t="shared" si="15"/>
        <v>549.80145355026252</v>
      </c>
      <c r="E47" s="40">
        <f t="shared" si="4"/>
        <v>1</v>
      </c>
      <c r="F47" s="40" t="str">
        <f t="shared" si="5"/>
        <v>USD</v>
      </c>
      <c r="G47" s="41">
        <f t="shared" si="6"/>
        <v>11149.973477999325</v>
      </c>
      <c r="H47" s="34">
        <f t="shared" si="0"/>
        <v>20.28</v>
      </c>
      <c r="I47" s="55">
        <f>$I46*EXP(sigma*_xlfn.NORM.S.INV(Simulation!C12)*SQRT(1/252)+((r_dom-q)-0.5*sigma^2)*1/252)</f>
        <v>17.931725380778865</v>
      </c>
      <c r="J47" s="54">
        <f t="shared" si="11"/>
        <v>1291.0847989829701</v>
      </c>
      <c r="K47" s="41">
        <f t="shared" si="1"/>
        <v>11149.973477999325</v>
      </c>
      <c r="L47" s="41">
        <f t="shared" si="2"/>
        <v>0</v>
      </c>
      <c r="M47" s="41">
        <f t="shared" si="3"/>
        <v>0</v>
      </c>
      <c r="N47" s="41">
        <f t="shared" si="7"/>
        <v>0</v>
      </c>
      <c r="O47" s="5"/>
      <c r="P47" s="86">
        <f t="shared" si="8"/>
        <v>1428.8975889334431</v>
      </c>
      <c r="Q47" s="86">
        <f>SUM($D$37:D47)</f>
        <v>-1428.8975889334431</v>
      </c>
      <c r="R47" s="86">
        <f t="shared" si="12"/>
        <v>0</v>
      </c>
      <c r="S47" s="5"/>
      <c r="T47" s="5"/>
      <c r="U47" s="5">
        <f t="shared" si="13"/>
        <v>3.287671232876712E-2</v>
      </c>
      <c r="V47" s="5"/>
      <c r="W47" s="5"/>
      <c r="X47" s="5"/>
      <c r="Y47" s="5"/>
      <c r="Z47" s="5"/>
    </row>
    <row r="48" spans="1:26">
      <c r="A48" s="56">
        <f t="shared" si="14"/>
        <v>43500</v>
      </c>
      <c r="B48" s="30" t="str">
        <f t="shared" si="9"/>
        <v>Delta</v>
      </c>
      <c r="C48" s="28" t="str">
        <f t="shared" si="10"/>
        <v>UAA US Equity</v>
      </c>
      <c r="D48" s="51">
        <f t="shared" si="15"/>
        <v>-180.99839450288073</v>
      </c>
      <c r="E48" s="40">
        <f t="shared" si="4"/>
        <v>1</v>
      </c>
      <c r="F48" s="40" t="str">
        <f t="shared" si="5"/>
        <v>USD</v>
      </c>
      <c r="G48" s="41">
        <f t="shared" si="6"/>
        <v>-3670.6474405184213</v>
      </c>
      <c r="H48" s="34">
        <f t="shared" si="0"/>
        <v>20.28</v>
      </c>
      <c r="I48" s="55">
        <f>$I47*EXP(sigma*_xlfn.NORM.S.INV(Simulation!C13)*SQRT(1/252)+((r_dom-q)-0.5*sigma^2)*1/252)</f>
        <v>18.198000144424597</v>
      </c>
      <c r="J48" s="54">
        <f t="shared" si="11"/>
        <v>-376.8386312143777</v>
      </c>
      <c r="K48" s="41">
        <f t="shared" si="1"/>
        <v>-3670.6474405184213</v>
      </c>
      <c r="L48" s="41">
        <f t="shared" si="2"/>
        <v>0</v>
      </c>
      <c r="M48" s="41">
        <f t="shared" si="3"/>
        <v>0</v>
      </c>
      <c r="N48" s="41">
        <f t="shared" si="7"/>
        <v>0</v>
      </c>
      <c r="O48" s="5"/>
      <c r="P48" s="86">
        <f t="shared" si="8"/>
        <v>1609.8959834363238</v>
      </c>
      <c r="Q48" s="86">
        <f>SUM($D$37:D48)</f>
        <v>-1609.8959834363238</v>
      </c>
      <c r="R48" s="86">
        <f t="shared" si="12"/>
        <v>0</v>
      </c>
      <c r="S48" s="5"/>
      <c r="T48" s="5"/>
      <c r="U48" s="5">
        <f t="shared" si="13"/>
        <v>3.0136986301369864E-2</v>
      </c>
      <c r="V48" s="5"/>
      <c r="W48" s="5"/>
      <c r="X48" s="5"/>
      <c r="Y48" s="5"/>
      <c r="Z48" s="5"/>
    </row>
    <row r="49" spans="1:26">
      <c r="A49" s="56">
        <f t="shared" si="14"/>
        <v>43501</v>
      </c>
      <c r="B49" s="30" t="str">
        <f t="shared" si="9"/>
        <v>Delta</v>
      </c>
      <c r="C49" s="28" t="str">
        <f t="shared" si="10"/>
        <v>UAA US Equity</v>
      </c>
      <c r="D49" s="51">
        <f t="shared" si="15"/>
        <v>360.70409363843282</v>
      </c>
      <c r="E49" s="40">
        <f t="shared" si="4"/>
        <v>1</v>
      </c>
      <c r="F49" s="40" t="str">
        <f t="shared" si="5"/>
        <v>USD</v>
      </c>
      <c r="G49" s="41">
        <f t="shared" si="6"/>
        <v>7315.0790189874178</v>
      </c>
      <c r="H49" s="34">
        <f t="shared" si="0"/>
        <v>20.28</v>
      </c>
      <c r="I49" s="55">
        <f>$I48*EXP(sigma*_xlfn.NORM.S.INV(Simulation!C14)*SQRT(1/252)+((r_dom-q)-0.5*sigma^2)*1/252)</f>
        <v>17.989542726147889</v>
      </c>
      <c r="J49" s="54">
        <f t="shared" si="11"/>
        <v>826.17731498238197</v>
      </c>
      <c r="K49" s="41">
        <f t="shared" si="1"/>
        <v>7315.0790189874178</v>
      </c>
      <c r="L49" s="41">
        <f t="shared" si="2"/>
        <v>0</v>
      </c>
      <c r="M49" s="41">
        <f t="shared" si="3"/>
        <v>0</v>
      </c>
      <c r="N49" s="41">
        <f t="shared" si="7"/>
        <v>0</v>
      </c>
      <c r="O49" s="5"/>
      <c r="P49" s="86">
        <f t="shared" si="8"/>
        <v>1249.191889797891</v>
      </c>
      <c r="Q49" s="86">
        <f>SUM($D$37:D49)</f>
        <v>-1249.191889797891</v>
      </c>
      <c r="R49" s="86">
        <f t="shared" si="12"/>
        <v>0</v>
      </c>
      <c r="S49" s="5"/>
      <c r="T49" s="5"/>
      <c r="U49" s="5">
        <f t="shared" si="13"/>
        <v>2.7397260273972601E-2</v>
      </c>
      <c r="V49" s="5"/>
      <c r="W49" s="5"/>
      <c r="X49" s="5"/>
      <c r="Y49" s="5"/>
      <c r="Z49" s="5"/>
    </row>
    <row r="50" spans="1:26">
      <c r="A50" s="56">
        <f t="shared" si="14"/>
        <v>43502</v>
      </c>
      <c r="B50" s="30" t="str">
        <f t="shared" si="9"/>
        <v>Delta</v>
      </c>
      <c r="C50" s="28" t="str">
        <f t="shared" si="10"/>
        <v>UAA US Equity</v>
      </c>
      <c r="D50" s="51">
        <f t="shared" si="15"/>
        <v>-985.73413703978554</v>
      </c>
      <c r="E50" s="40">
        <f t="shared" si="4"/>
        <v>1</v>
      </c>
      <c r="F50" s="40" t="str">
        <f t="shared" si="5"/>
        <v>USD</v>
      </c>
      <c r="G50" s="41">
        <f t="shared" si="6"/>
        <v>-19990.688299166854</v>
      </c>
      <c r="H50" s="34">
        <f t="shared" si="0"/>
        <v>20.28</v>
      </c>
      <c r="I50" s="55">
        <f>$I49*EXP(sigma*_xlfn.NORM.S.INV(Simulation!C15)*SQRT(1/252)+((r_dom-q)-0.5*sigma^2)*1/252)</f>
        <v>18.856809674084172</v>
      </c>
      <c r="J50" s="54">
        <f t="shared" si="11"/>
        <v>-1402.8872877600113</v>
      </c>
      <c r="K50" s="41">
        <f t="shared" si="1"/>
        <v>-19990.688299166854</v>
      </c>
      <c r="L50" s="41">
        <f t="shared" si="2"/>
        <v>0</v>
      </c>
      <c r="M50" s="41">
        <f t="shared" si="3"/>
        <v>0</v>
      </c>
      <c r="N50" s="41">
        <f t="shared" si="7"/>
        <v>0</v>
      </c>
      <c r="O50" s="5"/>
      <c r="P50" s="86">
        <f t="shared" si="8"/>
        <v>2234.9260268376765</v>
      </c>
      <c r="Q50" s="86">
        <f>SUM($D$37:D50)</f>
        <v>-2234.9260268376765</v>
      </c>
      <c r="R50" s="86">
        <f t="shared" si="12"/>
        <v>0</v>
      </c>
      <c r="S50" s="5"/>
      <c r="T50" s="5"/>
      <c r="U50" s="5">
        <f t="shared" si="13"/>
        <v>2.4657534246575342E-2</v>
      </c>
      <c r="V50" s="5"/>
      <c r="W50" s="5"/>
      <c r="X50" s="5"/>
      <c r="Y50" s="5"/>
      <c r="Z50" s="5"/>
    </row>
    <row r="51" spans="1:26">
      <c r="A51" s="5"/>
      <c r="B51" s="5"/>
      <c r="C51" s="5"/>
      <c r="D51" s="5"/>
      <c r="E51" s="5"/>
      <c r="F51" s="5"/>
      <c r="G51" s="5"/>
      <c r="H51" s="28"/>
      <c r="I51" s="58"/>
      <c r="J51" s="58"/>
      <c r="K51" s="58"/>
      <c r="L51" s="58"/>
      <c r="M51" s="58"/>
      <c r="N51" s="58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>
      <c r="A52" s="5"/>
      <c r="B52" s="5"/>
      <c r="C52" s="5"/>
      <c r="D52" s="5"/>
      <c r="E52" s="5"/>
      <c r="F52" s="5"/>
      <c r="G52" s="5"/>
      <c r="H52" s="28"/>
      <c r="I52" s="59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>
      <c r="A58" s="5"/>
      <c r="B58" s="5"/>
      <c r="C58" s="5"/>
      <c r="D58" s="5"/>
      <c r="E58" s="5"/>
      <c r="F58" s="5"/>
      <c r="G58" s="5"/>
      <c r="H58" s="5"/>
      <c r="I58" s="61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>
      <c r="A60" s="5"/>
      <c r="B60" s="5"/>
      <c r="C60" s="5"/>
      <c r="D60" s="5"/>
      <c r="E60" s="5"/>
      <c r="F60" s="5"/>
      <c r="G60" s="5"/>
      <c r="H60" s="5"/>
      <c r="I60" s="60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>
      <c r="A61" s="5"/>
      <c r="B61" s="5"/>
      <c r="C61" s="5"/>
      <c r="D61" s="5"/>
      <c r="E61" s="5"/>
      <c r="F61" s="5"/>
      <c r="G61" s="5"/>
      <c r="H61" s="5"/>
      <c r="I61" s="60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>
      <c r="A65" s="56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>
      <c r="A66" s="56"/>
      <c r="B66" s="5"/>
      <c r="C66" s="5"/>
      <c r="D66" s="5"/>
      <c r="E66" s="5"/>
      <c r="F66" s="28"/>
      <c r="G66" s="62"/>
      <c r="H66" s="62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>
      <c r="A67" s="56"/>
      <c r="B67" s="5"/>
      <c r="C67" s="5"/>
      <c r="D67" s="5"/>
      <c r="E67" s="5"/>
      <c r="F67" s="28"/>
      <c r="G67" s="65"/>
      <c r="H67" s="6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>
      <c r="A68" s="56"/>
      <c r="B68" s="5"/>
      <c r="C68" s="5"/>
      <c r="D68" s="5"/>
      <c r="E68" s="5"/>
      <c r="F68" s="28"/>
      <c r="G68" s="62"/>
      <c r="H68" s="62"/>
      <c r="I68" s="5"/>
      <c r="J68" s="29"/>
      <c r="K68" s="29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>
      <c r="A69" s="56"/>
      <c r="B69" s="5"/>
      <c r="C69" s="5"/>
      <c r="D69" s="5"/>
      <c r="E69" s="5"/>
      <c r="F69" s="28"/>
      <c r="G69" s="62"/>
      <c r="H69" s="62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>
      <c r="A70" s="56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>
      <c r="A71" s="56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>
      <c r="A72" s="56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>
      <c r="A73" s="56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>
      <c r="A74" s="56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>
      <c r="A75" s="56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>
      <c r="A76" s="56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>
      <c r="A77" s="56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>
      <c r="A78" s="56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>
      <c r="A79" s="56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>
      <c r="A80" s="56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>
      <c r="A81" s="56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>
      <c r="A82" s="56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>
      <c r="A83" s="56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>
      <c r="A84" s="56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>
      <c r="A85" s="56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>
      <c r="C108" s="5"/>
      <c r="D108" s="5"/>
      <c r="E108" s="5"/>
    </row>
    <row r="109" spans="1:26">
      <c r="C109" s="5"/>
      <c r="D109" s="5"/>
      <c r="E109" s="5"/>
    </row>
    <row r="110" spans="1:26">
      <c r="C110" s="5"/>
      <c r="D110" s="5"/>
      <c r="E110" s="5"/>
    </row>
    <row r="111" spans="1:26">
      <c r="C111" s="5"/>
      <c r="D111" s="5"/>
      <c r="E111" s="5"/>
    </row>
    <row r="112" spans="1:26">
      <c r="C112" s="5"/>
      <c r="D112" s="5"/>
      <c r="E112" s="5"/>
    </row>
    <row r="113" spans="3:5">
      <c r="C113" s="5"/>
      <c r="D113" s="5"/>
      <c r="E113" s="5"/>
    </row>
    <row r="114" spans="3:5">
      <c r="C114" s="5"/>
      <c r="D114" s="5"/>
      <c r="E114" s="5"/>
    </row>
    <row r="115" spans="3:5">
      <c r="C115" s="5"/>
      <c r="D115" s="5"/>
      <c r="E115" s="5"/>
    </row>
    <row r="116" spans="3:5">
      <c r="C116" s="5"/>
      <c r="D116" s="5"/>
      <c r="E116" s="5"/>
    </row>
    <row r="117" spans="3:5">
      <c r="C117" s="5"/>
      <c r="D117" s="5"/>
      <c r="E117" s="5"/>
    </row>
    <row r="118" spans="3:5">
      <c r="C118" s="5"/>
      <c r="D118" s="5"/>
      <c r="E118" s="5"/>
    </row>
    <row r="119" spans="3:5">
      <c r="C119" s="5"/>
      <c r="D119" s="5"/>
      <c r="E119" s="5"/>
    </row>
    <row r="120" spans="3:5">
      <c r="C120" s="5"/>
      <c r="D120" s="5"/>
      <c r="E120" s="5"/>
    </row>
    <row r="121" spans="3:5">
      <c r="C121" s="5"/>
      <c r="D121" s="5"/>
      <c r="E121" s="5"/>
    </row>
    <row r="122" spans="3:5">
      <c r="C122" s="5"/>
      <c r="D122" s="5"/>
      <c r="E122" s="5"/>
    </row>
    <row r="123" spans="3:5">
      <c r="C123" s="5"/>
      <c r="D123" s="5"/>
      <c r="E123" s="5"/>
    </row>
    <row r="124" spans="3:5">
      <c r="C124" s="5"/>
      <c r="D124" s="5"/>
      <c r="E124" s="5"/>
    </row>
    <row r="125" spans="3:5">
      <c r="C125" s="5"/>
      <c r="D125" s="5"/>
      <c r="E125" s="5"/>
    </row>
    <row r="126" spans="3:5">
      <c r="C126" s="5"/>
      <c r="D126" s="5"/>
      <c r="E126" s="5"/>
    </row>
    <row r="127" spans="3:5">
      <c r="C127" s="5"/>
      <c r="D127" s="5"/>
      <c r="E127" s="5"/>
    </row>
    <row r="128" spans="3:5">
      <c r="C128" s="5"/>
      <c r="D128" s="5"/>
      <c r="E128" s="5"/>
    </row>
    <row r="129" spans="3:5">
      <c r="C129" s="5"/>
      <c r="D129" s="5"/>
      <c r="E129" s="5"/>
    </row>
    <row r="130" spans="3:5">
      <c r="C130" s="5"/>
      <c r="D130" s="5"/>
      <c r="E130" s="5"/>
    </row>
    <row r="131" spans="3:5">
      <c r="C131" s="5"/>
      <c r="D131" s="5"/>
      <c r="E131" s="5"/>
    </row>
    <row r="132" spans="3:5">
      <c r="C132" s="5"/>
      <c r="D132" s="5"/>
      <c r="E132" s="5"/>
    </row>
    <row r="133" spans="3:5">
      <c r="C133" s="5"/>
      <c r="D133" s="5"/>
      <c r="E133" s="5"/>
    </row>
    <row r="134" spans="3:5">
      <c r="C134" s="5"/>
      <c r="D134" s="5"/>
      <c r="E134" s="5"/>
    </row>
    <row r="135" spans="3:5">
      <c r="C135" s="5"/>
      <c r="D135" s="5"/>
      <c r="E135" s="5"/>
    </row>
    <row r="136" spans="3:5">
      <c r="C136" s="5"/>
      <c r="D136" s="5"/>
      <c r="E136" s="5"/>
    </row>
    <row r="137" spans="3:5">
      <c r="C137" s="5"/>
      <c r="D137" s="5"/>
      <c r="E137" s="5"/>
    </row>
    <row r="138" spans="3:5">
      <c r="C138" s="5"/>
      <c r="D138" s="5"/>
      <c r="E138" s="5"/>
    </row>
    <row r="139" spans="3:5">
      <c r="C139" s="5"/>
      <c r="D139" s="5"/>
      <c r="E139" s="5"/>
    </row>
    <row r="140" spans="3:5">
      <c r="C140" s="5"/>
      <c r="D140" s="5"/>
      <c r="E140" s="5"/>
    </row>
    <row r="141" spans="3:5">
      <c r="C141" s="5"/>
      <c r="D141" s="5"/>
      <c r="E141" s="5"/>
    </row>
    <row r="142" spans="3:5">
      <c r="C142" s="5"/>
      <c r="D142" s="5"/>
      <c r="E142" s="5"/>
    </row>
    <row r="143" spans="3:5">
      <c r="C143" s="5"/>
      <c r="D143" s="5"/>
      <c r="E143" s="5"/>
    </row>
    <row r="144" spans="3:5">
      <c r="C144" s="5"/>
      <c r="D144" s="5"/>
      <c r="E144" s="5"/>
    </row>
    <row r="145" spans="3:5">
      <c r="C145" s="5"/>
      <c r="D145" s="5"/>
      <c r="E145" s="5"/>
    </row>
    <row r="146" spans="3:5">
      <c r="C146" s="5"/>
      <c r="D146" s="5"/>
      <c r="E146" s="5"/>
    </row>
    <row r="147" spans="3:5">
      <c r="C147" s="5"/>
      <c r="D147" s="5"/>
      <c r="E147" s="5"/>
    </row>
    <row r="148" spans="3:5">
      <c r="C148" s="5"/>
      <c r="D148" s="5"/>
      <c r="E148" s="5"/>
    </row>
    <row r="149" spans="3:5">
      <c r="C149" s="5"/>
      <c r="D149" s="5"/>
      <c r="E149" s="5"/>
    </row>
    <row r="150" spans="3:5">
      <c r="C150" s="5"/>
      <c r="D150" s="5"/>
      <c r="E150" s="5"/>
    </row>
    <row r="151" spans="3:5">
      <c r="C151" s="5"/>
      <c r="D151" s="5"/>
      <c r="E151" s="5"/>
    </row>
    <row r="152" spans="3:5">
      <c r="C152" s="5"/>
      <c r="D152" s="5"/>
      <c r="E152" s="5"/>
    </row>
    <row r="153" spans="3:5">
      <c r="C153" s="5"/>
      <c r="D153" s="5"/>
      <c r="E153" s="5"/>
    </row>
    <row r="154" spans="3:5">
      <c r="C154" s="5"/>
      <c r="D154" s="5"/>
      <c r="E154" s="5"/>
    </row>
    <row r="155" spans="3:5">
      <c r="C155" s="5"/>
      <c r="D155" s="5"/>
      <c r="E155" s="5"/>
    </row>
    <row r="156" spans="3:5">
      <c r="C156" s="5"/>
      <c r="D156" s="5"/>
      <c r="E156" s="5"/>
    </row>
    <row r="157" spans="3:5">
      <c r="C157" s="5"/>
      <c r="D157" s="5"/>
      <c r="E157" s="5"/>
    </row>
    <row r="158" spans="3:5">
      <c r="C158" s="5"/>
      <c r="D158" s="5"/>
      <c r="E158" s="5"/>
    </row>
    <row r="159" spans="3:5">
      <c r="C159" s="5"/>
      <c r="D159" s="5"/>
      <c r="E159" s="5"/>
    </row>
    <row r="160" spans="3:5">
      <c r="C160" s="5"/>
      <c r="D160" s="5"/>
      <c r="E160" s="5"/>
    </row>
    <row r="161" spans="3:5">
      <c r="C161" s="5"/>
      <c r="D161" s="5"/>
      <c r="E161" s="5"/>
    </row>
    <row r="162" spans="3:5">
      <c r="C162" s="5"/>
      <c r="D162" s="5"/>
      <c r="E162" s="5"/>
    </row>
    <row r="163" spans="3:5">
      <c r="C163" s="5"/>
      <c r="D163" s="5"/>
      <c r="E163" s="5"/>
    </row>
    <row r="164" spans="3:5">
      <c r="C164" s="5"/>
      <c r="D164" s="5"/>
      <c r="E164" s="5"/>
    </row>
    <row r="165" spans="3:5">
      <c r="C165" s="5"/>
      <c r="D165" s="5"/>
      <c r="E165" s="5"/>
    </row>
    <row r="166" spans="3:5">
      <c r="C166" s="5"/>
      <c r="D166" s="5"/>
      <c r="E166" s="5"/>
    </row>
    <row r="167" spans="3:5">
      <c r="C167" s="5"/>
      <c r="D167" s="5"/>
      <c r="E167" s="5"/>
    </row>
    <row r="168" spans="3:5">
      <c r="C168" s="5"/>
      <c r="D168" s="5"/>
      <c r="E168" s="5"/>
    </row>
    <row r="169" spans="3:5">
      <c r="C169" s="5"/>
      <c r="D169" s="5"/>
      <c r="E169" s="5"/>
    </row>
    <row r="170" spans="3:5">
      <c r="C170" s="5"/>
      <c r="D170" s="5"/>
      <c r="E170" s="5"/>
    </row>
    <row r="171" spans="3:5">
      <c r="C171" s="5"/>
      <c r="D171" s="5"/>
      <c r="E171" s="5"/>
    </row>
    <row r="172" spans="3:5">
      <c r="C172" s="5"/>
      <c r="D172" s="5"/>
      <c r="E172" s="5"/>
    </row>
    <row r="173" spans="3:5">
      <c r="C173" s="5"/>
      <c r="D173" s="5"/>
      <c r="E173" s="5"/>
    </row>
    <row r="174" spans="3:5">
      <c r="C174" s="5"/>
      <c r="D174" s="5"/>
      <c r="E174" s="5"/>
    </row>
    <row r="175" spans="3:5">
      <c r="C175" s="5"/>
      <c r="D175" s="5"/>
      <c r="E175" s="5"/>
    </row>
    <row r="176" spans="3:5">
      <c r="C176" s="5"/>
      <c r="D176" s="5"/>
      <c r="E176" s="5"/>
    </row>
    <row r="177" spans="3:5">
      <c r="C177" s="5"/>
      <c r="D177" s="5"/>
      <c r="E177" s="5"/>
    </row>
    <row r="178" spans="3:5">
      <c r="C178" s="5"/>
      <c r="D178" s="5"/>
      <c r="E178" s="5"/>
    </row>
    <row r="179" spans="3:5">
      <c r="C179" s="5"/>
      <c r="D179" s="5"/>
      <c r="E179" s="5"/>
    </row>
    <row r="180" spans="3:5">
      <c r="C180" s="5"/>
      <c r="D180" s="5"/>
      <c r="E180" s="5"/>
    </row>
    <row r="181" spans="3:5">
      <c r="C181" s="5"/>
      <c r="D181" s="5"/>
      <c r="E181" s="5"/>
    </row>
    <row r="182" spans="3:5">
      <c r="C182" s="5"/>
      <c r="D182" s="5"/>
      <c r="E182" s="5"/>
    </row>
    <row r="183" spans="3:5">
      <c r="C183" s="5"/>
      <c r="D183" s="5"/>
      <c r="E183" s="5"/>
    </row>
    <row r="184" spans="3:5">
      <c r="C184" s="5"/>
      <c r="D184" s="5"/>
      <c r="E184" s="5"/>
    </row>
    <row r="185" spans="3:5">
      <c r="C185" s="5"/>
      <c r="D185" s="5"/>
      <c r="E185" s="5"/>
    </row>
    <row r="186" spans="3:5">
      <c r="C186" s="5"/>
      <c r="D186" s="5"/>
      <c r="E186" s="5"/>
    </row>
    <row r="187" spans="3:5">
      <c r="C187" s="5"/>
      <c r="D187" s="5"/>
      <c r="E187" s="5"/>
    </row>
    <row r="188" spans="3:5">
      <c r="C188" s="5"/>
      <c r="D188" s="5"/>
      <c r="E188" s="5"/>
    </row>
    <row r="189" spans="3:5">
      <c r="C189" s="5"/>
      <c r="D189" s="5"/>
      <c r="E189" s="5"/>
    </row>
    <row r="190" spans="3:5">
      <c r="C190" s="5"/>
      <c r="D190" s="5"/>
      <c r="E190" s="5"/>
    </row>
    <row r="191" spans="3:5">
      <c r="C191" s="5"/>
      <c r="D191" s="5"/>
      <c r="E191" s="5"/>
    </row>
    <row r="192" spans="3:5">
      <c r="C192" s="5"/>
      <c r="D192" s="5"/>
      <c r="E192" s="5"/>
    </row>
    <row r="193" spans="3:5">
      <c r="C193" s="5"/>
      <c r="D193" s="5"/>
      <c r="E193" s="5"/>
    </row>
    <row r="194" spans="3:5">
      <c r="C194" s="5"/>
      <c r="D194" s="5"/>
      <c r="E194" s="5"/>
    </row>
    <row r="195" spans="3:5">
      <c r="C195" s="5"/>
      <c r="D195" s="5"/>
      <c r="E195" s="5"/>
    </row>
    <row r="196" spans="3:5">
      <c r="C196" s="5"/>
      <c r="D196" s="5"/>
      <c r="E196" s="5"/>
    </row>
    <row r="197" spans="3:5">
      <c r="C197" s="5"/>
      <c r="D197" s="5"/>
      <c r="E197" s="5"/>
    </row>
    <row r="198" spans="3:5">
      <c r="C198" s="5"/>
      <c r="D198" s="5"/>
      <c r="E198" s="5"/>
    </row>
    <row r="199" spans="3:5">
      <c r="C199" s="5"/>
      <c r="D199" s="5"/>
      <c r="E199" s="5"/>
    </row>
    <row r="200" spans="3:5">
      <c r="C200" s="5"/>
      <c r="D200" s="5"/>
      <c r="E200" s="5"/>
    </row>
    <row r="201" spans="3:5">
      <c r="C201" s="5"/>
      <c r="D201" s="5"/>
      <c r="E201" s="5"/>
    </row>
    <row r="202" spans="3:5">
      <c r="C202" s="5"/>
      <c r="D202" s="5"/>
      <c r="E202" s="5"/>
    </row>
    <row r="203" spans="3:5">
      <c r="C203" s="5"/>
      <c r="D203" s="5"/>
      <c r="E203" s="5"/>
    </row>
    <row r="204" spans="3:5">
      <c r="C204" s="5"/>
      <c r="D204" s="5"/>
      <c r="E204" s="5"/>
    </row>
    <row r="205" spans="3:5">
      <c r="C205" s="5"/>
      <c r="D205" s="5"/>
      <c r="E205" s="5"/>
    </row>
    <row r="206" spans="3:5">
      <c r="C206" s="5"/>
      <c r="D206" s="5"/>
      <c r="E206" s="5"/>
    </row>
    <row r="207" spans="3:5">
      <c r="C207" s="5"/>
      <c r="D207" s="5"/>
      <c r="E207" s="5"/>
    </row>
    <row r="208" spans="3:5">
      <c r="C208" s="5"/>
      <c r="D208" s="5"/>
      <c r="E208" s="5"/>
    </row>
    <row r="209" spans="3:5">
      <c r="C209" s="5"/>
      <c r="D209" s="5"/>
      <c r="E209" s="5"/>
    </row>
    <row r="210" spans="3:5">
      <c r="C210" s="5"/>
      <c r="D210" s="5"/>
      <c r="E210" s="5"/>
    </row>
    <row r="211" spans="3:5">
      <c r="C211" s="5"/>
      <c r="D211" s="5"/>
      <c r="E211" s="5"/>
    </row>
    <row r="212" spans="3:5">
      <c r="C212" s="5"/>
      <c r="D212" s="5"/>
      <c r="E212" s="5"/>
    </row>
    <row r="213" spans="3:5">
      <c r="C213" s="5"/>
      <c r="D213" s="5"/>
      <c r="E213" s="5"/>
    </row>
    <row r="214" spans="3:5">
      <c r="C214" s="5"/>
      <c r="D214" s="5"/>
      <c r="E214" s="5"/>
    </row>
    <row r="215" spans="3:5">
      <c r="C215" s="5"/>
      <c r="D215" s="5"/>
      <c r="E215" s="5"/>
    </row>
    <row r="216" spans="3:5">
      <c r="C216" s="5"/>
      <c r="D216" s="5"/>
      <c r="E216" s="5"/>
    </row>
    <row r="217" spans="3:5">
      <c r="C217" s="5"/>
      <c r="D217" s="5"/>
      <c r="E217" s="5"/>
    </row>
    <row r="218" spans="3:5">
      <c r="C218" s="5"/>
      <c r="D218" s="5"/>
      <c r="E218" s="5"/>
    </row>
    <row r="219" spans="3:5">
      <c r="C219" s="5"/>
      <c r="D219" s="5"/>
      <c r="E219" s="5"/>
    </row>
    <row r="220" spans="3:5">
      <c r="C220" s="5"/>
      <c r="D220" s="5"/>
      <c r="E220" s="5"/>
    </row>
    <row r="221" spans="3:5">
      <c r="C221" s="5"/>
      <c r="D221" s="5"/>
      <c r="E221" s="5"/>
    </row>
    <row r="222" spans="3:5">
      <c r="C222" s="5"/>
      <c r="D222" s="5"/>
      <c r="E222" s="5"/>
    </row>
    <row r="223" spans="3:5">
      <c r="C223" s="5"/>
      <c r="D223" s="5"/>
      <c r="E223" s="5"/>
    </row>
    <row r="224" spans="3:5">
      <c r="C224" s="5"/>
      <c r="D224" s="5"/>
      <c r="E224" s="5"/>
    </row>
    <row r="225" spans="3:5">
      <c r="C225" s="5"/>
      <c r="D225" s="5"/>
      <c r="E225" s="5"/>
    </row>
    <row r="226" spans="3:5">
      <c r="C226" s="5"/>
      <c r="D226" s="5"/>
      <c r="E226" s="5"/>
    </row>
    <row r="227" spans="3:5">
      <c r="C227" s="5"/>
      <c r="D227" s="5"/>
      <c r="E227" s="5"/>
    </row>
    <row r="228" spans="3:5">
      <c r="C228" s="5"/>
      <c r="D228" s="5"/>
      <c r="E228" s="5"/>
    </row>
    <row r="229" spans="3:5">
      <c r="C229" s="5"/>
      <c r="D229" s="5"/>
      <c r="E229" s="5"/>
    </row>
    <row r="230" spans="3:5">
      <c r="C230" s="5"/>
      <c r="D230" s="5"/>
      <c r="E230" s="5"/>
    </row>
    <row r="231" spans="3:5">
      <c r="C231" s="5"/>
      <c r="D231" s="5"/>
      <c r="E231" s="5"/>
    </row>
    <row r="232" spans="3:5">
      <c r="C232" s="5"/>
      <c r="D232" s="5"/>
      <c r="E232" s="5"/>
    </row>
    <row r="233" spans="3:5">
      <c r="C233" s="5"/>
      <c r="D233" s="5"/>
      <c r="E233" s="5"/>
    </row>
    <row r="234" spans="3:5">
      <c r="C234" s="5"/>
      <c r="D234" s="5"/>
      <c r="E234" s="5"/>
    </row>
    <row r="235" spans="3:5">
      <c r="C235" s="5"/>
      <c r="D235" s="5"/>
      <c r="E235" s="5"/>
    </row>
    <row r="236" spans="3:5">
      <c r="C236" s="5"/>
      <c r="D236" s="5"/>
      <c r="E236" s="5"/>
    </row>
    <row r="237" spans="3:5">
      <c r="C237" s="5"/>
      <c r="D237" s="5"/>
      <c r="E237" s="5"/>
    </row>
    <row r="238" spans="3:5">
      <c r="C238" s="5"/>
      <c r="D238" s="5"/>
      <c r="E238" s="5"/>
    </row>
    <row r="239" spans="3:5">
      <c r="C239" s="5"/>
      <c r="D239" s="5"/>
      <c r="E239" s="5"/>
    </row>
    <row r="240" spans="3:5">
      <c r="C240" s="5"/>
      <c r="D240" s="5"/>
      <c r="E240" s="5"/>
    </row>
    <row r="241" spans="3:5">
      <c r="C241" s="5"/>
      <c r="D241" s="5"/>
      <c r="E241" s="5"/>
    </row>
    <row r="242" spans="3:5">
      <c r="C242" s="5"/>
      <c r="D242" s="5"/>
      <c r="E242" s="5"/>
    </row>
    <row r="243" spans="3:5">
      <c r="C243" s="5"/>
      <c r="D243" s="5"/>
      <c r="E243" s="5"/>
    </row>
    <row r="244" spans="3:5">
      <c r="C244" s="5"/>
      <c r="D244" s="5"/>
      <c r="E244" s="5"/>
    </row>
    <row r="245" spans="3:5">
      <c r="C245" s="5"/>
      <c r="D245" s="5"/>
      <c r="E245" s="5"/>
    </row>
    <row r="246" spans="3:5">
      <c r="C246" s="5"/>
      <c r="D246" s="5"/>
      <c r="E246" s="5"/>
    </row>
    <row r="247" spans="3:5">
      <c r="C247" s="5"/>
      <c r="D247" s="5"/>
      <c r="E247" s="5"/>
    </row>
    <row r="248" spans="3:5">
      <c r="C248" s="5"/>
      <c r="D248" s="5"/>
      <c r="E248" s="5"/>
    </row>
    <row r="249" spans="3:5">
      <c r="C249" s="5"/>
      <c r="D249" s="5"/>
      <c r="E249" s="5"/>
    </row>
    <row r="250" spans="3:5">
      <c r="C250" s="5"/>
      <c r="D250" s="5"/>
      <c r="E250" s="5"/>
    </row>
    <row r="251" spans="3:5">
      <c r="C251" s="5"/>
      <c r="D251" s="5"/>
      <c r="E251" s="5"/>
    </row>
    <row r="252" spans="3:5">
      <c r="C252" s="5"/>
      <c r="D252" s="5"/>
      <c r="E252" s="5"/>
    </row>
    <row r="253" spans="3:5">
      <c r="C253" s="5"/>
      <c r="D253" s="5"/>
      <c r="E253" s="5"/>
    </row>
    <row r="254" spans="3:5">
      <c r="C254" s="5"/>
      <c r="D254" s="5"/>
      <c r="E254" s="5"/>
    </row>
    <row r="255" spans="3:5">
      <c r="C255" s="5"/>
      <c r="D255" s="5"/>
      <c r="E255" s="5"/>
    </row>
    <row r="256" spans="3:5">
      <c r="C256" s="5"/>
      <c r="D256" s="5"/>
      <c r="E256" s="5"/>
    </row>
    <row r="257" spans="3:5">
      <c r="C257" s="5"/>
      <c r="D257" s="5"/>
      <c r="E257" s="5"/>
    </row>
    <row r="258" spans="3:5">
      <c r="C258" s="5"/>
      <c r="D258" s="5"/>
      <c r="E258" s="5"/>
    </row>
    <row r="259" spans="3:5">
      <c r="C259" s="5"/>
      <c r="D259" s="5"/>
      <c r="E259" s="5"/>
    </row>
    <row r="260" spans="3:5">
      <c r="C260" s="5"/>
      <c r="D260" s="5"/>
      <c r="E260" s="5"/>
    </row>
    <row r="261" spans="3:5">
      <c r="C261" s="5"/>
      <c r="D261" s="5"/>
      <c r="E261" s="5"/>
    </row>
    <row r="262" spans="3:5">
      <c r="C262" s="5"/>
      <c r="D262" s="5"/>
      <c r="E262" s="5"/>
    </row>
    <row r="263" spans="3:5">
      <c r="C263" s="5"/>
      <c r="D263" s="5"/>
      <c r="E263" s="5"/>
    </row>
    <row r="264" spans="3:5">
      <c r="C264" s="5"/>
      <c r="D264" s="5"/>
      <c r="E264" s="5"/>
    </row>
    <row r="265" spans="3:5">
      <c r="C265" s="5"/>
      <c r="D265" s="5"/>
      <c r="E265" s="5"/>
    </row>
    <row r="266" spans="3:5">
      <c r="C266" s="5"/>
      <c r="D266" s="5"/>
      <c r="E266" s="5"/>
    </row>
    <row r="267" spans="3:5">
      <c r="C267" s="5"/>
      <c r="D267" s="5"/>
      <c r="E267" s="5"/>
    </row>
    <row r="268" spans="3:5">
      <c r="C268" s="5"/>
      <c r="D268" s="5"/>
      <c r="E268" s="5"/>
    </row>
    <row r="269" spans="3:5">
      <c r="C269" s="5"/>
      <c r="D269" s="5"/>
      <c r="E269" s="5"/>
    </row>
    <row r="270" spans="3:5">
      <c r="C270" s="5"/>
      <c r="D270" s="5"/>
      <c r="E270" s="5"/>
    </row>
    <row r="271" spans="3:5">
      <c r="C271" s="5"/>
      <c r="D271" s="5"/>
      <c r="E271" s="5"/>
    </row>
    <row r="272" spans="3:5">
      <c r="C272" s="5"/>
      <c r="D272" s="5"/>
      <c r="E272" s="5"/>
    </row>
    <row r="273" spans="3:5">
      <c r="C273" s="5"/>
      <c r="D273" s="5"/>
      <c r="E273" s="5"/>
    </row>
    <row r="274" spans="3:5">
      <c r="C274" s="5"/>
      <c r="D274" s="5"/>
      <c r="E274" s="5"/>
    </row>
    <row r="275" spans="3:5">
      <c r="C275" s="5"/>
      <c r="D275" s="5"/>
      <c r="E275" s="5"/>
    </row>
    <row r="276" spans="3:5">
      <c r="C276" s="5"/>
      <c r="D276" s="5"/>
      <c r="E276" s="5"/>
    </row>
    <row r="277" spans="3:5">
      <c r="C277" s="5"/>
      <c r="D277" s="5"/>
      <c r="E277" s="5"/>
    </row>
    <row r="278" spans="3:5">
      <c r="C278" s="5"/>
      <c r="D278" s="5"/>
      <c r="E278" s="5"/>
    </row>
    <row r="279" spans="3:5">
      <c r="C279" s="5"/>
      <c r="D279" s="5"/>
      <c r="E279" s="5"/>
    </row>
    <row r="280" spans="3:5">
      <c r="C280" s="5"/>
      <c r="D280" s="5"/>
      <c r="E280" s="5"/>
    </row>
    <row r="281" spans="3:5">
      <c r="C281" s="5"/>
      <c r="D281" s="5"/>
      <c r="E281" s="5"/>
    </row>
    <row r="282" spans="3:5">
      <c r="C282" s="5"/>
      <c r="D282" s="5"/>
      <c r="E282" s="5"/>
    </row>
    <row r="283" spans="3:5">
      <c r="C283" s="5"/>
      <c r="D283" s="5"/>
      <c r="E283" s="5"/>
    </row>
    <row r="284" spans="3:5">
      <c r="C284" s="5"/>
      <c r="D284" s="5"/>
      <c r="E284" s="5"/>
    </row>
    <row r="285" spans="3:5">
      <c r="C285" s="5"/>
      <c r="D285" s="5"/>
      <c r="E285" s="5"/>
    </row>
    <row r="286" spans="3:5">
      <c r="C286" s="5"/>
      <c r="D286" s="5"/>
      <c r="E286" s="5"/>
    </row>
    <row r="287" spans="3:5">
      <c r="C287" s="5"/>
      <c r="D287" s="5"/>
      <c r="E287" s="5"/>
    </row>
    <row r="288" spans="3:5">
      <c r="C288" s="5"/>
      <c r="D288" s="5"/>
      <c r="E288" s="5"/>
    </row>
    <row r="289" spans="3:5">
      <c r="C289" s="5"/>
      <c r="D289" s="5"/>
      <c r="E289" s="5"/>
    </row>
    <row r="290" spans="3:5">
      <c r="C290" s="5"/>
      <c r="D290" s="5"/>
      <c r="E290" s="5"/>
    </row>
    <row r="291" spans="3:5">
      <c r="C291" s="5"/>
      <c r="D291" s="5"/>
      <c r="E291" s="5"/>
    </row>
    <row r="292" spans="3:5">
      <c r="C292" s="5"/>
      <c r="D292" s="5"/>
      <c r="E292" s="5"/>
    </row>
    <row r="293" spans="3:5">
      <c r="C293" s="5"/>
      <c r="D293" s="5"/>
      <c r="E293" s="5"/>
    </row>
    <row r="294" spans="3:5">
      <c r="C294" s="5"/>
      <c r="D294" s="5"/>
      <c r="E294" s="5"/>
    </row>
    <row r="295" spans="3:5">
      <c r="C295" s="5"/>
      <c r="D295" s="5"/>
      <c r="E295" s="5"/>
    </row>
    <row r="296" spans="3:5">
      <c r="C296" s="5"/>
      <c r="D296" s="5"/>
      <c r="E296" s="5"/>
    </row>
    <row r="297" spans="3:5">
      <c r="C297" s="5"/>
      <c r="D297" s="5"/>
      <c r="E297" s="5"/>
    </row>
    <row r="298" spans="3:5">
      <c r="C298" s="5"/>
      <c r="D298" s="5"/>
      <c r="E298" s="5"/>
    </row>
    <row r="299" spans="3:5">
      <c r="C299" s="5"/>
      <c r="D299" s="5"/>
      <c r="E299" s="5"/>
    </row>
    <row r="300" spans="3:5">
      <c r="C300" s="5"/>
      <c r="D300" s="5"/>
      <c r="E300" s="5"/>
    </row>
    <row r="301" spans="3:5">
      <c r="C301" s="5"/>
      <c r="D301" s="5"/>
      <c r="E301" s="5"/>
    </row>
    <row r="302" spans="3:5">
      <c r="C302" s="5"/>
      <c r="D302" s="5"/>
      <c r="E302" s="5"/>
    </row>
    <row r="303" spans="3:5">
      <c r="C303" s="5"/>
      <c r="D303" s="5"/>
      <c r="E303" s="5"/>
    </row>
    <row r="304" spans="3:5">
      <c r="C304" s="5"/>
      <c r="D304" s="5"/>
      <c r="E304" s="5"/>
    </row>
    <row r="305" spans="3:5">
      <c r="C305" s="5"/>
      <c r="D305" s="5"/>
      <c r="E305" s="5"/>
    </row>
    <row r="306" spans="3:5">
      <c r="C306" s="5"/>
      <c r="D306" s="5"/>
      <c r="E306" s="5"/>
    </row>
    <row r="307" spans="3:5">
      <c r="C307" s="5"/>
      <c r="D307" s="5"/>
      <c r="E307" s="5"/>
    </row>
    <row r="308" spans="3:5">
      <c r="C308" s="5"/>
      <c r="D308" s="5"/>
      <c r="E308" s="5"/>
    </row>
    <row r="309" spans="3:5">
      <c r="C309" s="5"/>
      <c r="D309" s="5"/>
      <c r="E309" s="5"/>
    </row>
    <row r="310" spans="3:5">
      <c r="C310" s="5"/>
      <c r="D310" s="5"/>
      <c r="E310" s="5"/>
    </row>
    <row r="311" spans="3:5">
      <c r="C311" s="5"/>
      <c r="D311" s="5"/>
      <c r="E311" s="5"/>
    </row>
    <row r="312" spans="3:5">
      <c r="C312" s="5"/>
      <c r="D312" s="5"/>
      <c r="E312" s="5"/>
    </row>
    <row r="313" spans="3:5">
      <c r="C313" s="5"/>
      <c r="D313" s="5"/>
      <c r="E313" s="5"/>
    </row>
    <row r="314" spans="3:5">
      <c r="C314" s="5"/>
      <c r="D314" s="5"/>
      <c r="E314" s="5"/>
    </row>
    <row r="315" spans="3:5">
      <c r="C315" s="5"/>
      <c r="D315" s="5"/>
      <c r="E315" s="5"/>
    </row>
    <row r="316" spans="3:5">
      <c r="C316" s="5"/>
      <c r="D316" s="5"/>
      <c r="E316" s="5"/>
    </row>
    <row r="317" spans="3:5">
      <c r="C317" s="5"/>
      <c r="D317" s="5"/>
      <c r="E317" s="5"/>
    </row>
    <row r="318" spans="3:5">
      <c r="C318" s="5"/>
      <c r="D318" s="5"/>
      <c r="E318" s="5"/>
    </row>
    <row r="319" spans="3:5">
      <c r="C319" s="5"/>
      <c r="D319" s="5"/>
      <c r="E319" s="5"/>
    </row>
    <row r="320" spans="3:5">
      <c r="C320" s="5"/>
      <c r="D320" s="5"/>
      <c r="E320" s="5"/>
    </row>
    <row r="321" spans="3:5">
      <c r="C321" s="5"/>
      <c r="D321" s="5"/>
      <c r="E321" s="5"/>
    </row>
    <row r="322" spans="3:5">
      <c r="C322" s="5"/>
      <c r="D322" s="5"/>
      <c r="E322" s="5"/>
    </row>
    <row r="323" spans="3:5">
      <c r="C323" s="5"/>
      <c r="D323" s="5"/>
      <c r="E323" s="5"/>
    </row>
    <row r="324" spans="3:5">
      <c r="C324" s="5"/>
      <c r="D324" s="5"/>
      <c r="E324" s="5"/>
    </row>
    <row r="325" spans="3:5">
      <c r="C325" s="5"/>
      <c r="D325" s="5"/>
      <c r="E325" s="5"/>
    </row>
    <row r="326" spans="3:5">
      <c r="C326" s="5"/>
      <c r="D326" s="5"/>
      <c r="E326" s="5"/>
    </row>
    <row r="327" spans="3:5">
      <c r="C327" s="5"/>
      <c r="D327" s="5"/>
      <c r="E327" s="5"/>
    </row>
    <row r="328" spans="3:5">
      <c r="C328" s="5"/>
      <c r="D328" s="5"/>
      <c r="E328" s="5"/>
    </row>
    <row r="329" spans="3:5">
      <c r="C329" s="5"/>
      <c r="D329" s="5"/>
      <c r="E329" s="5"/>
    </row>
    <row r="330" spans="3:5">
      <c r="C330" s="5"/>
      <c r="D330" s="5"/>
      <c r="E330" s="5"/>
    </row>
    <row r="331" spans="3:5">
      <c r="C331" s="5"/>
      <c r="D331" s="5"/>
      <c r="E331" s="5"/>
    </row>
    <row r="332" spans="3:5">
      <c r="C332" s="5"/>
      <c r="D332" s="5"/>
      <c r="E332" s="5"/>
    </row>
    <row r="333" spans="3:5">
      <c r="C333" s="5"/>
      <c r="D333" s="5"/>
      <c r="E333" s="5"/>
    </row>
    <row r="334" spans="3:5">
      <c r="C334" s="5"/>
      <c r="D334" s="5"/>
      <c r="E334" s="5"/>
    </row>
    <row r="335" spans="3:5">
      <c r="C335" s="5"/>
      <c r="D335" s="5"/>
      <c r="E335" s="5"/>
    </row>
    <row r="336" spans="3:5">
      <c r="C336" s="5"/>
      <c r="D336" s="5"/>
      <c r="E336" s="5"/>
    </row>
    <row r="337" spans="3:5">
      <c r="C337" s="5"/>
      <c r="D337" s="5"/>
      <c r="E337" s="5"/>
    </row>
    <row r="338" spans="3:5">
      <c r="C338" s="5"/>
      <c r="D338" s="5"/>
      <c r="E338" s="5"/>
    </row>
    <row r="339" spans="3:5">
      <c r="C339" s="5"/>
      <c r="D339" s="5"/>
      <c r="E339" s="5"/>
    </row>
    <row r="340" spans="3:5">
      <c r="C340" s="5"/>
      <c r="D340" s="5"/>
      <c r="E340" s="5"/>
    </row>
    <row r="341" spans="3:5">
      <c r="C341" s="5"/>
      <c r="D341" s="5"/>
      <c r="E341" s="5"/>
    </row>
    <row r="342" spans="3:5">
      <c r="C342" s="5"/>
      <c r="D342" s="5"/>
      <c r="E342" s="5"/>
    </row>
    <row r="343" spans="3:5">
      <c r="C343" s="5"/>
      <c r="D343" s="5"/>
      <c r="E343" s="5"/>
    </row>
    <row r="344" spans="3:5">
      <c r="C344" s="5"/>
      <c r="D344" s="5"/>
      <c r="E344" s="5"/>
    </row>
    <row r="345" spans="3:5">
      <c r="C345" s="5"/>
      <c r="D345" s="5"/>
      <c r="E345" s="5"/>
    </row>
    <row r="346" spans="3:5">
      <c r="C346" s="5"/>
      <c r="D346" s="5"/>
      <c r="E346" s="5"/>
    </row>
    <row r="347" spans="3:5">
      <c r="C347" s="5"/>
      <c r="D347" s="5"/>
      <c r="E347" s="5"/>
    </row>
    <row r="348" spans="3:5">
      <c r="C348" s="5"/>
      <c r="D348" s="5"/>
      <c r="E348" s="5"/>
    </row>
    <row r="349" spans="3:5">
      <c r="C349" s="5"/>
      <c r="D349" s="5"/>
      <c r="E349" s="5"/>
    </row>
    <row r="350" spans="3:5">
      <c r="C350" s="5"/>
      <c r="D350" s="5"/>
      <c r="E350" s="5"/>
    </row>
    <row r="351" spans="3:5">
      <c r="C351" s="5"/>
      <c r="D351" s="5"/>
      <c r="E351" s="5"/>
    </row>
    <row r="352" spans="3:5">
      <c r="C352" s="5"/>
      <c r="D352" s="5"/>
      <c r="E352" s="5"/>
    </row>
    <row r="353" spans="3:5">
      <c r="C353" s="5"/>
      <c r="D353" s="5"/>
      <c r="E353" s="5"/>
    </row>
    <row r="354" spans="3:5">
      <c r="C354" s="5"/>
      <c r="D354" s="5"/>
      <c r="E354" s="5"/>
    </row>
    <row r="355" spans="3:5">
      <c r="C355" s="5"/>
      <c r="D355" s="5"/>
      <c r="E355" s="5"/>
    </row>
    <row r="356" spans="3:5">
      <c r="C356" s="5"/>
      <c r="D356" s="5"/>
      <c r="E356" s="5"/>
    </row>
    <row r="357" spans="3:5">
      <c r="C357" s="5"/>
      <c r="D357" s="5"/>
      <c r="E357" s="5"/>
    </row>
    <row r="358" spans="3:5">
      <c r="C358" s="5"/>
      <c r="D358" s="5"/>
      <c r="E358" s="5"/>
    </row>
    <row r="359" spans="3:5">
      <c r="C359" s="5"/>
      <c r="D359" s="5"/>
      <c r="E359" s="5"/>
    </row>
    <row r="360" spans="3:5">
      <c r="C360" s="5"/>
      <c r="D360" s="5"/>
      <c r="E360" s="5"/>
    </row>
    <row r="361" spans="3:5">
      <c r="C361" s="5"/>
      <c r="D361" s="5"/>
      <c r="E361" s="5"/>
    </row>
    <row r="362" spans="3:5">
      <c r="C362" s="5"/>
      <c r="D362" s="5"/>
      <c r="E362" s="5"/>
    </row>
    <row r="363" spans="3:5">
      <c r="C363" s="5"/>
      <c r="D363" s="5"/>
      <c r="E363" s="5"/>
    </row>
    <row r="364" spans="3:5">
      <c r="C364" s="5"/>
      <c r="D364" s="5"/>
      <c r="E364" s="5"/>
    </row>
    <row r="365" spans="3:5">
      <c r="C365" s="5"/>
      <c r="D365" s="5"/>
      <c r="E365" s="5"/>
    </row>
    <row r="366" spans="3:5">
      <c r="C366" s="5"/>
      <c r="D366" s="5"/>
      <c r="E366" s="5"/>
    </row>
    <row r="367" spans="3:5">
      <c r="C367" s="5"/>
      <c r="D367" s="5"/>
      <c r="E367" s="5"/>
    </row>
    <row r="368" spans="3:5">
      <c r="C368" s="5"/>
      <c r="D368" s="5"/>
      <c r="E368" s="5"/>
    </row>
    <row r="369" spans="3:5">
      <c r="C369" s="5"/>
      <c r="D369" s="5"/>
      <c r="E369" s="5"/>
    </row>
    <row r="370" spans="3:5">
      <c r="C370" s="5"/>
      <c r="D370" s="5"/>
      <c r="E370" s="5"/>
    </row>
    <row r="371" spans="3:5">
      <c r="C371" s="5"/>
      <c r="D371" s="5"/>
      <c r="E371" s="5"/>
    </row>
    <row r="372" spans="3:5">
      <c r="C372" s="5"/>
      <c r="D372" s="5"/>
      <c r="E372" s="5"/>
    </row>
    <row r="373" spans="3:5">
      <c r="C373" s="5"/>
      <c r="D373" s="5"/>
      <c r="E373" s="5"/>
    </row>
    <row r="374" spans="3:5">
      <c r="C374" s="5"/>
      <c r="D374" s="5"/>
      <c r="E374" s="5"/>
    </row>
    <row r="375" spans="3:5">
      <c r="C375" s="5"/>
      <c r="D375" s="5"/>
      <c r="E375" s="5"/>
    </row>
    <row r="376" spans="3:5">
      <c r="C376" s="5"/>
      <c r="D376" s="5"/>
      <c r="E376" s="5"/>
    </row>
    <row r="377" spans="3:5">
      <c r="C377" s="5"/>
      <c r="D377" s="5"/>
      <c r="E377" s="5"/>
    </row>
    <row r="378" spans="3:5">
      <c r="C378" s="5"/>
      <c r="D378" s="5"/>
      <c r="E378" s="5"/>
    </row>
    <row r="379" spans="3:5">
      <c r="C379" s="5"/>
      <c r="D379" s="5"/>
      <c r="E379" s="5"/>
    </row>
    <row r="380" spans="3:5">
      <c r="C380" s="5"/>
      <c r="D380" s="5"/>
      <c r="E380" s="5"/>
    </row>
    <row r="381" spans="3:5">
      <c r="C381" s="5"/>
      <c r="D381" s="5"/>
      <c r="E381" s="5"/>
    </row>
    <row r="382" spans="3:5">
      <c r="C382" s="5"/>
      <c r="D382" s="5"/>
      <c r="E382" s="5"/>
    </row>
    <row r="383" spans="3:5">
      <c r="C383" s="5"/>
      <c r="D383" s="5"/>
      <c r="E383" s="5"/>
    </row>
    <row r="384" spans="3:5">
      <c r="C384" s="5"/>
      <c r="D384" s="5"/>
      <c r="E384" s="5"/>
    </row>
    <row r="385" spans="3:5">
      <c r="C385" s="5"/>
      <c r="D385" s="5"/>
      <c r="E385" s="5"/>
    </row>
    <row r="386" spans="3:5">
      <c r="C386" s="5"/>
      <c r="D386" s="5"/>
      <c r="E386" s="5"/>
    </row>
    <row r="387" spans="3:5">
      <c r="C387" s="5"/>
      <c r="D387" s="5"/>
      <c r="E387" s="5"/>
    </row>
    <row r="388" spans="3:5">
      <c r="C388" s="5"/>
      <c r="D388" s="5"/>
      <c r="E388" s="5"/>
    </row>
    <row r="389" spans="3:5">
      <c r="C389" s="5"/>
      <c r="D389" s="5"/>
      <c r="E389" s="5"/>
    </row>
    <row r="390" spans="3:5">
      <c r="C390" s="5"/>
      <c r="D390" s="5"/>
      <c r="E390" s="5"/>
    </row>
    <row r="391" spans="3:5">
      <c r="C391" s="5"/>
      <c r="D391" s="5"/>
      <c r="E391" s="5"/>
    </row>
    <row r="392" spans="3:5">
      <c r="C392" s="5"/>
      <c r="D392" s="5"/>
      <c r="E392" s="5"/>
    </row>
    <row r="393" spans="3:5">
      <c r="C393" s="5"/>
      <c r="D393" s="5"/>
      <c r="E393" s="5"/>
    </row>
    <row r="394" spans="3:5">
      <c r="C394" s="5"/>
      <c r="D394" s="5"/>
      <c r="E394" s="5"/>
    </row>
    <row r="395" spans="3:5">
      <c r="C395" s="5"/>
      <c r="D395" s="5"/>
      <c r="E395" s="5"/>
    </row>
    <row r="396" spans="3:5">
      <c r="C396" s="5"/>
      <c r="D396" s="5"/>
      <c r="E396" s="5"/>
    </row>
    <row r="397" spans="3:5">
      <c r="C397" s="5"/>
      <c r="D397" s="5"/>
      <c r="E397" s="5"/>
    </row>
    <row r="398" spans="3:5">
      <c r="C398" s="5"/>
      <c r="D398" s="5"/>
      <c r="E398" s="5"/>
    </row>
    <row r="399" spans="3:5">
      <c r="C399" s="5"/>
      <c r="D399" s="5"/>
      <c r="E399" s="5"/>
    </row>
    <row r="400" spans="3:5">
      <c r="C400" s="5"/>
      <c r="D400" s="5"/>
      <c r="E400" s="5"/>
    </row>
    <row r="401" spans="3:5">
      <c r="C401" s="5"/>
      <c r="D401" s="5"/>
      <c r="E401" s="5"/>
    </row>
    <row r="402" spans="3:5">
      <c r="C402" s="5"/>
      <c r="D402" s="5"/>
      <c r="E402" s="5"/>
    </row>
    <row r="403" spans="3:5">
      <c r="C403" s="5"/>
      <c r="D403" s="5"/>
      <c r="E403" s="5"/>
    </row>
    <row r="404" spans="3:5">
      <c r="C404" s="5"/>
      <c r="D404" s="5"/>
      <c r="E404" s="5"/>
    </row>
    <row r="405" spans="3:5">
      <c r="C405" s="5"/>
      <c r="D405" s="5"/>
      <c r="E405" s="5"/>
    </row>
    <row r="406" spans="3:5">
      <c r="C406" s="5"/>
      <c r="D406" s="5"/>
      <c r="E406" s="5"/>
    </row>
    <row r="407" spans="3:5">
      <c r="C407" s="5"/>
      <c r="D407" s="5"/>
      <c r="E407" s="5"/>
    </row>
    <row r="408" spans="3:5">
      <c r="C408" s="5"/>
      <c r="D408" s="5"/>
      <c r="E408" s="5"/>
    </row>
    <row r="409" spans="3:5">
      <c r="C409" s="5"/>
      <c r="D409" s="5"/>
      <c r="E409" s="5"/>
    </row>
    <row r="410" spans="3:5">
      <c r="C410" s="5"/>
      <c r="D410" s="5"/>
      <c r="E410" s="5"/>
    </row>
    <row r="411" spans="3:5">
      <c r="C411" s="5"/>
      <c r="D411" s="5"/>
      <c r="E411" s="5"/>
    </row>
    <row r="412" spans="3:5">
      <c r="C412" s="5"/>
      <c r="D412" s="5"/>
      <c r="E412" s="5"/>
    </row>
    <row r="413" spans="3:5">
      <c r="C413" s="5"/>
      <c r="D413" s="5"/>
      <c r="E413" s="5"/>
    </row>
    <row r="414" spans="3:5">
      <c r="C414" s="5"/>
      <c r="D414" s="5"/>
      <c r="E414" s="5"/>
    </row>
    <row r="415" spans="3:5">
      <c r="C415" s="5"/>
      <c r="D415" s="5"/>
      <c r="E415" s="5"/>
    </row>
    <row r="416" spans="3:5">
      <c r="C416" s="5"/>
      <c r="D416" s="5"/>
      <c r="E416" s="5"/>
    </row>
    <row r="417" spans="3:5">
      <c r="C417" s="5"/>
      <c r="D417" s="5"/>
      <c r="E417" s="5"/>
    </row>
    <row r="418" spans="3:5">
      <c r="C418" s="5"/>
      <c r="D418" s="5"/>
      <c r="E418" s="5"/>
    </row>
    <row r="419" spans="3:5">
      <c r="C419" s="5"/>
      <c r="D419" s="5"/>
      <c r="E419" s="5"/>
    </row>
    <row r="420" spans="3:5">
      <c r="C420" s="5"/>
      <c r="D420" s="5"/>
      <c r="E420" s="5"/>
    </row>
    <row r="421" spans="3:5">
      <c r="C421" s="5"/>
      <c r="D421" s="5"/>
      <c r="E421" s="5"/>
    </row>
    <row r="422" spans="3:5">
      <c r="C422" s="5"/>
      <c r="D422" s="5"/>
      <c r="E422" s="5"/>
    </row>
    <row r="423" spans="3:5">
      <c r="C423" s="5"/>
      <c r="D423" s="5"/>
      <c r="E423" s="5"/>
    </row>
    <row r="424" spans="3:5">
      <c r="C424" s="5"/>
      <c r="D424" s="5"/>
      <c r="E424" s="5"/>
    </row>
    <row r="425" spans="3:5">
      <c r="C425" s="5"/>
      <c r="D425" s="5"/>
      <c r="E425" s="5"/>
    </row>
    <row r="426" spans="3:5">
      <c r="C426" s="5"/>
      <c r="D426" s="5"/>
      <c r="E426" s="5"/>
    </row>
    <row r="427" spans="3:5">
      <c r="C427" s="5"/>
      <c r="D427" s="5"/>
      <c r="E427" s="5"/>
    </row>
    <row r="428" spans="3:5">
      <c r="C428" s="5"/>
      <c r="D428" s="5"/>
      <c r="E428" s="5"/>
    </row>
    <row r="429" spans="3:5">
      <c r="C429" s="5"/>
      <c r="D429" s="5"/>
      <c r="E429" s="5"/>
    </row>
    <row r="430" spans="3:5">
      <c r="C430" s="5"/>
      <c r="D430" s="5"/>
      <c r="E430" s="5"/>
    </row>
    <row r="431" spans="3:5">
      <c r="C431" s="5"/>
      <c r="D431" s="5"/>
      <c r="E431" s="5"/>
    </row>
    <row r="432" spans="3:5">
      <c r="C432" s="5"/>
      <c r="D432" s="5"/>
      <c r="E432" s="5"/>
    </row>
    <row r="433" spans="3:5">
      <c r="C433" s="5"/>
      <c r="D433" s="5"/>
      <c r="E433" s="5"/>
    </row>
    <row r="434" spans="3:5">
      <c r="C434" s="5"/>
      <c r="D434" s="5"/>
      <c r="E434" s="5"/>
    </row>
    <row r="435" spans="3:5">
      <c r="C435" s="5"/>
      <c r="D435" s="5"/>
      <c r="E435" s="5"/>
    </row>
    <row r="436" spans="3:5">
      <c r="C436" s="5"/>
      <c r="D436" s="5"/>
      <c r="E436" s="5"/>
    </row>
    <row r="437" spans="3:5">
      <c r="C437" s="5"/>
      <c r="D437" s="5"/>
      <c r="E437" s="5"/>
    </row>
    <row r="438" spans="3:5">
      <c r="C438" s="5"/>
      <c r="D438" s="5"/>
      <c r="E438" s="5"/>
    </row>
    <row r="439" spans="3:5">
      <c r="C439" s="5"/>
      <c r="D439" s="5"/>
      <c r="E439" s="5"/>
    </row>
    <row r="440" spans="3:5">
      <c r="C440" s="5"/>
      <c r="D440" s="5"/>
      <c r="E440" s="5"/>
    </row>
    <row r="441" spans="3:5">
      <c r="C441" s="5"/>
      <c r="D441" s="5"/>
      <c r="E441" s="5"/>
    </row>
    <row r="442" spans="3:5">
      <c r="C442" s="5"/>
      <c r="D442" s="5"/>
      <c r="E442" s="5"/>
    </row>
    <row r="443" spans="3:5">
      <c r="C443" s="5"/>
      <c r="D443" s="5"/>
      <c r="E443" s="5"/>
    </row>
    <row r="444" spans="3:5">
      <c r="C444" s="5"/>
      <c r="D444" s="5"/>
      <c r="E444" s="5"/>
    </row>
    <row r="445" spans="3:5">
      <c r="C445" s="5"/>
      <c r="D445" s="5"/>
      <c r="E445" s="5"/>
    </row>
    <row r="446" spans="3:5">
      <c r="C446" s="5"/>
      <c r="D446" s="5"/>
      <c r="E446" s="5"/>
    </row>
    <row r="447" spans="3:5">
      <c r="C447" s="5"/>
      <c r="D447" s="5"/>
      <c r="E447" s="5"/>
    </row>
    <row r="448" spans="3:5">
      <c r="C448" s="5"/>
      <c r="D448" s="5"/>
      <c r="E448" s="5"/>
    </row>
    <row r="449" spans="3:5">
      <c r="C449" s="5"/>
      <c r="D449" s="5"/>
      <c r="E449" s="5"/>
    </row>
    <row r="450" spans="3:5">
      <c r="C450" s="5"/>
      <c r="D450" s="5"/>
      <c r="E450" s="5"/>
    </row>
    <row r="451" spans="3:5">
      <c r="C451" s="5"/>
      <c r="D451" s="5"/>
      <c r="E451" s="5"/>
    </row>
    <row r="452" spans="3:5">
      <c r="C452" s="5"/>
      <c r="D452" s="5"/>
      <c r="E452" s="5"/>
    </row>
    <row r="453" spans="3:5">
      <c r="C453" s="5"/>
      <c r="D453" s="5"/>
      <c r="E453" s="5"/>
    </row>
    <row r="454" spans="3:5">
      <c r="C454" s="5"/>
      <c r="D454" s="5"/>
      <c r="E454" s="5"/>
    </row>
    <row r="455" spans="3:5">
      <c r="C455" s="5"/>
      <c r="D455" s="5"/>
      <c r="E455" s="5"/>
    </row>
    <row r="456" spans="3:5">
      <c r="C456" s="5"/>
      <c r="D456" s="5"/>
      <c r="E456" s="5"/>
    </row>
    <row r="457" spans="3:5">
      <c r="C457" s="5"/>
      <c r="D457" s="5"/>
      <c r="E457" s="5"/>
    </row>
    <row r="458" spans="3:5">
      <c r="C458" s="5"/>
      <c r="D458" s="5"/>
      <c r="E458" s="5"/>
    </row>
    <row r="459" spans="3:5">
      <c r="C459" s="5"/>
      <c r="D459" s="5"/>
      <c r="E459" s="5"/>
    </row>
    <row r="460" spans="3:5">
      <c r="C460" s="5"/>
      <c r="D460" s="5"/>
      <c r="E460" s="5"/>
    </row>
    <row r="461" spans="3:5">
      <c r="C461" s="5"/>
      <c r="D461" s="5"/>
      <c r="E461" s="5"/>
    </row>
    <row r="462" spans="3:5">
      <c r="C462" s="5"/>
      <c r="D462" s="5"/>
      <c r="E462" s="5"/>
    </row>
    <row r="463" spans="3:5">
      <c r="C463" s="5"/>
      <c r="D463" s="5"/>
      <c r="E463" s="5"/>
    </row>
    <row r="464" spans="3:5">
      <c r="C464" s="5"/>
      <c r="D464" s="5"/>
      <c r="E464" s="5"/>
    </row>
    <row r="465" spans="3:5">
      <c r="C465" s="5"/>
      <c r="D465" s="5"/>
      <c r="E465" s="5"/>
    </row>
    <row r="466" spans="3:5">
      <c r="C466" s="5"/>
      <c r="D466" s="5"/>
      <c r="E466" s="5"/>
    </row>
    <row r="467" spans="3:5">
      <c r="C467" s="5"/>
      <c r="D467" s="5"/>
      <c r="E467" s="5"/>
    </row>
    <row r="468" spans="3:5">
      <c r="C468" s="5"/>
      <c r="D468" s="5"/>
      <c r="E468" s="5"/>
    </row>
    <row r="469" spans="3:5">
      <c r="C469" s="5"/>
      <c r="D469" s="5"/>
      <c r="E469" s="5"/>
    </row>
    <row r="470" spans="3:5">
      <c r="C470" s="5"/>
      <c r="D470" s="5"/>
      <c r="E470" s="5"/>
    </row>
    <row r="471" spans="3:5">
      <c r="C471" s="5"/>
      <c r="D471" s="5"/>
      <c r="E471" s="5"/>
    </row>
    <row r="472" spans="3:5">
      <c r="C472" s="5"/>
      <c r="D472" s="5"/>
      <c r="E472" s="5"/>
    </row>
    <row r="473" spans="3:5">
      <c r="C473" s="5"/>
      <c r="D473" s="5"/>
      <c r="E473" s="5"/>
    </row>
    <row r="474" spans="3:5">
      <c r="C474" s="5"/>
      <c r="D474" s="5"/>
      <c r="E474" s="5"/>
    </row>
    <row r="475" spans="3:5">
      <c r="C475" s="5"/>
      <c r="D475" s="5"/>
      <c r="E475" s="5"/>
    </row>
    <row r="476" spans="3:5">
      <c r="C476" s="5"/>
      <c r="D476" s="5"/>
      <c r="E476" s="5"/>
    </row>
    <row r="477" spans="3:5">
      <c r="C477" s="5"/>
      <c r="D477" s="5"/>
      <c r="E477" s="5"/>
    </row>
    <row r="478" spans="3:5">
      <c r="C478" s="5"/>
      <c r="D478" s="5"/>
      <c r="E478" s="5"/>
    </row>
    <row r="479" spans="3:5">
      <c r="C479" s="5"/>
      <c r="D479" s="5"/>
      <c r="E479" s="5"/>
    </row>
    <row r="480" spans="3:5">
      <c r="C480" s="5"/>
      <c r="D480" s="5"/>
      <c r="E480" s="5"/>
    </row>
    <row r="481" spans="3:5">
      <c r="C481" s="5"/>
      <c r="D481" s="5"/>
      <c r="E481" s="5"/>
    </row>
    <row r="482" spans="3:5">
      <c r="C482" s="5"/>
      <c r="D482" s="5"/>
      <c r="E482" s="5"/>
    </row>
    <row r="483" spans="3:5">
      <c r="C483" s="5"/>
      <c r="D483" s="5"/>
      <c r="E483" s="5"/>
    </row>
    <row r="484" spans="3:5">
      <c r="C484" s="5"/>
      <c r="D484" s="5"/>
      <c r="E484" s="5"/>
    </row>
    <row r="485" spans="3:5">
      <c r="C485" s="5"/>
      <c r="D485" s="5"/>
      <c r="E485" s="5"/>
    </row>
    <row r="486" spans="3:5">
      <c r="C486" s="5"/>
      <c r="D486" s="5"/>
      <c r="E486" s="5"/>
    </row>
    <row r="487" spans="3:5">
      <c r="C487" s="5"/>
      <c r="D487" s="5"/>
      <c r="E487" s="5"/>
    </row>
    <row r="488" spans="3:5">
      <c r="C488" s="5"/>
      <c r="D488" s="5"/>
      <c r="E488" s="5"/>
    </row>
    <row r="489" spans="3:5">
      <c r="C489" s="5"/>
      <c r="D489" s="5"/>
      <c r="E489" s="5"/>
    </row>
    <row r="490" spans="3:5">
      <c r="C490" s="5"/>
      <c r="D490" s="5"/>
      <c r="E490" s="5"/>
    </row>
    <row r="491" spans="3:5">
      <c r="C491" s="5"/>
      <c r="D491" s="5"/>
      <c r="E491" s="5"/>
    </row>
    <row r="492" spans="3:5">
      <c r="C492" s="5"/>
      <c r="D492" s="5"/>
      <c r="E492" s="5"/>
    </row>
    <row r="493" spans="3:5">
      <c r="C493" s="5"/>
      <c r="D493" s="5"/>
      <c r="E493" s="5"/>
    </row>
    <row r="494" spans="3:5">
      <c r="C494" s="5"/>
      <c r="D494" s="5"/>
      <c r="E494" s="5"/>
    </row>
    <row r="495" spans="3:5">
      <c r="C495" s="5"/>
      <c r="D495" s="5"/>
      <c r="E495" s="5"/>
    </row>
    <row r="496" spans="3:5">
      <c r="C496" s="5"/>
      <c r="D496" s="5"/>
      <c r="E496" s="5"/>
    </row>
    <row r="497" spans="3:5">
      <c r="C497" s="5"/>
      <c r="D497" s="5"/>
      <c r="E497" s="5"/>
    </row>
    <row r="498" spans="3:5">
      <c r="C498" s="5"/>
      <c r="D498" s="5"/>
      <c r="E498" s="5"/>
    </row>
    <row r="499" spans="3:5">
      <c r="C499" s="5"/>
      <c r="D499" s="5"/>
      <c r="E499" s="5"/>
    </row>
    <row r="500" spans="3:5">
      <c r="C500" s="5"/>
      <c r="D500" s="5"/>
      <c r="E500" s="5"/>
    </row>
    <row r="501" spans="3:5">
      <c r="C501" s="5"/>
      <c r="D501" s="5"/>
      <c r="E501" s="5"/>
    </row>
    <row r="502" spans="3:5">
      <c r="C502" s="5"/>
      <c r="D502" s="5"/>
      <c r="E502" s="5"/>
    </row>
    <row r="503" spans="3:5">
      <c r="C503" s="5"/>
      <c r="D503" s="5"/>
      <c r="E503" s="5"/>
    </row>
    <row r="504" spans="3:5">
      <c r="C504" s="5"/>
      <c r="D504" s="5"/>
      <c r="E504" s="5"/>
    </row>
    <row r="505" spans="3:5">
      <c r="C505" s="5"/>
      <c r="D505" s="5"/>
      <c r="E505" s="5"/>
    </row>
    <row r="506" spans="3:5">
      <c r="C506" s="5"/>
      <c r="D506" s="5"/>
      <c r="E506" s="5"/>
    </row>
    <row r="507" spans="3:5">
      <c r="C507" s="5"/>
      <c r="D507" s="5"/>
      <c r="E507" s="5"/>
    </row>
    <row r="508" spans="3:5">
      <c r="C508" s="5"/>
      <c r="D508" s="5"/>
      <c r="E508" s="5"/>
    </row>
    <row r="509" spans="3:5">
      <c r="C509" s="5"/>
      <c r="D509" s="5"/>
      <c r="E509" s="5"/>
    </row>
    <row r="510" spans="3:5">
      <c r="C510" s="5"/>
      <c r="D510" s="5"/>
      <c r="E510" s="5"/>
    </row>
    <row r="511" spans="3:5">
      <c r="C511" s="5"/>
      <c r="D511" s="5"/>
      <c r="E511" s="5"/>
    </row>
    <row r="512" spans="3:5">
      <c r="C512" s="5"/>
      <c r="D512" s="5"/>
      <c r="E512" s="5"/>
    </row>
    <row r="513" spans="3:5">
      <c r="C513" s="5"/>
      <c r="D513" s="5"/>
      <c r="E513" s="5"/>
    </row>
    <row r="514" spans="3:5">
      <c r="C514" s="5"/>
      <c r="D514" s="5"/>
      <c r="E514" s="5"/>
    </row>
    <row r="515" spans="3:5">
      <c r="C515" s="5"/>
      <c r="D515" s="5"/>
      <c r="E515" s="5"/>
    </row>
    <row r="516" spans="3:5">
      <c r="C516" s="5"/>
      <c r="D516" s="5"/>
      <c r="E516" s="5"/>
    </row>
    <row r="517" spans="3:5">
      <c r="C517" s="5"/>
      <c r="D517" s="5"/>
      <c r="E517" s="5"/>
    </row>
    <row r="518" spans="3:5">
      <c r="C518" s="5"/>
      <c r="D518" s="5"/>
      <c r="E518" s="5"/>
    </row>
    <row r="519" spans="3:5">
      <c r="C519" s="5"/>
      <c r="D519" s="5"/>
      <c r="E519" s="5"/>
    </row>
    <row r="520" spans="3:5">
      <c r="C520" s="5"/>
      <c r="D520" s="5"/>
      <c r="E520" s="5"/>
    </row>
    <row r="521" spans="3:5">
      <c r="C521" s="5"/>
      <c r="D521" s="5"/>
      <c r="E521" s="5"/>
    </row>
    <row r="522" spans="3:5">
      <c r="C522" s="5"/>
      <c r="D522" s="5"/>
      <c r="E522" s="5"/>
    </row>
    <row r="523" spans="3:5">
      <c r="C523" s="5"/>
      <c r="D523" s="5"/>
      <c r="E523" s="5"/>
    </row>
    <row r="524" spans="3:5">
      <c r="C524" s="5"/>
      <c r="D524" s="5"/>
      <c r="E524" s="5"/>
    </row>
    <row r="525" spans="3:5">
      <c r="C525" s="5"/>
      <c r="D525" s="5"/>
      <c r="E525" s="5"/>
    </row>
    <row r="526" spans="3:5">
      <c r="C526" s="5"/>
      <c r="D526" s="5"/>
      <c r="E526" s="5"/>
    </row>
    <row r="527" spans="3:5">
      <c r="C527" s="5"/>
      <c r="D527" s="5"/>
      <c r="E527" s="5"/>
    </row>
    <row r="528" spans="3:5">
      <c r="C528" s="5"/>
      <c r="D528" s="5"/>
      <c r="E528" s="5"/>
    </row>
    <row r="529" spans="3:5">
      <c r="C529" s="5"/>
      <c r="D529" s="5"/>
      <c r="E529" s="5"/>
    </row>
    <row r="530" spans="3:5">
      <c r="C530" s="5"/>
      <c r="D530" s="5"/>
      <c r="E530" s="5"/>
    </row>
    <row r="531" spans="3:5">
      <c r="C531" s="5"/>
      <c r="D531" s="5"/>
      <c r="E531" s="5"/>
    </row>
    <row r="532" spans="3:5">
      <c r="C532" s="5"/>
      <c r="D532" s="5"/>
      <c r="E532" s="5"/>
    </row>
    <row r="533" spans="3:5">
      <c r="C533" s="5"/>
      <c r="D533" s="5"/>
      <c r="E533" s="5"/>
    </row>
    <row r="534" spans="3:5">
      <c r="C534" s="5"/>
      <c r="D534" s="5"/>
      <c r="E534" s="5"/>
    </row>
    <row r="535" spans="3:5">
      <c r="C535" s="5"/>
      <c r="D535" s="5"/>
      <c r="E535" s="5"/>
    </row>
    <row r="536" spans="3:5">
      <c r="C536" s="5"/>
      <c r="D536" s="5"/>
      <c r="E536" s="5"/>
    </row>
    <row r="537" spans="3:5">
      <c r="C537" s="5"/>
      <c r="D537" s="5"/>
      <c r="E537" s="5"/>
    </row>
    <row r="538" spans="3:5">
      <c r="C538" s="5"/>
      <c r="D538" s="5"/>
      <c r="E538" s="5"/>
    </row>
    <row r="539" spans="3:5">
      <c r="C539" s="5"/>
      <c r="D539" s="5"/>
      <c r="E539" s="5"/>
    </row>
    <row r="540" spans="3:5">
      <c r="C540" s="5"/>
      <c r="D540" s="5"/>
      <c r="E540" s="5"/>
    </row>
    <row r="541" spans="3:5">
      <c r="C541" s="5"/>
      <c r="D541" s="5"/>
      <c r="E541" s="5"/>
    </row>
    <row r="542" spans="3:5">
      <c r="C542" s="5"/>
      <c r="D542" s="5"/>
      <c r="E542" s="5"/>
    </row>
    <row r="543" spans="3:5">
      <c r="C543" s="5"/>
      <c r="D543" s="5"/>
      <c r="E543" s="5"/>
    </row>
    <row r="544" spans="3:5">
      <c r="C544" s="5"/>
      <c r="D544" s="5"/>
      <c r="E544" s="5"/>
    </row>
    <row r="545" spans="3:5">
      <c r="C545" s="5"/>
      <c r="D545" s="5"/>
      <c r="E545" s="5"/>
    </row>
    <row r="546" spans="3:5">
      <c r="C546" s="5"/>
      <c r="D546" s="5"/>
      <c r="E546" s="5"/>
    </row>
    <row r="547" spans="3:5">
      <c r="C547" s="5"/>
      <c r="D547" s="5"/>
      <c r="E547" s="5"/>
    </row>
    <row r="548" spans="3:5">
      <c r="C548" s="5"/>
      <c r="D548" s="5"/>
      <c r="E548" s="5"/>
    </row>
    <row r="549" spans="3:5">
      <c r="C549" s="5"/>
      <c r="D549" s="5"/>
      <c r="E549" s="5"/>
    </row>
    <row r="550" spans="3:5">
      <c r="C550" s="5"/>
      <c r="D550" s="5"/>
      <c r="E550" s="5"/>
    </row>
    <row r="551" spans="3:5">
      <c r="C551" s="5"/>
      <c r="D551" s="5"/>
      <c r="E551" s="5"/>
    </row>
    <row r="552" spans="3:5">
      <c r="C552" s="5"/>
      <c r="D552" s="5"/>
      <c r="E552" s="5"/>
    </row>
    <row r="553" spans="3:5">
      <c r="C553" s="5"/>
      <c r="D553" s="5"/>
      <c r="E553" s="5"/>
    </row>
    <row r="554" spans="3:5">
      <c r="C554" s="5"/>
      <c r="D554" s="5"/>
      <c r="E554" s="5"/>
    </row>
    <row r="555" spans="3:5">
      <c r="C555" s="5"/>
      <c r="D555" s="5"/>
      <c r="E555" s="5"/>
    </row>
    <row r="556" spans="3:5">
      <c r="C556" s="5"/>
      <c r="D556" s="5"/>
      <c r="E556" s="5"/>
    </row>
    <row r="557" spans="3:5">
      <c r="C557" s="5"/>
      <c r="D557" s="5"/>
      <c r="E557" s="5"/>
    </row>
    <row r="558" spans="3:5">
      <c r="C558" s="5"/>
      <c r="D558" s="5"/>
      <c r="E558" s="5"/>
    </row>
    <row r="559" spans="3:5">
      <c r="C559" s="5"/>
      <c r="D559" s="5"/>
      <c r="E559" s="5"/>
    </row>
    <row r="560" spans="3:5">
      <c r="C560" s="5"/>
      <c r="D560" s="5"/>
      <c r="E560" s="5"/>
    </row>
    <row r="561" spans="3:5">
      <c r="C561" s="5"/>
      <c r="D561" s="5"/>
      <c r="E561" s="5"/>
    </row>
    <row r="562" spans="3:5">
      <c r="C562" s="5"/>
      <c r="D562" s="5"/>
      <c r="E562" s="5"/>
    </row>
    <row r="563" spans="3:5">
      <c r="C563" s="5"/>
      <c r="D563" s="5"/>
      <c r="E563" s="5"/>
    </row>
    <row r="564" spans="3:5">
      <c r="C564" s="5"/>
      <c r="D564" s="5"/>
      <c r="E564" s="5"/>
    </row>
    <row r="565" spans="3:5">
      <c r="C565" s="5"/>
      <c r="D565" s="5"/>
      <c r="E565" s="5"/>
    </row>
    <row r="566" spans="3:5">
      <c r="C566" s="5"/>
      <c r="D566" s="5"/>
      <c r="E566" s="5"/>
    </row>
    <row r="567" spans="3:5">
      <c r="C567" s="5"/>
      <c r="D567" s="5"/>
      <c r="E567" s="5"/>
    </row>
    <row r="568" spans="3:5">
      <c r="C568" s="5"/>
      <c r="D568" s="5"/>
      <c r="E568" s="5"/>
    </row>
    <row r="569" spans="3:5">
      <c r="C569" s="5"/>
      <c r="D569" s="5"/>
      <c r="E569" s="5"/>
    </row>
    <row r="570" spans="3:5">
      <c r="C570" s="5"/>
      <c r="D570" s="5"/>
      <c r="E570" s="5"/>
    </row>
    <row r="571" spans="3:5">
      <c r="C571" s="5"/>
      <c r="D571" s="5"/>
      <c r="E571" s="5"/>
    </row>
    <row r="572" spans="3:5">
      <c r="C572" s="5"/>
      <c r="D572" s="5"/>
      <c r="E572" s="5"/>
    </row>
    <row r="573" spans="3:5">
      <c r="C573" s="5"/>
      <c r="D573" s="5"/>
      <c r="E573" s="5"/>
    </row>
    <row r="574" spans="3:5">
      <c r="C574" s="5"/>
      <c r="D574" s="5"/>
      <c r="E574" s="5"/>
    </row>
    <row r="575" spans="3:5">
      <c r="C575" s="5"/>
      <c r="D575" s="5"/>
      <c r="E575" s="5"/>
    </row>
    <row r="576" spans="3:5">
      <c r="C576" s="5"/>
      <c r="D576" s="5"/>
      <c r="E576" s="5"/>
    </row>
    <row r="577" spans="3:5">
      <c r="C577" s="5"/>
      <c r="D577" s="5"/>
      <c r="E577" s="5"/>
    </row>
    <row r="578" spans="3:5">
      <c r="C578" s="5"/>
      <c r="D578" s="5"/>
      <c r="E578" s="5"/>
    </row>
    <row r="579" spans="3:5">
      <c r="C579" s="5"/>
      <c r="D579" s="5"/>
      <c r="E579" s="5"/>
    </row>
    <row r="580" spans="3:5">
      <c r="C580" s="5"/>
      <c r="D580" s="5"/>
      <c r="E580" s="5"/>
    </row>
    <row r="581" spans="3:5">
      <c r="C581" s="5"/>
      <c r="D581" s="5"/>
      <c r="E581" s="5"/>
    </row>
    <row r="582" spans="3:5">
      <c r="C582" s="5"/>
      <c r="D582" s="5"/>
      <c r="E582" s="5"/>
    </row>
    <row r="583" spans="3:5">
      <c r="C583" s="5"/>
      <c r="D583" s="5"/>
      <c r="E583" s="5"/>
    </row>
    <row r="584" spans="3:5">
      <c r="C584" s="5"/>
      <c r="D584" s="5"/>
      <c r="E584" s="5"/>
    </row>
    <row r="585" spans="3:5">
      <c r="C585" s="5"/>
      <c r="D585" s="5"/>
      <c r="E585" s="5"/>
    </row>
    <row r="586" spans="3:5">
      <c r="C586" s="5"/>
      <c r="D586" s="5"/>
      <c r="E586" s="5"/>
    </row>
    <row r="587" spans="3:5">
      <c r="C587" s="5"/>
      <c r="D587" s="5"/>
      <c r="E587" s="5"/>
    </row>
    <row r="588" spans="3:5">
      <c r="C588" s="5"/>
      <c r="D588" s="5"/>
      <c r="E588" s="5"/>
    </row>
    <row r="589" spans="3:5">
      <c r="C589" s="5"/>
      <c r="D589" s="5"/>
      <c r="E589" s="5"/>
    </row>
    <row r="590" spans="3:5">
      <c r="C590" s="5"/>
      <c r="D590" s="5"/>
      <c r="E590" s="5"/>
    </row>
    <row r="591" spans="3:5">
      <c r="C591" s="5"/>
      <c r="D591" s="5"/>
      <c r="E591" s="5"/>
    </row>
    <row r="592" spans="3:5">
      <c r="C592" s="5"/>
      <c r="D592" s="5"/>
      <c r="E592" s="5"/>
    </row>
    <row r="593" spans="3:5">
      <c r="C593" s="5"/>
      <c r="D593" s="5"/>
      <c r="E593" s="5"/>
    </row>
    <row r="594" spans="3:5">
      <c r="C594" s="5"/>
      <c r="D594" s="5"/>
      <c r="E594" s="5"/>
    </row>
    <row r="595" spans="3:5">
      <c r="C595" s="5"/>
      <c r="D595" s="5"/>
      <c r="E595" s="5"/>
    </row>
    <row r="596" spans="3:5">
      <c r="C596" s="5"/>
      <c r="D596" s="5"/>
      <c r="E596" s="5"/>
    </row>
    <row r="597" spans="3:5">
      <c r="C597" s="5"/>
      <c r="D597" s="5"/>
      <c r="E597" s="5"/>
    </row>
    <row r="598" spans="3:5">
      <c r="C598" s="5"/>
      <c r="D598" s="5"/>
      <c r="E598" s="5"/>
    </row>
    <row r="599" spans="3:5">
      <c r="C599" s="5"/>
      <c r="D599" s="5"/>
      <c r="E599" s="5"/>
    </row>
    <row r="600" spans="3:5">
      <c r="C600" s="5"/>
      <c r="D600" s="5"/>
      <c r="E600" s="5"/>
    </row>
    <row r="601" spans="3:5">
      <c r="C601" s="5"/>
      <c r="D601" s="5"/>
      <c r="E601" s="5"/>
    </row>
    <row r="602" spans="3:5">
      <c r="C602" s="5"/>
      <c r="D602" s="5"/>
      <c r="E602" s="5"/>
    </row>
    <row r="603" spans="3:5">
      <c r="C603" s="5"/>
      <c r="D603" s="5"/>
      <c r="E603" s="5"/>
    </row>
    <row r="604" spans="3:5">
      <c r="C604" s="5"/>
      <c r="D604" s="5"/>
      <c r="E604" s="5"/>
    </row>
    <row r="605" spans="3:5">
      <c r="C605" s="5"/>
      <c r="D605" s="5"/>
      <c r="E605" s="5"/>
    </row>
    <row r="606" spans="3:5">
      <c r="C606" s="5"/>
      <c r="D606" s="5"/>
      <c r="E606" s="5"/>
    </row>
    <row r="607" spans="3:5">
      <c r="C607" s="5"/>
      <c r="D607" s="5"/>
      <c r="E607" s="5"/>
    </row>
    <row r="608" spans="3:5">
      <c r="C608" s="5"/>
      <c r="D608" s="5"/>
      <c r="E608" s="5"/>
    </row>
    <row r="609" spans="3:5">
      <c r="C609" s="5"/>
      <c r="D609" s="5"/>
      <c r="E609" s="5"/>
    </row>
    <row r="610" spans="3:5">
      <c r="C610" s="5"/>
      <c r="D610" s="5"/>
      <c r="E610" s="5"/>
    </row>
    <row r="611" spans="3:5">
      <c r="C611" s="5"/>
      <c r="D611" s="5"/>
      <c r="E611" s="5"/>
    </row>
    <row r="612" spans="3:5">
      <c r="C612" s="5"/>
      <c r="D612" s="5"/>
      <c r="E612" s="5"/>
    </row>
    <row r="613" spans="3:5">
      <c r="C613" s="5"/>
      <c r="D613" s="5"/>
      <c r="E613" s="5"/>
    </row>
    <row r="614" spans="3:5">
      <c r="C614" s="5"/>
      <c r="D614" s="5"/>
      <c r="E614" s="5"/>
    </row>
    <row r="615" spans="3:5">
      <c r="C615" s="5"/>
      <c r="D615" s="5"/>
      <c r="E615" s="5"/>
    </row>
    <row r="616" spans="3:5">
      <c r="C616" s="5"/>
      <c r="D616" s="5"/>
      <c r="E616" s="5"/>
    </row>
    <row r="617" spans="3:5">
      <c r="C617" s="5"/>
      <c r="D617" s="5"/>
      <c r="E617" s="5"/>
    </row>
    <row r="618" spans="3:5">
      <c r="C618" s="5"/>
      <c r="D618" s="5"/>
      <c r="E618" s="5"/>
    </row>
    <row r="619" spans="3:5">
      <c r="C619" s="5"/>
      <c r="D619" s="5"/>
      <c r="E619" s="5"/>
    </row>
    <row r="620" spans="3:5">
      <c r="C620" s="5"/>
      <c r="D620" s="5"/>
      <c r="E620" s="5"/>
    </row>
    <row r="621" spans="3:5">
      <c r="C621" s="5"/>
      <c r="D621" s="5"/>
      <c r="E621" s="5"/>
    </row>
    <row r="622" spans="3:5">
      <c r="C622" s="5"/>
      <c r="D622" s="5"/>
      <c r="E622" s="5"/>
    </row>
    <row r="623" spans="3:5">
      <c r="C623" s="5"/>
      <c r="D623" s="5"/>
      <c r="E623" s="5"/>
    </row>
    <row r="624" spans="3:5">
      <c r="C624" s="5"/>
      <c r="D624" s="5"/>
      <c r="E624" s="5"/>
    </row>
    <row r="625" spans="3:5">
      <c r="C625" s="5"/>
      <c r="D625" s="5"/>
      <c r="E625" s="5"/>
    </row>
    <row r="626" spans="3:5">
      <c r="C626" s="5"/>
      <c r="D626" s="5"/>
      <c r="E626" s="5"/>
    </row>
    <row r="627" spans="3:5">
      <c r="C627" s="5"/>
      <c r="D627" s="5"/>
      <c r="E627" s="5"/>
    </row>
    <row r="628" spans="3:5">
      <c r="C628" s="5"/>
      <c r="D628" s="5"/>
      <c r="E628" s="5"/>
    </row>
    <row r="629" spans="3:5">
      <c r="C629" s="5"/>
      <c r="D629" s="5"/>
      <c r="E629" s="5"/>
    </row>
    <row r="630" spans="3:5">
      <c r="C630" s="5"/>
      <c r="D630" s="5"/>
      <c r="E630" s="5"/>
    </row>
    <row r="631" spans="3:5">
      <c r="C631" s="5"/>
      <c r="D631" s="5"/>
      <c r="E631" s="5"/>
    </row>
    <row r="632" spans="3:5">
      <c r="C632" s="5"/>
      <c r="D632" s="5"/>
      <c r="E632" s="5"/>
    </row>
    <row r="633" spans="3:5">
      <c r="C633" s="5"/>
      <c r="D633" s="5"/>
      <c r="E633" s="5"/>
    </row>
    <row r="634" spans="3:5">
      <c r="C634" s="5"/>
      <c r="D634" s="5"/>
      <c r="E634" s="5"/>
    </row>
    <row r="635" spans="3:5">
      <c r="C635" s="5"/>
      <c r="D635" s="5"/>
      <c r="E635" s="5"/>
    </row>
    <row r="636" spans="3:5">
      <c r="C636" s="5"/>
      <c r="D636" s="5"/>
      <c r="E636" s="5"/>
    </row>
    <row r="637" spans="3:5">
      <c r="C637" s="5"/>
      <c r="D637" s="5"/>
      <c r="E637" s="5"/>
    </row>
    <row r="638" spans="3:5">
      <c r="C638" s="5"/>
      <c r="D638" s="5"/>
      <c r="E638" s="5"/>
    </row>
    <row r="639" spans="3:5">
      <c r="C639" s="5"/>
      <c r="D639" s="5"/>
      <c r="E639" s="5"/>
    </row>
    <row r="640" spans="3:5">
      <c r="C640" s="5"/>
      <c r="D640" s="5"/>
      <c r="E640" s="5"/>
    </row>
    <row r="641" spans="3:5">
      <c r="C641" s="5"/>
      <c r="D641" s="5"/>
      <c r="E641" s="5"/>
    </row>
    <row r="642" spans="3:5">
      <c r="C642" s="5"/>
      <c r="D642" s="5"/>
      <c r="E642" s="5"/>
    </row>
    <row r="643" spans="3:5">
      <c r="C643" s="5"/>
      <c r="D643" s="5"/>
      <c r="E643" s="5"/>
    </row>
    <row r="644" spans="3:5">
      <c r="C644" s="5"/>
      <c r="D644" s="5"/>
      <c r="E644" s="5"/>
    </row>
    <row r="645" spans="3:5">
      <c r="C645" s="5"/>
      <c r="D645" s="5"/>
      <c r="E645" s="5"/>
    </row>
    <row r="646" spans="3:5">
      <c r="C646" s="5"/>
      <c r="D646" s="5"/>
      <c r="E646" s="5"/>
    </row>
    <row r="647" spans="3:5">
      <c r="C647" s="5"/>
      <c r="D647" s="5"/>
      <c r="E647" s="5"/>
    </row>
    <row r="648" spans="3:5">
      <c r="C648" s="5"/>
      <c r="D648" s="5"/>
      <c r="E648" s="5"/>
    </row>
    <row r="649" spans="3:5">
      <c r="C649" s="5"/>
      <c r="D649" s="5"/>
      <c r="E649" s="5"/>
    </row>
    <row r="650" spans="3:5">
      <c r="C650" s="5"/>
      <c r="D650" s="5"/>
      <c r="E650" s="5"/>
    </row>
    <row r="651" spans="3:5">
      <c r="C651" s="5"/>
      <c r="D651" s="5"/>
      <c r="E651" s="5"/>
    </row>
    <row r="652" spans="3:5">
      <c r="C652" s="5"/>
      <c r="D652" s="5"/>
      <c r="E652" s="5"/>
    </row>
    <row r="653" spans="3:5">
      <c r="C653" s="5"/>
      <c r="D653" s="5"/>
      <c r="E653" s="5"/>
    </row>
    <row r="654" spans="3:5">
      <c r="C654" s="5"/>
      <c r="D654" s="5"/>
      <c r="E654" s="5"/>
    </row>
    <row r="655" spans="3:5">
      <c r="C655" s="5"/>
      <c r="D655" s="5"/>
      <c r="E655" s="5"/>
    </row>
    <row r="656" spans="3:5">
      <c r="C656" s="5"/>
      <c r="D656" s="5"/>
      <c r="E656" s="5"/>
    </row>
    <row r="657" spans="3:5">
      <c r="C657" s="5"/>
      <c r="D657" s="5"/>
      <c r="E657" s="5"/>
    </row>
    <row r="658" spans="3:5">
      <c r="C658" s="5"/>
      <c r="D658" s="5"/>
      <c r="E658" s="5"/>
    </row>
    <row r="659" spans="3:5">
      <c r="C659" s="5"/>
      <c r="D659" s="5"/>
      <c r="E659" s="5"/>
    </row>
    <row r="660" spans="3:5">
      <c r="C660" s="5"/>
      <c r="D660" s="5"/>
      <c r="E660" s="5"/>
    </row>
    <row r="661" spans="3:5">
      <c r="C661" s="5"/>
      <c r="D661" s="5"/>
      <c r="E661" s="5"/>
    </row>
    <row r="662" spans="3:5">
      <c r="C662" s="5"/>
      <c r="D662" s="5"/>
      <c r="E662" s="5"/>
    </row>
    <row r="663" spans="3:5">
      <c r="C663" s="5"/>
      <c r="D663" s="5"/>
      <c r="E663" s="5"/>
    </row>
    <row r="664" spans="3:5">
      <c r="C664" s="5"/>
      <c r="D664" s="5"/>
      <c r="E664" s="5"/>
    </row>
    <row r="665" spans="3:5">
      <c r="C665" s="5"/>
      <c r="D665" s="5"/>
      <c r="E665" s="5"/>
    </row>
    <row r="666" spans="3:5">
      <c r="C666" s="5"/>
      <c r="D666" s="5"/>
      <c r="E666" s="5"/>
    </row>
    <row r="667" spans="3:5">
      <c r="C667" s="5"/>
      <c r="D667" s="5"/>
      <c r="E667" s="5"/>
    </row>
    <row r="668" spans="3:5">
      <c r="C668" s="5"/>
      <c r="D668" s="5"/>
      <c r="E668" s="5"/>
    </row>
    <row r="669" spans="3:5">
      <c r="C669" s="5"/>
      <c r="D669" s="5"/>
      <c r="E669" s="5"/>
    </row>
    <row r="670" spans="3:5">
      <c r="C670" s="5"/>
      <c r="D670" s="5"/>
      <c r="E670" s="5"/>
    </row>
    <row r="671" spans="3:5">
      <c r="C671" s="5"/>
      <c r="D671" s="5"/>
      <c r="E671" s="5"/>
    </row>
    <row r="672" spans="3:5">
      <c r="C672" s="5"/>
      <c r="D672" s="5"/>
      <c r="E672" s="5"/>
    </row>
    <row r="673" spans="3:5">
      <c r="C673" s="5"/>
      <c r="D673" s="5"/>
      <c r="E673" s="5"/>
    </row>
    <row r="674" spans="3:5">
      <c r="C674" s="5"/>
      <c r="D674" s="5"/>
      <c r="E674" s="5"/>
    </row>
    <row r="675" spans="3:5">
      <c r="C675" s="5"/>
      <c r="D675" s="5"/>
      <c r="E675" s="5"/>
    </row>
    <row r="676" spans="3:5">
      <c r="C676" s="5"/>
      <c r="D676" s="5"/>
      <c r="E676" s="5"/>
    </row>
    <row r="677" spans="3:5">
      <c r="C677" s="5"/>
      <c r="D677" s="5"/>
      <c r="E677" s="5"/>
    </row>
    <row r="678" spans="3:5">
      <c r="C678" s="5"/>
      <c r="D678" s="5"/>
      <c r="E678" s="5"/>
    </row>
    <row r="679" spans="3:5">
      <c r="C679" s="5"/>
      <c r="D679" s="5"/>
      <c r="E679" s="5"/>
    </row>
    <row r="680" spans="3:5">
      <c r="C680" s="5"/>
      <c r="D680" s="5"/>
      <c r="E680" s="5"/>
    </row>
    <row r="681" spans="3:5">
      <c r="C681" s="5"/>
      <c r="D681" s="5"/>
      <c r="E681" s="5"/>
    </row>
    <row r="682" spans="3:5">
      <c r="C682" s="5"/>
      <c r="D682" s="5"/>
      <c r="E682" s="5"/>
    </row>
    <row r="683" spans="3:5">
      <c r="C683" s="5"/>
      <c r="D683" s="5"/>
      <c r="E683" s="5"/>
    </row>
    <row r="684" spans="3:5">
      <c r="C684" s="5"/>
      <c r="D684" s="5"/>
      <c r="E684" s="5"/>
    </row>
    <row r="685" spans="3:5">
      <c r="C685" s="5"/>
      <c r="D685" s="5"/>
      <c r="E685" s="5"/>
    </row>
    <row r="686" spans="3:5">
      <c r="C686" s="5"/>
      <c r="D686" s="5"/>
      <c r="E686" s="5"/>
    </row>
    <row r="687" spans="3:5">
      <c r="C687" s="5"/>
      <c r="D687" s="5"/>
      <c r="E687" s="5"/>
    </row>
    <row r="688" spans="3:5">
      <c r="C688" s="5"/>
      <c r="D688" s="5"/>
      <c r="E688" s="5"/>
    </row>
    <row r="689" spans="3:5">
      <c r="C689" s="5"/>
      <c r="D689" s="5"/>
      <c r="E689" s="5"/>
    </row>
    <row r="690" spans="3:5">
      <c r="C690" s="5"/>
      <c r="D690" s="5"/>
      <c r="E690" s="5"/>
    </row>
    <row r="691" spans="3:5">
      <c r="C691" s="5"/>
      <c r="D691" s="5"/>
      <c r="E691" s="5"/>
    </row>
    <row r="692" spans="3:5">
      <c r="C692" s="5"/>
      <c r="D692" s="5"/>
      <c r="E692" s="5"/>
    </row>
    <row r="693" spans="3:5">
      <c r="C693" s="5"/>
      <c r="D693" s="5"/>
      <c r="E693" s="5"/>
    </row>
    <row r="694" spans="3:5">
      <c r="C694" s="5"/>
      <c r="D694" s="5"/>
      <c r="E694" s="5"/>
    </row>
    <row r="695" spans="3:5">
      <c r="C695" s="5"/>
      <c r="D695" s="5"/>
      <c r="E695" s="5"/>
    </row>
    <row r="696" spans="3:5">
      <c r="C696" s="5"/>
      <c r="D696" s="5"/>
      <c r="E696" s="5"/>
    </row>
    <row r="697" spans="3:5">
      <c r="C697" s="5"/>
      <c r="D697" s="5"/>
      <c r="E697" s="5"/>
    </row>
    <row r="698" spans="3:5">
      <c r="C698" s="5"/>
      <c r="D698" s="5"/>
      <c r="E698" s="5"/>
    </row>
    <row r="699" spans="3:5">
      <c r="C699" s="5"/>
      <c r="D699" s="5"/>
      <c r="E699" s="5"/>
    </row>
    <row r="700" spans="3:5">
      <c r="C700" s="5"/>
      <c r="D700" s="5"/>
      <c r="E700" s="5"/>
    </row>
    <row r="701" spans="3:5">
      <c r="E701" s="5"/>
    </row>
    <row r="702" spans="3:5">
      <c r="E702" s="5"/>
    </row>
    <row r="703" spans="3:5">
      <c r="E703" s="5"/>
    </row>
    <row r="704" spans="3:5">
      <c r="E704" s="5"/>
    </row>
    <row r="705" spans="5:5">
      <c r="E705" s="5"/>
    </row>
    <row r="706" spans="5:5">
      <c r="E706" s="5"/>
    </row>
    <row r="707" spans="5:5">
      <c r="E707" s="5"/>
    </row>
  </sheetData>
  <mergeCells count="1">
    <mergeCell ref="K4:K5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mulate_path">
                <anchor moveWithCells="1" sizeWithCells="1">
                  <from>
                    <xdr:col>11</xdr:col>
                    <xdr:colOff>38100</xdr:colOff>
                    <xdr:row>3</xdr:row>
                    <xdr:rowOff>0</xdr:rowOff>
                  </from>
                  <to>
                    <xdr:col>13</xdr:col>
                    <xdr:colOff>101600</xdr:colOff>
                    <xdr:row>4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502"/>
  <sheetViews>
    <sheetView workbookViewId="0">
      <selection activeCell="C5" sqref="C5"/>
    </sheetView>
  </sheetViews>
  <sheetFormatPr baseColWidth="10" defaultColWidth="11.5" defaultRowHeight="12" x14ac:dyDescent="0"/>
  <cols>
    <col min="1" max="1" width="10.33203125" style="80" customWidth="1"/>
    <col min="2" max="2" width="16.1640625" style="80" customWidth="1"/>
    <col min="3" max="3" width="31.33203125" style="80" customWidth="1"/>
    <col min="4" max="4" width="11.5" style="80"/>
    <col min="5" max="5" width="15" style="80" bestFit="1" customWidth="1"/>
    <col min="6" max="16384" width="11.5" style="80"/>
  </cols>
  <sheetData>
    <row r="1" spans="1:16" ht="15">
      <c r="A1" s="90"/>
      <c r="B1" s="89" t="s">
        <v>70</v>
      </c>
      <c r="C1" s="89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</row>
    <row r="2" spans="1:16" ht="15">
      <c r="A2" s="90"/>
      <c r="B2" s="85" t="s">
        <v>71</v>
      </c>
      <c r="C2" s="85" t="s">
        <v>72</v>
      </c>
      <c r="D2" s="90"/>
      <c r="E2" s="90"/>
      <c r="F2" s="91"/>
      <c r="G2" s="90"/>
      <c r="H2" s="90"/>
      <c r="I2" s="90"/>
      <c r="J2" s="90"/>
      <c r="K2" s="90"/>
      <c r="L2" s="90"/>
      <c r="M2" s="90"/>
      <c r="N2" s="90"/>
      <c r="O2" s="90"/>
      <c r="P2" s="90"/>
    </row>
    <row r="3" spans="1:16" ht="15">
      <c r="A3" s="90"/>
      <c r="B3" s="92">
        <f ca="1">RAND()</f>
        <v>0.76380182271299646</v>
      </c>
      <c r="C3" s="92">
        <v>2.7803245399425136E-2</v>
      </c>
      <c r="D3" s="93"/>
      <c r="E3" s="94"/>
      <c r="F3" s="90"/>
      <c r="G3" s="95"/>
      <c r="H3" s="90"/>
      <c r="I3" s="90"/>
      <c r="J3" s="90"/>
      <c r="K3" s="90"/>
      <c r="L3" s="90"/>
      <c r="M3" s="90"/>
      <c r="N3" s="90"/>
      <c r="O3" s="90"/>
      <c r="P3" s="90"/>
    </row>
    <row r="4" spans="1:16" ht="15">
      <c r="A4" s="90"/>
      <c r="B4" s="92">
        <f t="shared" ref="B4:B27" ca="1" si="0">RAND()</f>
        <v>0.19720519065231057</v>
      </c>
      <c r="C4" s="92">
        <v>0.90240817286679864</v>
      </c>
      <c r="D4" s="93"/>
      <c r="E4" s="94"/>
      <c r="F4" s="90"/>
      <c r="G4" s="95"/>
      <c r="H4" s="90"/>
      <c r="I4" s="90"/>
      <c r="J4" s="90"/>
      <c r="K4" s="90"/>
      <c r="L4" s="90"/>
      <c r="M4" s="90"/>
      <c r="N4" s="90"/>
      <c r="O4" s="90"/>
      <c r="P4" s="90"/>
    </row>
    <row r="5" spans="1:16" ht="15">
      <c r="A5" s="90"/>
      <c r="B5" s="92">
        <f t="shared" ca="1" si="0"/>
        <v>0.89556035986626514</v>
      </c>
      <c r="C5" s="92">
        <v>0.33961626028530867</v>
      </c>
      <c r="D5" s="93"/>
      <c r="E5" s="94"/>
      <c r="F5" s="90"/>
      <c r="G5" s="95"/>
      <c r="H5" s="90"/>
      <c r="I5" s="90"/>
      <c r="J5" s="90"/>
      <c r="K5" s="90"/>
      <c r="L5" s="90"/>
      <c r="M5" s="90"/>
      <c r="N5" s="90"/>
      <c r="O5" s="90"/>
      <c r="P5" s="90"/>
    </row>
    <row r="6" spans="1:16" ht="15">
      <c r="A6" s="90"/>
      <c r="B6" s="92">
        <f t="shared" ca="1" si="0"/>
        <v>0.60515784672388639</v>
      </c>
      <c r="C6" s="92">
        <v>0.43407748694543213</v>
      </c>
      <c r="D6" s="93"/>
      <c r="E6" s="94"/>
      <c r="F6" s="90"/>
      <c r="G6" s="95"/>
      <c r="H6" s="90"/>
      <c r="I6" s="90"/>
      <c r="J6" s="90"/>
      <c r="K6" s="90"/>
      <c r="L6" s="90"/>
      <c r="M6" s="90"/>
      <c r="N6" s="90"/>
      <c r="O6" s="90"/>
      <c r="P6" s="90"/>
    </row>
    <row r="7" spans="1:16" ht="15">
      <c r="A7" s="90"/>
      <c r="B7" s="92">
        <f t="shared" ca="1" si="0"/>
        <v>0.56892771171320655</v>
      </c>
      <c r="C7" s="92">
        <v>0.75171628159974291</v>
      </c>
      <c r="D7" s="93"/>
      <c r="E7" s="94"/>
      <c r="F7" s="90"/>
      <c r="G7" s="95"/>
      <c r="H7" s="90"/>
      <c r="I7" s="90"/>
      <c r="J7" s="90"/>
      <c r="K7" s="90"/>
      <c r="L7" s="90"/>
      <c r="M7" s="90"/>
      <c r="N7" s="90"/>
      <c r="O7" s="90"/>
      <c r="P7" s="90"/>
    </row>
    <row r="8" spans="1:16" ht="15">
      <c r="A8" s="90"/>
      <c r="B8" s="92">
        <f t="shared" ca="1" si="0"/>
        <v>0.713570779583516</v>
      </c>
      <c r="C8" s="92">
        <v>0.26203776539547918</v>
      </c>
      <c r="D8" s="93"/>
      <c r="E8" s="94"/>
      <c r="F8" s="90"/>
      <c r="G8" s="95"/>
      <c r="H8" s="90"/>
      <c r="I8" s="90"/>
      <c r="J8" s="90"/>
      <c r="K8" s="90"/>
      <c r="L8" s="90"/>
      <c r="M8" s="90"/>
      <c r="N8" s="90"/>
      <c r="O8" s="90"/>
      <c r="P8" s="90"/>
    </row>
    <row r="9" spans="1:16" ht="15">
      <c r="A9" s="90"/>
      <c r="B9" s="92">
        <f t="shared" ca="1" si="0"/>
        <v>0.92540290834093997</v>
      </c>
      <c r="C9" s="92">
        <v>0.22594300063358219</v>
      </c>
      <c r="D9" s="93"/>
      <c r="E9" s="94"/>
      <c r="F9" s="90"/>
      <c r="G9" s="95"/>
      <c r="H9" s="90"/>
      <c r="I9" s="90"/>
      <c r="J9" s="90"/>
      <c r="K9" s="90"/>
      <c r="L9" s="90"/>
      <c r="M9" s="90"/>
      <c r="N9" s="90"/>
      <c r="O9" s="90"/>
      <c r="P9" s="90"/>
    </row>
    <row r="10" spans="1:16" ht="15">
      <c r="A10" s="90"/>
      <c r="B10" s="92">
        <f t="shared" ca="1" si="0"/>
        <v>0.22873924884622776</v>
      </c>
      <c r="C10" s="92">
        <v>0.56281543257552469</v>
      </c>
      <c r="D10" s="93"/>
      <c r="E10" s="94"/>
      <c r="F10" s="90"/>
      <c r="G10" s="95"/>
      <c r="H10" s="90"/>
      <c r="I10" s="90"/>
      <c r="J10" s="90"/>
      <c r="K10" s="90"/>
      <c r="L10" s="90"/>
      <c r="M10" s="90"/>
      <c r="N10" s="90"/>
      <c r="O10" s="90"/>
      <c r="P10" s="90"/>
    </row>
    <row r="11" spans="1:16" ht="15">
      <c r="A11" s="90"/>
      <c r="B11" s="92">
        <f t="shared" ca="1" si="0"/>
        <v>0.53531145913816591</v>
      </c>
      <c r="C11" s="92">
        <v>0.29260704339073618</v>
      </c>
      <c r="D11" s="93"/>
      <c r="E11" s="94"/>
      <c r="F11" s="90"/>
      <c r="G11" s="95"/>
      <c r="H11" s="90"/>
      <c r="I11" s="90"/>
      <c r="J11" s="90"/>
      <c r="K11" s="90"/>
      <c r="L11" s="90"/>
      <c r="M11" s="90"/>
      <c r="N11" s="90"/>
      <c r="O11" s="90"/>
      <c r="P11" s="90"/>
    </row>
    <row r="12" spans="1:16" ht="15">
      <c r="A12" s="90"/>
      <c r="B12" s="92">
        <f t="shared" ca="1" si="0"/>
        <v>0.45465149710229147</v>
      </c>
      <c r="C12" s="92">
        <v>0.31073255183812099</v>
      </c>
      <c r="D12" s="93"/>
      <c r="E12" s="94"/>
      <c r="F12" s="90"/>
      <c r="G12" s="95"/>
      <c r="H12" s="90"/>
      <c r="I12" s="90"/>
      <c r="J12" s="90"/>
      <c r="K12" s="90"/>
      <c r="L12" s="90"/>
      <c r="M12" s="90"/>
      <c r="N12" s="90"/>
      <c r="O12" s="90"/>
      <c r="P12" s="90"/>
    </row>
    <row r="13" spans="1:16" ht="15">
      <c r="A13" s="90"/>
      <c r="B13" s="92">
        <f t="shared" ca="1" si="0"/>
        <v>0.9971769887282893</v>
      </c>
      <c r="C13" s="92">
        <v>0.64713149684027371</v>
      </c>
      <c r="D13" s="93"/>
      <c r="E13" s="94"/>
      <c r="F13" s="90"/>
      <c r="G13" s="95"/>
      <c r="H13" s="90"/>
      <c r="I13" s="90"/>
      <c r="J13" s="90"/>
      <c r="K13" s="90"/>
      <c r="L13" s="90"/>
      <c r="M13" s="90"/>
      <c r="N13" s="90"/>
      <c r="O13" s="90"/>
      <c r="P13" s="90"/>
    </row>
    <row r="14" spans="1:16" ht="15">
      <c r="A14" s="90"/>
      <c r="B14" s="92">
        <f t="shared" ca="1" si="0"/>
        <v>0.43675430141609028</v>
      </c>
      <c r="C14" s="92">
        <v>0.39748939721581111</v>
      </c>
      <c r="D14" s="93"/>
      <c r="E14" s="94"/>
      <c r="F14" s="90"/>
      <c r="G14" s="95"/>
      <c r="H14" s="90"/>
      <c r="I14" s="90"/>
      <c r="J14" s="90"/>
      <c r="K14" s="90"/>
      <c r="L14" s="90"/>
      <c r="M14" s="90"/>
      <c r="N14" s="90"/>
      <c r="O14" s="90"/>
      <c r="P14" s="90"/>
    </row>
    <row r="15" spans="1:16" ht="15">
      <c r="A15" s="90"/>
      <c r="B15" s="92">
        <f t="shared" ca="1" si="0"/>
        <v>0.41134497042098717</v>
      </c>
      <c r="C15" s="92">
        <v>0.87751511152055151</v>
      </c>
      <c r="D15" s="93"/>
      <c r="E15" s="94"/>
      <c r="F15" s="90"/>
      <c r="G15" s="95"/>
      <c r="H15" s="90"/>
      <c r="I15" s="90"/>
      <c r="J15" s="90"/>
      <c r="K15" s="90"/>
      <c r="L15" s="90"/>
      <c r="M15" s="90"/>
      <c r="N15" s="90"/>
      <c r="O15" s="90"/>
      <c r="P15" s="90"/>
    </row>
    <row r="16" spans="1:16" ht="15">
      <c r="A16" s="90"/>
      <c r="B16" s="92">
        <f t="shared" ca="1" si="0"/>
        <v>9.4023920813667283E-2</v>
      </c>
      <c r="C16" s="92">
        <v>0.77303167995960609</v>
      </c>
      <c r="D16" s="93"/>
      <c r="E16" s="94"/>
      <c r="F16" s="90"/>
      <c r="G16" s="95"/>
      <c r="H16" s="90"/>
      <c r="I16" s="90"/>
      <c r="J16" s="90"/>
      <c r="K16" s="90"/>
      <c r="L16" s="90"/>
      <c r="M16" s="90"/>
      <c r="N16" s="90"/>
      <c r="O16" s="90"/>
      <c r="P16" s="90"/>
    </row>
    <row r="17" spans="1:16" ht="15">
      <c r="A17" s="90"/>
      <c r="B17" s="92">
        <f t="shared" ca="1" si="0"/>
        <v>0.56416448073611669</v>
      </c>
      <c r="C17" s="92">
        <v>0.47874030526456623</v>
      </c>
      <c r="D17" s="93"/>
      <c r="E17" s="94"/>
      <c r="F17" s="90"/>
      <c r="G17" s="95"/>
      <c r="H17" s="90"/>
      <c r="I17" s="90"/>
      <c r="J17" s="90"/>
      <c r="K17" s="90"/>
      <c r="L17" s="90"/>
      <c r="M17" s="90"/>
      <c r="N17" s="90"/>
      <c r="O17" s="90"/>
      <c r="P17" s="90"/>
    </row>
    <row r="18" spans="1:16" ht="15">
      <c r="A18" s="90"/>
      <c r="B18" s="92">
        <f t="shared" ca="1" si="0"/>
        <v>0.5510320373088794</v>
      </c>
      <c r="C18" s="92">
        <v>0.27932305330783602</v>
      </c>
      <c r="D18" s="93"/>
      <c r="E18" s="94"/>
      <c r="F18" s="90"/>
      <c r="G18" s="95"/>
      <c r="H18" s="90"/>
      <c r="I18" s="90"/>
      <c r="J18" s="90"/>
      <c r="K18" s="90"/>
      <c r="L18" s="90"/>
      <c r="M18" s="90"/>
      <c r="N18" s="90"/>
      <c r="O18" s="90"/>
      <c r="P18" s="90"/>
    </row>
    <row r="19" spans="1:16" ht="15">
      <c r="A19" s="90"/>
      <c r="B19" s="92">
        <f t="shared" ca="1" si="0"/>
        <v>0.52914689640758772</v>
      </c>
      <c r="C19" s="92">
        <v>0.72130852227186182</v>
      </c>
      <c r="D19" s="93"/>
      <c r="E19" s="94"/>
      <c r="F19" s="90"/>
      <c r="G19" s="95"/>
      <c r="H19" s="90"/>
      <c r="I19" s="90"/>
      <c r="J19" s="90"/>
      <c r="K19" s="90"/>
      <c r="L19" s="90"/>
      <c r="M19" s="90"/>
      <c r="N19" s="90"/>
      <c r="O19" s="90"/>
      <c r="P19" s="90"/>
    </row>
    <row r="20" spans="1:16" ht="15">
      <c r="A20" s="90"/>
      <c r="B20" s="92">
        <f t="shared" ca="1" si="0"/>
        <v>0.15610563201451422</v>
      </c>
      <c r="C20" s="92">
        <v>0.63834615339747491</v>
      </c>
      <c r="D20" s="93"/>
      <c r="E20" s="94"/>
      <c r="F20" s="90"/>
      <c r="G20" s="95"/>
      <c r="H20" s="90"/>
      <c r="I20" s="90"/>
      <c r="J20" s="90"/>
      <c r="K20" s="90"/>
      <c r="L20" s="90"/>
      <c r="M20" s="90"/>
      <c r="N20" s="90"/>
      <c r="O20" s="90"/>
      <c r="P20" s="90"/>
    </row>
    <row r="21" spans="1:16" ht="15">
      <c r="A21" s="90"/>
      <c r="B21" s="92">
        <f t="shared" ca="1" si="0"/>
        <v>0.21534176797266091</v>
      </c>
      <c r="C21" s="92">
        <v>0.61480366641783568</v>
      </c>
      <c r="D21" s="93"/>
      <c r="E21" s="94"/>
      <c r="F21" s="90"/>
      <c r="G21" s="95"/>
      <c r="H21" s="90"/>
      <c r="I21" s="90"/>
      <c r="J21" s="90"/>
      <c r="K21" s="90"/>
      <c r="L21" s="90"/>
      <c r="M21" s="90"/>
      <c r="N21" s="90"/>
      <c r="O21" s="90"/>
      <c r="P21" s="90"/>
    </row>
    <row r="22" spans="1:16" ht="15">
      <c r="A22" s="90"/>
      <c r="B22" s="92">
        <f t="shared" ca="1" si="0"/>
        <v>0.16890699474171988</v>
      </c>
      <c r="C22" s="92">
        <v>0.65393164895800682</v>
      </c>
      <c r="D22" s="93"/>
      <c r="E22" s="94"/>
      <c r="F22" s="90"/>
      <c r="G22" s="95"/>
      <c r="H22" s="90"/>
      <c r="I22" s="90"/>
      <c r="J22" s="90"/>
      <c r="K22" s="90"/>
      <c r="L22" s="90"/>
      <c r="M22" s="90"/>
      <c r="N22" s="90"/>
      <c r="O22" s="90"/>
      <c r="P22" s="90"/>
    </row>
    <row r="23" spans="1:16" ht="15">
      <c r="A23" s="90"/>
      <c r="B23" s="92">
        <f t="shared" ca="1" si="0"/>
        <v>0.56289766830870414</v>
      </c>
      <c r="C23" s="92">
        <v>0.97336957327129903</v>
      </c>
      <c r="D23" s="93"/>
      <c r="E23" s="94"/>
      <c r="F23" s="90"/>
      <c r="G23" s="95"/>
      <c r="H23" s="90"/>
      <c r="I23" s="90"/>
      <c r="J23" s="90"/>
      <c r="K23" s="90"/>
      <c r="L23" s="90"/>
      <c r="M23" s="90"/>
      <c r="N23" s="90"/>
      <c r="O23" s="90"/>
      <c r="P23" s="90"/>
    </row>
    <row r="24" spans="1:16" ht="15">
      <c r="A24" s="90"/>
      <c r="B24" s="92">
        <f t="shared" ca="1" si="0"/>
        <v>0.53068180638633855</v>
      </c>
      <c r="C24" s="92">
        <v>0.29505030885738559</v>
      </c>
      <c r="D24" s="93"/>
      <c r="E24" s="94"/>
      <c r="F24" s="90"/>
      <c r="G24" s="95"/>
      <c r="H24" s="90"/>
      <c r="I24" s="90"/>
      <c r="J24" s="90"/>
      <c r="K24" s="90"/>
      <c r="L24" s="90"/>
      <c r="M24" s="90"/>
      <c r="N24" s="90"/>
      <c r="O24" s="90"/>
      <c r="P24" s="90"/>
    </row>
    <row r="25" spans="1:16" ht="15">
      <c r="A25" s="90"/>
      <c r="B25" s="92">
        <f t="shared" ca="1" si="0"/>
        <v>0.92170956944807725</v>
      </c>
      <c r="C25" s="92">
        <v>7.5833547291803916E-2</v>
      </c>
      <c r="D25" s="93"/>
      <c r="E25" s="94"/>
      <c r="F25" s="90"/>
      <c r="G25" s="95"/>
      <c r="H25" s="90"/>
      <c r="I25" s="90"/>
      <c r="J25" s="90"/>
      <c r="K25" s="90"/>
      <c r="L25" s="90"/>
      <c r="M25" s="90"/>
      <c r="N25" s="90"/>
      <c r="O25" s="90"/>
      <c r="P25" s="90"/>
    </row>
    <row r="26" spans="1:16" ht="15">
      <c r="A26" s="90"/>
      <c r="B26" s="92">
        <f t="shared" ca="1" si="0"/>
        <v>0.4564276476561181</v>
      </c>
      <c r="C26" s="92">
        <v>0.11916449473864688</v>
      </c>
      <c r="D26" s="93"/>
      <c r="E26" s="94"/>
      <c r="F26" s="90"/>
      <c r="G26" s="95"/>
      <c r="H26" s="90"/>
      <c r="I26" s="90"/>
      <c r="J26" s="90"/>
      <c r="K26" s="90"/>
      <c r="L26" s="90"/>
      <c r="M26" s="90"/>
      <c r="N26" s="90"/>
      <c r="O26" s="90"/>
      <c r="P26" s="90"/>
    </row>
    <row r="27" spans="1:16" ht="15">
      <c r="A27" s="90"/>
      <c r="B27" s="92">
        <f t="shared" ca="1" si="0"/>
        <v>0.14934178624600791</v>
      </c>
      <c r="C27" s="92">
        <v>0.13074869468041883</v>
      </c>
      <c r="D27" s="93"/>
      <c r="E27" s="94"/>
      <c r="F27" s="90"/>
      <c r="G27" s="95"/>
      <c r="H27" s="90"/>
      <c r="I27" s="90"/>
      <c r="J27" s="90"/>
      <c r="K27" s="90"/>
      <c r="L27" s="90"/>
      <c r="M27" s="90"/>
      <c r="N27" s="90"/>
      <c r="O27" s="90"/>
      <c r="P27" s="90"/>
    </row>
    <row r="28" spans="1:16" ht="15">
      <c r="A28" s="90"/>
      <c r="B28" s="96"/>
      <c r="C28" s="90"/>
      <c r="D28" s="93"/>
      <c r="E28" s="94"/>
      <c r="F28" s="90"/>
      <c r="G28" s="95"/>
      <c r="H28" s="90"/>
      <c r="I28" s="90"/>
      <c r="J28" s="90"/>
      <c r="K28" s="90"/>
      <c r="L28" s="90"/>
      <c r="M28" s="90"/>
      <c r="N28" s="90"/>
      <c r="O28" s="90"/>
      <c r="P28" s="90"/>
    </row>
    <row r="29" spans="1:16" ht="15">
      <c r="A29" s="90"/>
      <c r="B29" s="96"/>
      <c r="C29" s="90"/>
      <c r="D29" s="93"/>
      <c r="E29" s="94"/>
      <c r="F29" s="90"/>
      <c r="G29" s="95"/>
      <c r="H29" s="90"/>
      <c r="I29" s="90"/>
      <c r="J29" s="90"/>
      <c r="K29" s="90"/>
      <c r="L29" s="90"/>
      <c r="M29" s="90"/>
      <c r="N29" s="90"/>
      <c r="O29" s="90"/>
      <c r="P29" s="90"/>
    </row>
    <row r="30" spans="1:16" ht="15">
      <c r="A30" s="90"/>
      <c r="B30" s="96"/>
      <c r="C30" s="90"/>
      <c r="D30" s="93"/>
      <c r="E30" s="94"/>
      <c r="F30" s="90"/>
      <c r="G30" s="95"/>
      <c r="H30" s="90"/>
      <c r="I30" s="90"/>
      <c r="J30" s="90"/>
      <c r="K30" s="90"/>
      <c r="L30" s="90"/>
      <c r="M30" s="90"/>
      <c r="N30" s="90"/>
      <c r="O30" s="90"/>
      <c r="P30" s="90"/>
    </row>
    <row r="31" spans="1:16" ht="15">
      <c r="A31" s="90"/>
      <c r="B31" s="96"/>
      <c r="C31" s="90"/>
      <c r="D31" s="93"/>
      <c r="E31" s="94"/>
      <c r="F31" s="90"/>
      <c r="G31" s="95"/>
      <c r="H31" s="90"/>
      <c r="I31" s="90"/>
      <c r="J31" s="90"/>
      <c r="K31" s="90"/>
      <c r="L31" s="90"/>
      <c r="M31" s="90"/>
      <c r="N31" s="90"/>
      <c r="O31" s="90"/>
      <c r="P31" s="90"/>
    </row>
    <row r="32" spans="1:16" ht="15">
      <c r="A32" s="90"/>
      <c r="B32" s="96"/>
      <c r="C32" s="90"/>
      <c r="D32" s="93"/>
      <c r="E32" s="94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</row>
    <row r="33" spans="1:16" ht="15">
      <c r="A33" s="90"/>
      <c r="B33" s="96"/>
      <c r="C33" s="90"/>
      <c r="D33" s="93"/>
      <c r="E33" s="94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</row>
    <row r="34" spans="1:16" ht="15">
      <c r="A34" s="90"/>
      <c r="B34" s="96"/>
      <c r="C34" s="90"/>
      <c r="D34" s="93"/>
      <c r="E34" s="94"/>
      <c r="F34" s="90"/>
      <c r="G34" s="90"/>
      <c r="H34" s="90"/>
      <c r="I34" s="90"/>
      <c r="J34" s="90"/>
      <c r="K34" s="90"/>
      <c r="L34" s="90"/>
      <c r="M34" s="90"/>
      <c r="N34" s="90"/>
      <c r="O34" s="90"/>
      <c r="P34" s="90"/>
    </row>
    <row r="35" spans="1:16" ht="15">
      <c r="A35" s="90"/>
      <c r="B35" s="96"/>
      <c r="C35" s="90"/>
      <c r="D35" s="93"/>
      <c r="E35" s="94"/>
      <c r="F35" s="90"/>
      <c r="G35" s="90"/>
      <c r="H35" s="90"/>
      <c r="I35" s="90"/>
      <c r="J35" s="90"/>
      <c r="K35" s="90"/>
      <c r="L35" s="90"/>
      <c r="M35" s="90"/>
      <c r="N35" s="90"/>
      <c r="O35" s="90"/>
      <c r="P35" s="90"/>
    </row>
    <row r="36" spans="1:16" ht="15">
      <c r="B36" s="84"/>
      <c r="D36" s="83"/>
      <c r="E36" s="82"/>
    </row>
    <row r="37" spans="1:16" ht="15">
      <c r="B37" s="84"/>
      <c r="D37" s="83"/>
      <c r="E37" s="82"/>
    </row>
    <row r="38" spans="1:16" ht="15">
      <c r="B38" s="84"/>
      <c r="D38" s="83"/>
      <c r="E38" s="82"/>
    </row>
    <row r="39" spans="1:16" ht="15">
      <c r="B39" s="84"/>
      <c r="D39" s="83"/>
      <c r="E39" s="82"/>
    </row>
    <row r="40" spans="1:16" ht="15">
      <c r="B40" s="84"/>
      <c r="D40" s="83"/>
      <c r="E40" s="82"/>
    </row>
    <row r="41" spans="1:16" ht="15">
      <c r="B41" s="84"/>
      <c r="D41" s="83"/>
      <c r="E41" s="82"/>
    </row>
    <row r="42" spans="1:16" ht="15">
      <c r="B42" s="84"/>
      <c r="D42" s="83"/>
      <c r="E42" s="82"/>
    </row>
    <row r="43" spans="1:16" ht="15">
      <c r="B43" s="84"/>
      <c r="D43" s="83"/>
      <c r="E43" s="82"/>
    </row>
    <row r="44" spans="1:16" ht="15">
      <c r="B44" s="84"/>
      <c r="D44" s="83"/>
      <c r="E44" s="82"/>
    </row>
    <row r="45" spans="1:16" ht="15">
      <c r="B45" s="84"/>
      <c r="D45" s="83"/>
      <c r="E45" s="82"/>
    </row>
    <row r="46" spans="1:16" ht="15">
      <c r="B46" s="84"/>
      <c r="D46" s="83"/>
      <c r="E46" s="82"/>
    </row>
    <row r="47" spans="1:16" ht="15">
      <c r="B47" s="84"/>
      <c r="D47" s="83"/>
      <c r="E47" s="82"/>
    </row>
    <row r="48" spans="1:16" ht="15">
      <c r="B48" s="84"/>
      <c r="D48" s="83"/>
      <c r="E48" s="82"/>
    </row>
    <row r="49" spans="2:5" ht="15">
      <c r="B49" s="84"/>
      <c r="D49" s="83"/>
      <c r="E49" s="82"/>
    </row>
    <row r="50" spans="2:5" ht="15">
      <c r="B50" s="84"/>
      <c r="D50" s="83"/>
      <c r="E50" s="82"/>
    </row>
    <row r="51" spans="2:5" ht="15">
      <c r="B51" s="84"/>
      <c r="D51" s="83"/>
      <c r="E51" s="82"/>
    </row>
    <row r="52" spans="2:5" ht="15">
      <c r="B52" s="84"/>
      <c r="D52" s="83"/>
      <c r="E52" s="82"/>
    </row>
    <row r="53" spans="2:5" ht="15">
      <c r="B53" s="84"/>
      <c r="D53" s="83"/>
      <c r="E53" s="82"/>
    </row>
    <row r="54" spans="2:5" ht="15">
      <c r="B54" s="84"/>
      <c r="D54" s="83"/>
      <c r="E54" s="82"/>
    </row>
    <row r="55" spans="2:5" ht="15">
      <c r="B55" s="84"/>
      <c r="D55" s="83"/>
      <c r="E55" s="82"/>
    </row>
    <row r="56" spans="2:5" ht="15">
      <c r="B56" s="84"/>
      <c r="D56" s="83"/>
      <c r="E56" s="82"/>
    </row>
    <row r="57" spans="2:5" ht="15">
      <c r="B57" s="84"/>
      <c r="D57" s="83"/>
      <c r="E57" s="82"/>
    </row>
    <row r="58" spans="2:5" ht="15">
      <c r="B58" s="84"/>
      <c r="D58" s="83"/>
      <c r="E58" s="82"/>
    </row>
    <row r="59" spans="2:5" ht="15">
      <c r="B59" s="84"/>
      <c r="D59" s="83"/>
      <c r="E59" s="82"/>
    </row>
    <row r="60" spans="2:5" ht="15">
      <c r="B60" s="84"/>
      <c r="D60" s="83"/>
      <c r="E60" s="82"/>
    </row>
    <row r="61" spans="2:5" ht="15">
      <c r="B61" s="84"/>
      <c r="D61" s="83"/>
      <c r="E61" s="82"/>
    </row>
    <row r="62" spans="2:5" ht="15">
      <c r="B62" s="84"/>
      <c r="D62" s="83"/>
      <c r="E62" s="82"/>
    </row>
    <row r="63" spans="2:5" ht="15">
      <c r="B63" s="84"/>
      <c r="D63" s="83"/>
      <c r="E63" s="82"/>
    </row>
    <row r="64" spans="2:5" ht="15">
      <c r="B64" s="84"/>
      <c r="D64" s="83"/>
      <c r="E64" s="82"/>
    </row>
    <row r="65" spans="2:5" ht="15">
      <c r="B65" s="84"/>
      <c r="D65" s="83"/>
      <c r="E65" s="82"/>
    </row>
    <row r="66" spans="2:5" ht="15">
      <c r="B66" s="84"/>
      <c r="D66" s="83"/>
      <c r="E66" s="82"/>
    </row>
    <row r="67" spans="2:5" ht="15">
      <c r="B67" s="84"/>
      <c r="D67" s="83"/>
      <c r="E67" s="82"/>
    </row>
    <row r="68" spans="2:5" ht="15">
      <c r="B68" s="84"/>
      <c r="D68" s="83"/>
      <c r="E68" s="82"/>
    </row>
    <row r="69" spans="2:5" ht="15">
      <c r="B69" s="84"/>
      <c r="D69" s="83"/>
      <c r="E69" s="82"/>
    </row>
    <row r="70" spans="2:5" ht="15">
      <c r="B70" s="84"/>
      <c r="D70" s="83"/>
      <c r="E70" s="82"/>
    </row>
    <row r="71" spans="2:5" ht="15">
      <c r="B71" s="84"/>
      <c r="D71" s="83"/>
      <c r="E71" s="82"/>
    </row>
    <row r="72" spans="2:5" ht="15">
      <c r="B72" s="84"/>
      <c r="D72" s="83"/>
      <c r="E72" s="82"/>
    </row>
    <row r="73" spans="2:5" ht="15">
      <c r="B73" s="84"/>
      <c r="D73" s="83"/>
      <c r="E73" s="82"/>
    </row>
    <row r="74" spans="2:5" ht="15">
      <c r="B74" s="84"/>
      <c r="D74" s="83"/>
      <c r="E74" s="82"/>
    </row>
    <row r="75" spans="2:5" ht="15">
      <c r="B75" s="84"/>
      <c r="D75" s="83"/>
      <c r="E75" s="82"/>
    </row>
    <row r="76" spans="2:5" ht="15">
      <c r="B76" s="84"/>
      <c r="D76" s="83"/>
      <c r="E76" s="82"/>
    </row>
    <row r="77" spans="2:5" ht="15">
      <c r="B77" s="84"/>
      <c r="D77" s="83"/>
      <c r="E77" s="82"/>
    </row>
    <row r="78" spans="2:5" ht="15">
      <c r="B78" s="84"/>
      <c r="D78" s="83"/>
      <c r="E78" s="82"/>
    </row>
    <row r="79" spans="2:5" ht="15">
      <c r="B79" s="84"/>
      <c r="D79" s="83"/>
      <c r="E79" s="82"/>
    </row>
    <row r="80" spans="2:5" ht="15">
      <c r="B80" s="84"/>
      <c r="D80" s="83"/>
      <c r="E80" s="82"/>
    </row>
    <row r="81" spans="2:5" ht="15">
      <c r="B81" s="84"/>
      <c r="D81" s="83"/>
      <c r="E81" s="82"/>
    </row>
    <row r="82" spans="2:5" ht="15">
      <c r="B82" s="84"/>
      <c r="D82" s="83"/>
      <c r="E82" s="82"/>
    </row>
    <row r="83" spans="2:5" ht="15">
      <c r="B83" s="84"/>
      <c r="D83" s="83"/>
      <c r="E83" s="82"/>
    </row>
    <row r="84" spans="2:5" ht="15">
      <c r="B84" s="84"/>
      <c r="D84" s="83"/>
      <c r="E84" s="82"/>
    </row>
    <row r="85" spans="2:5" ht="15">
      <c r="B85" s="84"/>
      <c r="D85" s="83"/>
      <c r="E85" s="82"/>
    </row>
    <row r="86" spans="2:5" ht="15">
      <c r="B86" s="84"/>
      <c r="D86" s="83"/>
      <c r="E86" s="82"/>
    </row>
    <row r="87" spans="2:5" ht="15">
      <c r="B87" s="84"/>
      <c r="D87" s="83"/>
      <c r="E87" s="82"/>
    </row>
    <row r="88" spans="2:5" ht="15">
      <c r="B88" s="84"/>
      <c r="D88" s="83"/>
      <c r="E88" s="82"/>
    </row>
    <row r="89" spans="2:5" ht="15">
      <c r="B89" s="84"/>
      <c r="D89" s="83"/>
      <c r="E89" s="82"/>
    </row>
    <row r="90" spans="2:5" ht="15">
      <c r="B90" s="84"/>
      <c r="D90" s="83"/>
      <c r="E90" s="82"/>
    </row>
    <row r="91" spans="2:5" ht="15">
      <c r="B91" s="84"/>
      <c r="D91" s="83"/>
      <c r="E91" s="82"/>
    </row>
    <row r="92" spans="2:5" ht="15">
      <c r="B92" s="84"/>
      <c r="D92" s="83"/>
      <c r="E92" s="82"/>
    </row>
    <row r="93" spans="2:5" ht="15">
      <c r="B93" s="84"/>
      <c r="D93" s="83"/>
      <c r="E93" s="82"/>
    </row>
    <row r="94" spans="2:5" ht="15">
      <c r="B94" s="84"/>
      <c r="D94" s="83"/>
      <c r="E94" s="82"/>
    </row>
    <row r="95" spans="2:5" ht="15">
      <c r="B95" s="84"/>
      <c r="D95" s="83"/>
      <c r="E95" s="82"/>
    </row>
    <row r="96" spans="2:5" ht="15">
      <c r="B96" s="84"/>
      <c r="D96" s="83"/>
      <c r="E96" s="82"/>
    </row>
    <row r="97" spans="2:5" ht="15">
      <c r="B97" s="84"/>
      <c r="D97" s="83"/>
      <c r="E97" s="82"/>
    </row>
    <row r="98" spans="2:5" ht="15">
      <c r="B98" s="84"/>
      <c r="D98" s="83"/>
      <c r="E98" s="82"/>
    </row>
    <row r="99" spans="2:5" ht="15">
      <c r="B99" s="84"/>
      <c r="D99" s="83"/>
      <c r="E99" s="82"/>
    </row>
    <row r="100" spans="2:5" ht="15">
      <c r="B100" s="84"/>
      <c r="D100" s="83"/>
      <c r="E100" s="82"/>
    </row>
    <row r="101" spans="2:5" ht="15">
      <c r="B101" s="84"/>
      <c r="D101" s="83"/>
      <c r="E101" s="82"/>
    </row>
    <row r="102" spans="2:5" ht="15">
      <c r="B102" s="84"/>
      <c r="D102" s="83"/>
      <c r="E102" s="82"/>
    </row>
    <row r="103" spans="2:5" ht="15">
      <c r="B103" s="84"/>
      <c r="D103" s="83"/>
      <c r="E103" s="82"/>
    </row>
    <row r="104" spans="2:5" ht="15">
      <c r="B104" s="84"/>
      <c r="D104" s="83"/>
      <c r="E104" s="82"/>
    </row>
    <row r="105" spans="2:5" ht="15">
      <c r="B105" s="84"/>
      <c r="D105" s="83"/>
      <c r="E105" s="82"/>
    </row>
    <row r="106" spans="2:5" ht="15">
      <c r="B106" s="84"/>
      <c r="D106" s="83"/>
      <c r="E106" s="82"/>
    </row>
    <row r="107" spans="2:5" ht="15">
      <c r="B107" s="84"/>
      <c r="D107" s="83"/>
      <c r="E107" s="82"/>
    </row>
    <row r="108" spans="2:5" ht="15">
      <c r="B108" s="84"/>
      <c r="D108" s="83"/>
      <c r="E108" s="82"/>
    </row>
    <row r="109" spans="2:5" ht="15">
      <c r="B109" s="84"/>
      <c r="D109" s="83"/>
      <c r="E109" s="82"/>
    </row>
    <row r="110" spans="2:5" ht="15">
      <c r="B110" s="84"/>
      <c r="D110" s="83"/>
      <c r="E110" s="82"/>
    </row>
    <row r="111" spans="2:5" ht="15">
      <c r="B111" s="84"/>
      <c r="D111" s="83"/>
      <c r="E111" s="82"/>
    </row>
    <row r="112" spans="2:5" ht="15">
      <c r="B112" s="84"/>
      <c r="D112" s="83"/>
      <c r="E112" s="82"/>
    </row>
    <row r="113" spans="2:5" ht="15">
      <c r="B113" s="84"/>
      <c r="D113" s="83"/>
      <c r="E113" s="82"/>
    </row>
    <row r="114" spans="2:5" ht="15">
      <c r="B114" s="84"/>
      <c r="D114" s="83"/>
      <c r="E114" s="82"/>
    </row>
    <row r="115" spans="2:5" ht="15">
      <c r="B115" s="84"/>
      <c r="D115" s="83"/>
      <c r="E115" s="82"/>
    </row>
    <row r="116" spans="2:5" ht="15">
      <c r="B116" s="84"/>
      <c r="D116" s="83"/>
      <c r="E116" s="82"/>
    </row>
    <row r="117" spans="2:5" ht="15">
      <c r="B117" s="84"/>
      <c r="D117" s="83"/>
      <c r="E117" s="82"/>
    </row>
    <row r="118" spans="2:5" ht="15">
      <c r="B118" s="84"/>
      <c r="D118" s="83"/>
      <c r="E118" s="82"/>
    </row>
    <row r="119" spans="2:5" ht="15">
      <c r="B119" s="84"/>
      <c r="D119" s="83"/>
      <c r="E119" s="82"/>
    </row>
    <row r="120" spans="2:5" ht="15">
      <c r="B120" s="84"/>
      <c r="D120" s="83"/>
      <c r="E120" s="82"/>
    </row>
    <row r="121" spans="2:5" ht="15">
      <c r="B121" s="84"/>
      <c r="D121" s="83"/>
      <c r="E121" s="82"/>
    </row>
    <row r="122" spans="2:5" ht="15">
      <c r="B122" s="84"/>
      <c r="D122" s="83"/>
      <c r="E122" s="82"/>
    </row>
    <row r="123" spans="2:5" ht="15">
      <c r="B123" s="84"/>
      <c r="D123" s="83"/>
      <c r="E123" s="82"/>
    </row>
    <row r="124" spans="2:5" ht="15">
      <c r="B124" s="84"/>
      <c r="D124" s="83"/>
      <c r="E124" s="82"/>
    </row>
    <row r="125" spans="2:5" ht="15">
      <c r="B125" s="84"/>
      <c r="D125" s="83"/>
      <c r="E125" s="82"/>
    </row>
    <row r="126" spans="2:5" ht="15">
      <c r="B126" s="84"/>
      <c r="D126" s="83"/>
      <c r="E126" s="82"/>
    </row>
    <row r="127" spans="2:5" ht="15">
      <c r="B127" s="84"/>
      <c r="D127" s="83"/>
      <c r="E127" s="82"/>
    </row>
    <row r="128" spans="2:5" ht="15">
      <c r="B128" s="84"/>
      <c r="D128" s="83"/>
      <c r="E128" s="82"/>
    </row>
    <row r="129" spans="2:5" ht="15">
      <c r="B129" s="84"/>
      <c r="D129" s="83"/>
      <c r="E129" s="82"/>
    </row>
    <row r="130" spans="2:5" ht="15">
      <c r="B130" s="84"/>
      <c r="D130" s="83"/>
      <c r="E130" s="82"/>
    </row>
    <row r="131" spans="2:5" ht="15">
      <c r="B131" s="84"/>
      <c r="D131" s="83"/>
      <c r="E131" s="82"/>
    </row>
    <row r="132" spans="2:5" ht="15">
      <c r="B132" s="84"/>
      <c r="D132" s="83"/>
      <c r="E132" s="82"/>
    </row>
    <row r="133" spans="2:5" ht="15">
      <c r="B133" s="84"/>
      <c r="D133" s="83"/>
      <c r="E133" s="82"/>
    </row>
    <row r="134" spans="2:5" ht="15">
      <c r="B134" s="84"/>
      <c r="D134" s="83"/>
      <c r="E134" s="82"/>
    </row>
    <row r="135" spans="2:5" ht="15">
      <c r="B135" s="84"/>
      <c r="D135" s="83"/>
      <c r="E135" s="82"/>
    </row>
    <row r="136" spans="2:5" ht="15">
      <c r="B136" s="84"/>
      <c r="D136" s="83"/>
      <c r="E136" s="82"/>
    </row>
    <row r="137" spans="2:5" ht="15">
      <c r="B137" s="84"/>
      <c r="D137" s="83"/>
      <c r="E137" s="82"/>
    </row>
    <row r="138" spans="2:5" ht="15">
      <c r="B138" s="84"/>
      <c r="D138" s="83"/>
      <c r="E138" s="82"/>
    </row>
    <row r="139" spans="2:5" ht="15">
      <c r="B139" s="84"/>
      <c r="D139" s="83"/>
      <c r="E139" s="82"/>
    </row>
    <row r="140" spans="2:5" ht="15">
      <c r="B140" s="84"/>
      <c r="D140" s="83"/>
      <c r="E140" s="82"/>
    </row>
    <row r="141" spans="2:5" ht="15">
      <c r="B141" s="84"/>
      <c r="D141" s="83"/>
      <c r="E141" s="82"/>
    </row>
    <row r="142" spans="2:5" ht="15">
      <c r="B142" s="84"/>
      <c r="D142" s="83"/>
      <c r="E142" s="82"/>
    </row>
    <row r="143" spans="2:5" ht="15">
      <c r="B143" s="84"/>
      <c r="D143" s="83"/>
      <c r="E143" s="82"/>
    </row>
    <row r="144" spans="2:5" ht="15">
      <c r="B144" s="84"/>
      <c r="D144" s="83"/>
      <c r="E144" s="82"/>
    </row>
    <row r="145" spans="2:5" ht="15">
      <c r="B145" s="84"/>
      <c r="D145" s="83"/>
      <c r="E145" s="82"/>
    </row>
    <row r="146" spans="2:5" ht="15">
      <c r="B146" s="84"/>
      <c r="D146" s="83"/>
      <c r="E146" s="82"/>
    </row>
    <row r="147" spans="2:5" ht="15">
      <c r="B147" s="84"/>
      <c r="D147" s="83"/>
      <c r="E147" s="82"/>
    </row>
    <row r="148" spans="2:5" ht="15">
      <c r="B148" s="84"/>
      <c r="D148" s="83"/>
      <c r="E148" s="82"/>
    </row>
    <row r="149" spans="2:5" ht="15">
      <c r="B149" s="84"/>
      <c r="D149" s="83"/>
      <c r="E149" s="82"/>
    </row>
    <row r="150" spans="2:5" ht="15">
      <c r="B150" s="84"/>
      <c r="D150" s="83"/>
      <c r="E150" s="82"/>
    </row>
    <row r="151" spans="2:5" ht="15">
      <c r="B151" s="84"/>
      <c r="D151" s="83"/>
      <c r="E151" s="82"/>
    </row>
    <row r="152" spans="2:5" ht="15">
      <c r="B152" s="84"/>
      <c r="D152" s="83"/>
      <c r="E152" s="82"/>
    </row>
    <row r="153" spans="2:5" ht="15">
      <c r="B153" s="84"/>
      <c r="D153" s="83"/>
      <c r="E153" s="82"/>
    </row>
    <row r="154" spans="2:5" ht="15">
      <c r="B154" s="84"/>
      <c r="D154" s="83"/>
      <c r="E154" s="82"/>
    </row>
    <row r="155" spans="2:5" ht="15">
      <c r="B155" s="84"/>
      <c r="D155" s="83"/>
      <c r="E155" s="82"/>
    </row>
    <row r="156" spans="2:5" ht="15">
      <c r="B156" s="84"/>
      <c r="D156" s="83"/>
      <c r="E156" s="82"/>
    </row>
    <row r="157" spans="2:5" ht="15">
      <c r="B157" s="84"/>
      <c r="D157" s="83"/>
      <c r="E157" s="82"/>
    </row>
    <row r="158" spans="2:5" ht="15">
      <c r="B158" s="84"/>
      <c r="D158" s="83"/>
      <c r="E158" s="82"/>
    </row>
    <row r="159" spans="2:5" ht="15">
      <c r="B159" s="84"/>
      <c r="D159" s="83"/>
      <c r="E159" s="82"/>
    </row>
    <row r="160" spans="2:5" ht="15">
      <c r="B160" s="84"/>
      <c r="D160" s="83"/>
      <c r="E160" s="82"/>
    </row>
    <row r="161" spans="2:5" ht="15">
      <c r="B161" s="84"/>
      <c r="D161" s="83"/>
      <c r="E161" s="82"/>
    </row>
    <row r="162" spans="2:5" ht="15">
      <c r="B162" s="84"/>
      <c r="D162" s="83"/>
      <c r="E162" s="82"/>
    </row>
    <row r="163" spans="2:5" ht="15">
      <c r="B163" s="84"/>
      <c r="D163" s="83"/>
      <c r="E163" s="82"/>
    </row>
    <row r="164" spans="2:5" ht="15">
      <c r="B164" s="84"/>
      <c r="D164" s="83"/>
      <c r="E164" s="82"/>
    </row>
    <row r="165" spans="2:5" ht="15">
      <c r="B165" s="84"/>
      <c r="D165" s="83"/>
      <c r="E165" s="82"/>
    </row>
    <row r="166" spans="2:5" ht="15">
      <c r="B166" s="84"/>
      <c r="D166" s="83"/>
      <c r="E166" s="82"/>
    </row>
    <row r="167" spans="2:5" ht="15">
      <c r="B167" s="84"/>
      <c r="D167" s="83"/>
      <c r="E167" s="82"/>
    </row>
    <row r="168" spans="2:5" ht="15">
      <c r="B168" s="84"/>
      <c r="D168" s="83"/>
      <c r="E168" s="82"/>
    </row>
    <row r="169" spans="2:5" ht="15">
      <c r="B169" s="84"/>
      <c r="D169" s="83"/>
      <c r="E169" s="82"/>
    </row>
    <row r="170" spans="2:5" ht="15">
      <c r="B170" s="84"/>
      <c r="D170" s="83"/>
      <c r="E170" s="82"/>
    </row>
    <row r="171" spans="2:5" ht="15">
      <c r="B171" s="84"/>
      <c r="D171" s="83"/>
      <c r="E171" s="82"/>
    </row>
    <row r="172" spans="2:5" ht="15">
      <c r="B172" s="84"/>
      <c r="D172" s="83"/>
      <c r="E172" s="82"/>
    </row>
    <row r="173" spans="2:5" ht="15">
      <c r="B173" s="84"/>
      <c r="D173" s="83"/>
      <c r="E173" s="82"/>
    </row>
    <row r="174" spans="2:5" ht="15">
      <c r="B174" s="84"/>
      <c r="D174" s="83"/>
      <c r="E174" s="82"/>
    </row>
    <row r="175" spans="2:5" ht="15">
      <c r="B175" s="84"/>
      <c r="D175" s="83"/>
      <c r="E175" s="82"/>
    </row>
    <row r="176" spans="2:5" ht="15">
      <c r="B176" s="84"/>
      <c r="D176" s="83"/>
      <c r="E176" s="82"/>
    </row>
    <row r="177" spans="2:5" ht="15">
      <c r="B177" s="84"/>
      <c r="D177" s="83"/>
      <c r="E177" s="82"/>
    </row>
    <row r="178" spans="2:5" ht="15">
      <c r="B178" s="84"/>
      <c r="D178" s="83"/>
      <c r="E178" s="82"/>
    </row>
    <row r="179" spans="2:5" ht="15">
      <c r="B179" s="84"/>
      <c r="D179" s="83"/>
      <c r="E179" s="82"/>
    </row>
    <row r="180" spans="2:5" ht="15">
      <c r="B180" s="84"/>
      <c r="D180" s="83"/>
      <c r="E180" s="82"/>
    </row>
    <row r="181" spans="2:5" ht="15">
      <c r="B181" s="84"/>
      <c r="D181" s="83"/>
      <c r="E181" s="82"/>
    </row>
    <row r="182" spans="2:5" ht="15">
      <c r="B182" s="84"/>
      <c r="D182" s="83"/>
      <c r="E182" s="82"/>
    </row>
    <row r="183" spans="2:5" ht="15">
      <c r="B183" s="84"/>
      <c r="D183" s="83"/>
      <c r="E183" s="82"/>
    </row>
    <row r="184" spans="2:5" ht="15">
      <c r="B184" s="84"/>
      <c r="D184" s="83"/>
      <c r="E184" s="82"/>
    </row>
    <row r="185" spans="2:5" ht="15">
      <c r="B185" s="84"/>
      <c r="D185" s="83"/>
      <c r="E185" s="82"/>
    </row>
    <row r="186" spans="2:5" ht="15">
      <c r="B186" s="84"/>
      <c r="D186" s="83"/>
      <c r="E186" s="82"/>
    </row>
    <row r="187" spans="2:5" ht="15">
      <c r="B187" s="84"/>
      <c r="D187" s="83"/>
      <c r="E187" s="82"/>
    </row>
    <row r="188" spans="2:5" ht="15">
      <c r="B188" s="84"/>
      <c r="D188" s="83"/>
      <c r="E188" s="82"/>
    </row>
    <row r="189" spans="2:5" ht="15">
      <c r="B189" s="84"/>
      <c r="D189" s="83"/>
      <c r="E189" s="82"/>
    </row>
    <row r="190" spans="2:5" ht="15">
      <c r="B190" s="84"/>
      <c r="D190" s="83"/>
      <c r="E190" s="82"/>
    </row>
    <row r="191" spans="2:5" ht="15">
      <c r="B191" s="84"/>
      <c r="D191" s="83"/>
      <c r="E191" s="82"/>
    </row>
    <row r="192" spans="2:5" ht="15">
      <c r="B192" s="84"/>
      <c r="D192" s="83"/>
      <c r="E192" s="82"/>
    </row>
    <row r="193" spans="2:5" ht="15">
      <c r="B193" s="84"/>
      <c r="D193" s="83"/>
      <c r="E193" s="82"/>
    </row>
    <row r="194" spans="2:5" ht="15">
      <c r="B194" s="84"/>
      <c r="D194" s="83"/>
      <c r="E194" s="82"/>
    </row>
    <row r="195" spans="2:5" ht="15">
      <c r="B195" s="84"/>
      <c r="D195" s="83"/>
      <c r="E195" s="82"/>
    </row>
    <row r="196" spans="2:5" ht="15">
      <c r="B196" s="84"/>
      <c r="D196" s="83"/>
      <c r="E196" s="82"/>
    </row>
    <row r="197" spans="2:5" ht="15">
      <c r="B197" s="84"/>
      <c r="D197" s="83"/>
      <c r="E197" s="82"/>
    </row>
    <row r="198" spans="2:5" ht="15">
      <c r="B198" s="84"/>
      <c r="D198" s="83"/>
      <c r="E198" s="82"/>
    </row>
    <row r="199" spans="2:5" ht="15">
      <c r="B199" s="84"/>
      <c r="D199" s="83"/>
      <c r="E199" s="82"/>
    </row>
    <row r="200" spans="2:5" ht="15">
      <c r="B200" s="84"/>
      <c r="D200" s="83"/>
      <c r="E200" s="82"/>
    </row>
    <row r="201" spans="2:5" ht="15">
      <c r="B201" s="84"/>
      <c r="D201" s="83"/>
      <c r="E201" s="82"/>
    </row>
    <row r="202" spans="2:5" ht="15">
      <c r="B202" s="84"/>
      <c r="D202" s="83"/>
      <c r="E202" s="82"/>
    </row>
    <row r="203" spans="2:5" ht="15">
      <c r="B203" s="84"/>
      <c r="D203" s="83"/>
      <c r="E203" s="82"/>
    </row>
    <row r="204" spans="2:5" ht="15">
      <c r="B204" s="84"/>
      <c r="D204" s="83"/>
      <c r="E204" s="82"/>
    </row>
    <row r="205" spans="2:5" ht="15">
      <c r="B205" s="84"/>
      <c r="D205" s="83"/>
      <c r="E205" s="82"/>
    </row>
    <row r="206" spans="2:5" ht="15">
      <c r="B206" s="84"/>
      <c r="D206" s="83"/>
      <c r="E206" s="82"/>
    </row>
    <row r="207" spans="2:5" ht="15">
      <c r="B207" s="84"/>
      <c r="D207" s="83"/>
      <c r="E207" s="82"/>
    </row>
    <row r="208" spans="2:5" ht="15">
      <c r="B208" s="84"/>
      <c r="D208" s="83"/>
      <c r="E208" s="82"/>
    </row>
    <row r="209" spans="2:5" ht="15">
      <c r="B209" s="84"/>
      <c r="D209" s="83"/>
      <c r="E209" s="82"/>
    </row>
    <row r="210" spans="2:5" ht="15">
      <c r="B210" s="84"/>
      <c r="D210" s="83"/>
      <c r="E210" s="82"/>
    </row>
    <row r="211" spans="2:5" ht="15">
      <c r="B211" s="84"/>
      <c r="D211" s="83"/>
      <c r="E211" s="82"/>
    </row>
    <row r="212" spans="2:5" ht="15">
      <c r="B212" s="84"/>
      <c r="D212" s="83"/>
      <c r="E212" s="82"/>
    </row>
    <row r="213" spans="2:5" ht="15">
      <c r="B213" s="84"/>
      <c r="D213" s="83"/>
      <c r="E213" s="82"/>
    </row>
    <row r="214" spans="2:5" ht="15">
      <c r="B214" s="84"/>
      <c r="D214" s="83"/>
      <c r="E214" s="82"/>
    </row>
    <row r="215" spans="2:5" ht="15">
      <c r="B215" s="84"/>
      <c r="D215" s="83"/>
      <c r="E215" s="82"/>
    </row>
    <row r="216" spans="2:5" ht="15">
      <c r="B216" s="84"/>
      <c r="D216" s="83"/>
      <c r="E216" s="82"/>
    </row>
    <row r="217" spans="2:5" ht="15">
      <c r="B217" s="84"/>
      <c r="D217" s="83"/>
      <c r="E217" s="82"/>
    </row>
    <row r="218" spans="2:5" ht="15">
      <c r="B218" s="84"/>
      <c r="D218" s="83"/>
      <c r="E218" s="82"/>
    </row>
    <row r="219" spans="2:5" ht="15">
      <c r="B219" s="84"/>
      <c r="D219" s="83"/>
      <c r="E219" s="82"/>
    </row>
    <row r="220" spans="2:5" ht="15">
      <c r="B220" s="84"/>
      <c r="D220" s="83"/>
      <c r="E220" s="82"/>
    </row>
    <row r="221" spans="2:5" ht="15">
      <c r="B221" s="84"/>
      <c r="D221" s="83"/>
      <c r="E221" s="82"/>
    </row>
    <row r="222" spans="2:5" ht="15">
      <c r="B222" s="84"/>
      <c r="D222" s="83"/>
      <c r="E222" s="82"/>
    </row>
    <row r="223" spans="2:5" ht="15">
      <c r="B223" s="84"/>
      <c r="D223" s="83"/>
      <c r="E223" s="82"/>
    </row>
    <row r="224" spans="2:5" ht="15">
      <c r="B224" s="84"/>
      <c r="D224" s="83"/>
      <c r="E224" s="82"/>
    </row>
    <row r="225" spans="2:5" ht="15">
      <c r="B225" s="84"/>
      <c r="D225" s="83"/>
      <c r="E225" s="82"/>
    </row>
    <row r="226" spans="2:5" ht="15">
      <c r="B226" s="84"/>
      <c r="D226" s="83"/>
      <c r="E226" s="82"/>
    </row>
    <row r="227" spans="2:5" ht="15">
      <c r="B227" s="84"/>
      <c r="D227" s="83"/>
      <c r="E227" s="82"/>
    </row>
    <row r="228" spans="2:5" ht="15">
      <c r="B228" s="84"/>
      <c r="D228" s="83"/>
      <c r="E228" s="82"/>
    </row>
    <row r="229" spans="2:5" ht="15">
      <c r="B229" s="84"/>
      <c r="D229" s="83"/>
      <c r="E229" s="82"/>
    </row>
    <row r="230" spans="2:5" ht="15">
      <c r="B230" s="84"/>
      <c r="D230" s="83"/>
      <c r="E230" s="82"/>
    </row>
    <row r="231" spans="2:5" ht="15">
      <c r="B231" s="84"/>
      <c r="D231" s="83"/>
      <c r="E231" s="82"/>
    </row>
    <row r="232" spans="2:5" ht="15">
      <c r="B232" s="84"/>
      <c r="D232" s="83"/>
      <c r="E232" s="82"/>
    </row>
    <row r="233" spans="2:5" ht="15">
      <c r="B233" s="84"/>
      <c r="D233" s="83"/>
      <c r="E233" s="82"/>
    </row>
    <row r="234" spans="2:5" ht="15">
      <c r="B234" s="84"/>
      <c r="D234" s="83"/>
      <c r="E234" s="82"/>
    </row>
    <row r="235" spans="2:5" ht="15">
      <c r="B235" s="84"/>
      <c r="D235" s="83"/>
      <c r="E235" s="82"/>
    </row>
    <row r="236" spans="2:5" ht="15">
      <c r="B236" s="84"/>
      <c r="D236" s="83"/>
      <c r="E236" s="82"/>
    </row>
    <row r="237" spans="2:5" ht="15">
      <c r="B237" s="84"/>
      <c r="D237" s="83"/>
      <c r="E237" s="82"/>
    </row>
    <row r="238" spans="2:5" ht="15">
      <c r="B238" s="84"/>
      <c r="D238" s="83"/>
      <c r="E238" s="82"/>
    </row>
    <row r="239" spans="2:5" ht="15">
      <c r="B239" s="84"/>
      <c r="D239" s="83"/>
      <c r="E239" s="82"/>
    </row>
    <row r="240" spans="2:5" ht="15">
      <c r="B240" s="84"/>
      <c r="D240" s="83"/>
      <c r="E240" s="82"/>
    </row>
    <row r="241" spans="2:5" ht="15">
      <c r="B241" s="84"/>
      <c r="D241" s="83"/>
      <c r="E241" s="82"/>
    </row>
    <row r="242" spans="2:5" ht="15">
      <c r="B242" s="84"/>
      <c r="D242" s="83"/>
      <c r="E242" s="82"/>
    </row>
    <row r="243" spans="2:5" ht="15">
      <c r="B243" s="84"/>
      <c r="D243" s="83"/>
      <c r="E243" s="82"/>
    </row>
    <row r="244" spans="2:5" ht="15">
      <c r="B244" s="84"/>
      <c r="D244" s="83"/>
      <c r="E244" s="82"/>
    </row>
    <row r="245" spans="2:5" ht="15">
      <c r="B245" s="84"/>
      <c r="D245" s="83"/>
      <c r="E245" s="82"/>
    </row>
    <row r="246" spans="2:5" ht="15">
      <c r="B246" s="84"/>
      <c r="D246" s="83"/>
      <c r="E246" s="82"/>
    </row>
    <row r="247" spans="2:5" ht="15">
      <c r="B247" s="84"/>
      <c r="D247" s="83"/>
      <c r="E247" s="82"/>
    </row>
    <row r="248" spans="2:5" ht="15">
      <c r="B248" s="84"/>
      <c r="D248" s="83"/>
      <c r="E248" s="82"/>
    </row>
    <row r="249" spans="2:5" ht="15">
      <c r="B249" s="84"/>
      <c r="D249" s="83"/>
      <c r="E249" s="82"/>
    </row>
    <row r="250" spans="2:5" ht="15">
      <c r="B250" s="84"/>
      <c r="D250" s="83"/>
      <c r="E250" s="82"/>
    </row>
    <row r="251" spans="2:5" ht="15">
      <c r="B251" s="84"/>
      <c r="D251" s="83"/>
      <c r="E251" s="82"/>
    </row>
    <row r="252" spans="2:5" ht="15">
      <c r="B252" s="84"/>
      <c r="D252" s="83"/>
      <c r="E252" s="82"/>
    </row>
    <row r="253" spans="2:5" ht="15">
      <c r="B253" s="84"/>
      <c r="D253" s="83"/>
      <c r="E253" s="82"/>
    </row>
    <row r="254" spans="2:5" ht="15">
      <c r="B254" s="84"/>
      <c r="D254" s="83"/>
      <c r="E254" s="82"/>
    </row>
    <row r="255" spans="2:5" ht="15">
      <c r="B255" s="84"/>
      <c r="D255" s="83"/>
      <c r="E255" s="82"/>
    </row>
    <row r="256" spans="2:5" ht="15">
      <c r="B256" s="81"/>
      <c r="D256" s="83"/>
      <c r="E256" s="82"/>
    </row>
    <row r="257" spans="2:5" ht="15">
      <c r="B257" s="81"/>
      <c r="D257" s="83"/>
      <c r="E257" s="82"/>
    </row>
    <row r="258" spans="2:5" ht="15">
      <c r="B258" s="81"/>
      <c r="D258" s="83"/>
      <c r="E258" s="82"/>
    </row>
    <row r="259" spans="2:5" ht="15">
      <c r="B259" s="81"/>
      <c r="D259" s="83"/>
      <c r="E259" s="82"/>
    </row>
    <row r="260" spans="2:5" ht="15">
      <c r="B260" s="81"/>
      <c r="D260" s="83"/>
      <c r="E260" s="82"/>
    </row>
    <row r="261" spans="2:5" ht="15">
      <c r="B261" s="81"/>
      <c r="D261" s="83"/>
      <c r="E261" s="82"/>
    </row>
    <row r="262" spans="2:5" ht="15">
      <c r="B262" s="81"/>
      <c r="D262" s="83"/>
      <c r="E262" s="82"/>
    </row>
    <row r="263" spans="2:5" ht="15">
      <c r="B263" s="81"/>
      <c r="D263" s="83"/>
      <c r="E263" s="82"/>
    </row>
    <row r="264" spans="2:5" ht="15">
      <c r="B264" s="81"/>
      <c r="D264" s="83"/>
      <c r="E264" s="82"/>
    </row>
    <row r="265" spans="2:5" ht="15">
      <c r="B265" s="81"/>
      <c r="D265" s="83"/>
      <c r="E265" s="82"/>
    </row>
    <row r="266" spans="2:5" ht="15">
      <c r="B266" s="81"/>
      <c r="D266" s="83"/>
      <c r="E266" s="82"/>
    </row>
    <row r="267" spans="2:5" ht="15">
      <c r="B267" s="81"/>
      <c r="D267" s="83"/>
      <c r="E267" s="82"/>
    </row>
    <row r="268" spans="2:5" ht="15">
      <c r="B268" s="81"/>
      <c r="D268" s="83"/>
      <c r="E268" s="82"/>
    </row>
    <row r="269" spans="2:5" ht="15">
      <c r="B269" s="81"/>
      <c r="D269" s="83"/>
      <c r="E269" s="82"/>
    </row>
    <row r="270" spans="2:5" ht="15">
      <c r="B270" s="81"/>
      <c r="D270" s="83"/>
      <c r="E270" s="82"/>
    </row>
    <row r="271" spans="2:5" ht="15">
      <c r="B271" s="81"/>
      <c r="D271" s="83"/>
      <c r="E271" s="82"/>
    </row>
    <row r="272" spans="2:5" ht="15">
      <c r="B272" s="81"/>
      <c r="D272" s="83"/>
      <c r="E272" s="82"/>
    </row>
    <row r="273" spans="2:5" ht="15">
      <c r="B273" s="81"/>
      <c r="D273" s="83"/>
      <c r="E273" s="82"/>
    </row>
    <row r="274" spans="2:5" ht="15">
      <c r="B274" s="81"/>
      <c r="D274" s="83"/>
      <c r="E274" s="82"/>
    </row>
    <row r="275" spans="2:5" ht="15">
      <c r="B275" s="81"/>
      <c r="D275" s="83"/>
      <c r="E275" s="82"/>
    </row>
    <row r="276" spans="2:5" ht="15">
      <c r="B276" s="81"/>
      <c r="D276" s="83"/>
      <c r="E276" s="82"/>
    </row>
    <row r="277" spans="2:5" ht="15">
      <c r="B277" s="81"/>
      <c r="D277" s="83"/>
      <c r="E277" s="82"/>
    </row>
    <row r="278" spans="2:5" ht="15">
      <c r="B278" s="81"/>
      <c r="D278" s="83"/>
      <c r="E278" s="82"/>
    </row>
    <row r="279" spans="2:5" ht="15">
      <c r="B279" s="81"/>
      <c r="D279" s="83"/>
      <c r="E279" s="82"/>
    </row>
    <row r="280" spans="2:5" ht="15">
      <c r="B280" s="81"/>
      <c r="D280" s="83"/>
      <c r="E280" s="82"/>
    </row>
    <row r="281" spans="2:5" ht="15">
      <c r="B281" s="81"/>
      <c r="D281" s="83"/>
      <c r="E281" s="82"/>
    </row>
    <row r="282" spans="2:5" ht="15">
      <c r="B282" s="81"/>
      <c r="D282" s="83"/>
      <c r="E282" s="82"/>
    </row>
    <row r="283" spans="2:5" ht="15">
      <c r="B283" s="81"/>
      <c r="D283" s="83"/>
      <c r="E283" s="82"/>
    </row>
    <row r="284" spans="2:5" ht="15">
      <c r="B284" s="81"/>
      <c r="D284" s="83"/>
      <c r="E284" s="82"/>
    </row>
    <row r="285" spans="2:5" ht="15">
      <c r="B285" s="81"/>
      <c r="D285" s="83"/>
      <c r="E285" s="82"/>
    </row>
    <row r="286" spans="2:5" ht="15">
      <c r="B286" s="81"/>
      <c r="D286" s="83"/>
      <c r="E286" s="82"/>
    </row>
    <row r="287" spans="2:5" ht="15">
      <c r="B287" s="81"/>
      <c r="D287" s="83"/>
      <c r="E287" s="82"/>
    </row>
    <row r="288" spans="2:5" ht="15">
      <c r="B288" s="81"/>
      <c r="D288" s="83"/>
      <c r="E288" s="82"/>
    </row>
    <row r="289" spans="2:5" ht="15">
      <c r="B289" s="81"/>
      <c r="D289" s="83"/>
      <c r="E289" s="82"/>
    </row>
    <row r="290" spans="2:5" ht="15">
      <c r="B290" s="81"/>
      <c r="D290" s="83"/>
      <c r="E290" s="82"/>
    </row>
    <row r="291" spans="2:5" ht="15">
      <c r="B291" s="81"/>
      <c r="D291" s="83"/>
      <c r="E291" s="82"/>
    </row>
    <row r="292" spans="2:5" ht="15">
      <c r="B292" s="81"/>
      <c r="D292" s="83"/>
      <c r="E292" s="82"/>
    </row>
    <row r="293" spans="2:5" ht="15">
      <c r="B293" s="81"/>
      <c r="D293" s="83"/>
      <c r="E293" s="82"/>
    </row>
    <row r="294" spans="2:5" ht="15">
      <c r="B294" s="81"/>
      <c r="D294" s="83"/>
      <c r="E294" s="82"/>
    </row>
    <row r="295" spans="2:5" ht="15">
      <c r="B295" s="81"/>
      <c r="D295" s="83"/>
      <c r="E295" s="82"/>
    </row>
    <row r="296" spans="2:5" ht="15">
      <c r="B296" s="81"/>
      <c r="D296" s="83"/>
      <c r="E296" s="82"/>
    </row>
    <row r="297" spans="2:5" ht="15">
      <c r="B297" s="81"/>
      <c r="D297" s="83"/>
      <c r="E297" s="82"/>
    </row>
    <row r="298" spans="2:5" ht="15">
      <c r="B298" s="81"/>
      <c r="D298" s="83"/>
      <c r="E298" s="82"/>
    </row>
    <row r="299" spans="2:5" ht="15">
      <c r="B299" s="81"/>
      <c r="D299" s="83"/>
      <c r="E299" s="82"/>
    </row>
    <row r="300" spans="2:5" ht="15">
      <c r="B300" s="81"/>
      <c r="D300" s="83"/>
      <c r="E300" s="82"/>
    </row>
    <row r="301" spans="2:5" ht="15">
      <c r="B301" s="81"/>
      <c r="D301" s="83"/>
      <c r="E301" s="82"/>
    </row>
    <row r="302" spans="2:5" ht="15">
      <c r="B302" s="81"/>
      <c r="D302" s="83"/>
      <c r="E302" s="82"/>
    </row>
    <row r="303" spans="2:5" ht="15">
      <c r="B303" s="81"/>
      <c r="D303" s="83"/>
      <c r="E303" s="82"/>
    </row>
    <row r="304" spans="2:5" ht="15">
      <c r="B304" s="81"/>
      <c r="D304" s="83"/>
      <c r="E304" s="82"/>
    </row>
    <row r="305" spans="2:5" ht="15">
      <c r="B305" s="81"/>
      <c r="D305" s="83"/>
      <c r="E305" s="82"/>
    </row>
    <row r="306" spans="2:5" ht="15">
      <c r="B306" s="81"/>
      <c r="D306" s="83"/>
      <c r="E306" s="82"/>
    </row>
    <row r="307" spans="2:5" ht="15">
      <c r="B307" s="81"/>
      <c r="D307" s="83"/>
      <c r="E307" s="82"/>
    </row>
    <row r="308" spans="2:5" ht="15">
      <c r="B308" s="81"/>
      <c r="D308" s="83"/>
      <c r="E308" s="82"/>
    </row>
    <row r="309" spans="2:5" ht="15">
      <c r="B309" s="81"/>
      <c r="D309" s="83"/>
      <c r="E309" s="82"/>
    </row>
    <row r="310" spans="2:5" ht="15">
      <c r="B310" s="81"/>
      <c r="D310" s="83"/>
      <c r="E310" s="82"/>
    </row>
    <row r="311" spans="2:5" ht="15">
      <c r="B311" s="81"/>
      <c r="D311" s="83"/>
      <c r="E311" s="82"/>
    </row>
    <row r="312" spans="2:5" ht="15">
      <c r="B312" s="81"/>
      <c r="D312" s="83"/>
      <c r="E312" s="82"/>
    </row>
    <row r="313" spans="2:5" ht="15">
      <c r="B313" s="81"/>
      <c r="D313" s="83"/>
      <c r="E313" s="82"/>
    </row>
    <row r="314" spans="2:5" ht="15">
      <c r="B314" s="81"/>
      <c r="D314" s="83"/>
      <c r="E314" s="82"/>
    </row>
    <row r="315" spans="2:5" ht="15">
      <c r="B315" s="81"/>
      <c r="D315" s="83"/>
      <c r="E315" s="82"/>
    </row>
    <row r="316" spans="2:5" ht="15">
      <c r="B316" s="81"/>
      <c r="D316" s="83"/>
      <c r="E316" s="82"/>
    </row>
    <row r="317" spans="2:5" ht="15">
      <c r="B317" s="81"/>
      <c r="D317" s="83"/>
      <c r="E317" s="82"/>
    </row>
    <row r="318" spans="2:5" ht="15">
      <c r="B318" s="81"/>
      <c r="D318" s="83"/>
      <c r="E318" s="82"/>
    </row>
    <row r="319" spans="2:5" ht="15">
      <c r="B319" s="81"/>
      <c r="D319" s="83"/>
      <c r="E319" s="82"/>
    </row>
    <row r="320" spans="2:5" ht="15">
      <c r="B320" s="81"/>
      <c r="D320" s="83"/>
      <c r="E320" s="82"/>
    </row>
    <row r="321" spans="2:5" ht="15">
      <c r="B321" s="81"/>
      <c r="D321" s="83"/>
      <c r="E321" s="82"/>
    </row>
    <row r="322" spans="2:5" ht="15">
      <c r="B322" s="81"/>
      <c r="D322" s="83"/>
      <c r="E322" s="82"/>
    </row>
    <row r="323" spans="2:5" ht="15">
      <c r="B323" s="81"/>
      <c r="D323" s="83"/>
      <c r="E323" s="82"/>
    </row>
    <row r="324" spans="2:5" ht="15">
      <c r="B324" s="81"/>
      <c r="D324" s="83"/>
      <c r="E324" s="82"/>
    </row>
    <row r="325" spans="2:5" ht="15">
      <c r="B325" s="81"/>
      <c r="D325" s="83"/>
      <c r="E325" s="82"/>
    </row>
    <row r="326" spans="2:5" ht="15">
      <c r="B326" s="81"/>
      <c r="D326" s="83"/>
      <c r="E326" s="82"/>
    </row>
    <row r="327" spans="2:5" ht="15">
      <c r="B327" s="81"/>
      <c r="D327" s="83"/>
      <c r="E327" s="82"/>
    </row>
    <row r="328" spans="2:5" ht="15">
      <c r="B328" s="81"/>
      <c r="D328" s="83"/>
      <c r="E328" s="82"/>
    </row>
    <row r="329" spans="2:5" ht="15">
      <c r="B329" s="81"/>
      <c r="D329" s="83"/>
      <c r="E329" s="82"/>
    </row>
    <row r="330" spans="2:5" ht="15">
      <c r="B330" s="81"/>
      <c r="D330" s="83"/>
      <c r="E330" s="82"/>
    </row>
    <row r="331" spans="2:5" ht="15">
      <c r="B331" s="81"/>
      <c r="D331" s="83"/>
      <c r="E331" s="82"/>
    </row>
    <row r="332" spans="2:5" ht="15">
      <c r="B332" s="81"/>
      <c r="D332" s="83"/>
      <c r="E332" s="82"/>
    </row>
    <row r="333" spans="2:5" ht="15">
      <c r="B333" s="81"/>
      <c r="D333" s="83"/>
      <c r="E333" s="82"/>
    </row>
    <row r="334" spans="2:5" ht="15">
      <c r="B334" s="81"/>
      <c r="D334" s="83"/>
      <c r="E334" s="82"/>
    </row>
    <row r="335" spans="2:5" ht="15">
      <c r="B335" s="81"/>
      <c r="D335" s="83"/>
      <c r="E335" s="82"/>
    </row>
    <row r="336" spans="2:5" ht="15">
      <c r="B336" s="81"/>
      <c r="D336" s="83"/>
      <c r="E336" s="82"/>
    </row>
    <row r="337" spans="2:5" ht="15">
      <c r="B337" s="81"/>
      <c r="D337" s="83"/>
      <c r="E337" s="82"/>
    </row>
    <row r="338" spans="2:5" ht="15">
      <c r="B338" s="81"/>
      <c r="D338" s="83"/>
      <c r="E338" s="82"/>
    </row>
    <row r="339" spans="2:5" ht="15">
      <c r="B339" s="81"/>
      <c r="D339" s="83"/>
      <c r="E339" s="82"/>
    </row>
    <row r="340" spans="2:5" ht="15">
      <c r="B340" s="81"/>
      <c r="D340" s="83"/>
      <c r="E340" s="82"/>
    </row>
    <row r="341" spans="2:5" ht="15">
      <c r="B341" s="81"/>
      <c r="D341" s="83"/>
      <c r="E341" s="82"/>
    </row>
    <row r="342" spans="2:5" ht="15">
      <c r="B342" s="81"/>
      <c r="D342" s="83"/>
      <c r="E342" s="82"/>
    </row>
    <row r="343" spans="2:5" ht="15">
      <c r="B343" s="81"/>
      <c r="D343" s="83"/>
      <c r="E343" s="82"/>
    </row>
    <row r="344" spans="2:5" ht="15">
      <c r="B344" s="81"/>
      <c r="D344" s="83"/>
      <c r="E344" s="82"/>
    </row>
    <row r="345" spans="2:5" ht="15">
      <c r="B345" s="81"/>
      <c r="D345" s="83"/>
      <c r="E345" s="82"/>
    </row>
    <row r="346" spans="2:5" ht="15">
      <c r="B346" s="81"/>
      <c r="D346" s="83"/>
      <c r="E346" s="82"/>
    </row>
    <row r="347" spans="2:5" ht="15">
      <c r="B347" s="81"/>
      <c r="D347" s="83"/>
      <c r="E347" s="82"/>
    </row>
    <row r="348" spans="2:5" ht="15">
      <c r="B348" s="81"/>
      <c r="D348" s="83"/>
      <c r="E348" s="82"/>
    </row>
    <row r="349" spans="2:5" ht="15">
      <c r="B349" s="81"/>
      <c r="D349" s="83"/>
      <c r="E349" s="82"/>
    </row>
    <row r="350" spans="2:5" ht="15">
      <c r="B350" s="81"/>
      <c r="D350" s="83"/>
      <c r="E350" s="82"/>
    </row>
    <row r="351" spans="2:5" ht="15">
      <c r="B351" s="81"/>
      <c r="D351" s="83"/>
      <c r="E351" s="82"/>
    </row>
    <row r="352" spans="2:5" ht="15">
      <c r="B352" s="81"/>
      <c r="D352" s="83"/>
      <c r="E352" s="82"/>
    </row>
    <row r="353" spans="2:5" ht="15">
      <c r="B353" s="81"/>
      <c r="D353" s="83"/>
      <c r="E353" s="82"/>
    </row>
    <row r="354" spans="2:5" ht="15">
      <c r="B354" s="81"/>
      <c r="D354" s="83"/>
      <c r="E354" s="82"/>
    </row>
    <row r="355" spans="2:5" ht="15">
      <c r="B355" s="81"/>
      <c r="D355" s="83"/>
      <c r="E355" s="82"/>
    </row>
    <row r="356" spans="2:5" ht="15">
      <c r="B356" s="81"/>
      <c r="D356" s="83"/>
      <c r="E356" s="82"/>
    </row>
    <row r="357" spans="2:5" ht="15">
      <c r="B357" s="81"/>
      <c r="D357" s="83"/>
      <c r="E357" s="82"/>
    </row>
    <row r="358" spans="2:5" ht="15">
      <c r="B358" s="81"/>
      <c r="D358" s="83"/>
      <c r="E358" s="82"/>
    </row>
    <row r="359" spans="2:5" ht="15">
      <c r="B359" s="81"/>
      <c r="D359" s="83"/>
      <c r="E359" s="82"/>
    </row>
    <row r="360" spans="2:5" ht="15">
      <c r="B360" s="81"/>
      <c r="D360" s="83"/>
      <c r="E360" s="82"/>
    </row>
    <row r="361" spans="2:5" ht="15">
      <c r="B361" s="81"/>
      <c r="D361" s="83"/>
      <c r="E361" s="82"/>
    </row>
    <row r="362" spans="2:5" ht="15">
      <c r="B362" s="81"/>
      <c r="D362" s="83"/>
      <c r="E362" s="82"/>
    </row>
    <row r="363" spans="2:5" ht="15">
      <c r="B363" s="81"/>
      <c r="D363" s="83"/>
      <c r="E363" s="82"/>
    </row>
    <row r="364" spans="2:5" ht="15">
      <c r="B364" s="81"/>
      <c r="D364" s="83"/>
      <c r="E364" s="82"/>
    </row>
    <row r="365" spans="2:5" ht="15">
      <c r="B365" s="81"/>
      <c r="D365" s="83"/>
      <c r="E365" s="82"/>
    </row>
    <row r="366" spans="2:5" ht="15">
      <c r="B366" s="81"/>
      <c r="D366" s="83"/>
      <c r="E366" s="82"/>
    </row>
    <row r="367" spans="2:5" ht="15">
      <c r="B367" s="81"/>
      <c r="D367" s="83"/>
      <c r="E367" s="82"/>
    </row>
    <row r="368" spans="2:5" ht="15">
      <c r="B368" s="81"/>
      <c r="D368" s="83"/>
      <c r="E368" s="82"/>
    </row>
    <row r="369" spans="2:5" ht="15">
      <c r="B369" s="81"/>
      <c r="D369" s="83"/>
      <c r="E369" s="82"/>
    </row>
    <row r="370" spans="2:5" ht="15">
      <c r="B370" s="81"/>
      <c r="D370" s="83"/>
      <c r="E370" s="82"/>
    </row>
    <row r="371" spans="2:5" ht="15">
      <c r="B371" s="81"/>
      <c r="D371" s="83"/>
      <c r="E371" s="82"/>
    </row>
    <row r="372" spans="2:5" ht="15">
      <c r="B372" s="81"/>
      <c r="D372" s="83"/>
      <c r="E372" s="82"/>
    </row>
    <row r="373" spans="2:5" ht="15">
      <c r="B373" s="81"/>
      <c r="D373" s="83"/>
      <c r="E373" s="82"/>
    </row>
    <row r="374" spans="2:5" ht="15">
      <c r="B374" s="81"/>
      <c r="D374" s="83"/>
      <c r="E374" s="82"/>
    </row>
    <row r="375" spans="2:5" ht="15">
      <c r="B375" s="81"/>
      <c r="D375" s="83"/>
      <c r="E375" s="82"/>
    </row>
    <row r="376" spans="2:5" ht="15">
      <c r="B376" s="81"/>
      <c r="D376" s="83"/>
      <c r="E376" s="82"/>
    </row>
    <row r="377" spans="2:5" ht="15">
      <c r="B377" s="81"/>
      <c r="D377" s="83"/>
      <c r="E377" s="82"/>
    </row>
    <row r="378" spans="2:5" ht="15">
      <c r="B378" s="81"/>
      <c r="D378" s="83"/>
      <c r="E378" s="82"/>
    </row>
    <row r="379" spans="2:5" ht="15">
      <c r="B379" s="81"/>
      <c r="D379" s="83"/>
      <c r="E379" s="82"/>
    </row>
    <row r="380" spans="2:5" ht="15">
      <c r="B380" s="81"/>
      <c r="D380" s="83"/>
      <c r="E380" s="82"/>
    </row>
    <row r="381" spans="2:5" ht="15">
      <c r="B381" s="81"/>
      <c r="D381" s="83"/>
      <c r="E381" s="82"/>
    </row>
    <row r="382" spans="2:5" ht="15">
      <c r="B382" s="81"/>
      <c r="D382" s="83"/>
      <c r="E382" s="82"/>
    </row>
    <row r="383" spans="2:5" ht="15">
      <c r="B383" s="81"/>
      <c r="D383" s="83"/>
      <c r="E383" s="82"/>
    </row>
    <row r="384" spans="2:5" ht="15">
      <c r="B384" s="81"/>
      <c r="D384" s="83"/>
      <c r="E384" s="82"/>
    </row>
    <row r="385" spans="2:5" ht="15">
      <c r="B385" s="81"/>
      <c r="D385" s="83"/>
      <c r="E385" s="82"/>
    </row>
    <row r="386" spans="2:5" ht="15">
      <c r="B386" s="81"/>
      <c r="D386" s="83"/>
      <c r="E386" s="82"/>
    </row>
    <row r="387" spans="2:5" ht="15">
      <c r="B387" s="81"/>
      <c r="D387" s="83"/>
      <c r="E387" s="82"/>
    </row>
    <row r="388" spans="2:5" ht="15">
      <c r="B388" s="81"/>
      <c r="D388" s="83"/>
      <c r="E388" s="82"/>
    </row>
    <row r="389" spans="2:5" ht="15">
      <c r="B389" s="81"/>
      <c r="D389" s="83"/>
      <c r="E389" s="82"/>
    </row>
    <row r="390" spans="2:5" ht="15">
      <c r="B390" s="81"/>
      <c r="D390" s="83"/>
      <c r="E390" s="82"/>
    </row>
    <row r="391" spans="2:5" ht="15">
      <c r="B391" s="81"/>
      <c r="D391" s="83"/>
      <c r="E391" s="82"/>
    </row>
    <row r="392" spans="2:5" ht="15">
      <c r="B392" s="81"/>
      <c r="D392" s="83"/>
      <c r="E392" s="82"/>
    </row>
    <row r="393" spans="2:5" ht="15">
      <c r="B393" s="81"/>
      <c r="D393" s="83"/>
      <c r="E393" s="82"/>
    </row>
    <row r="394" spans="2:5" ht="15">
      <c r="B394" s="81"/>
      <c r="D394" s="83"/>
      <c r="E394" s="82"/>
    </row>
    <row r="395" spans="2:5" ht="15">
      <c r="B395" s="81"/>
      <c r="D395" s="83"/>
      <c r="E395" s="82"/>
    </row>
    <row r="396" spans="2:5" ht="15">
      <c r="B396" s="81"/>
      <c r="D396" s="83"/>
      <c r="E396" s="82"/>
    </row>
    <row r="397" spans="2:5" ht="15">
      <c r="B397" s="81"/>
      <c r="D397" s="83"/>
      <c r="E397" s="82"/>
    </row>
    <row r="398" spans="2:5" ht="15">
      <c r="B398" s="81"/>
      <c r="D398" s="83"/>
      <c r="E398" s="82"/>
    </row>
    <row r="399" spans="2:5" ht="15">
      <c r="B399" s="81"/>
      <c r="D399" s="83"/>
      <c r="E399" s="82"/>
    </row>
    <row r="400" spans="2:5" ht="15">
      <c r="B400" s="81"/>
      <c r="D400" s="83"/>
      <c r="E400" s="82"/>
    </row>
    <row r="401" spans="2:5" ht="15">
      <c r="B401" s="81"/>
      <c r="D401" s="83"/>
      <c r="E401" s="82"/>
    </row>
    <row r="402" spans="2:5" ht="15">
      <c r="B402" s="81"/>
      <c r="D402" s="83"/>
      <c r="E402" s="82"/>
    </row>
    <row r="403" spans="2:5" ht="15">
      <c r="B403" s="81"/>
      <c r="D403" s="83"/>
      <c r="E403" s="82"/>
    </row>
    <row r="404" spans="2:5" ht="15">
      <c r="B404" s="81"/>
      <c r="D404" s="83"/>
      <c r="E404" s="82"/>
    </row>
    <row r="405" spans="2:5" ht="15">
      <c r="B405" s="81"/>
      <c r="D405" s="83"/>
      <c r="E405" s="82"/>
    </row>
    <row r="406" spans="2:5" ht="15">
      <c r="B406" s="81"/>
      <c r="D406" s="83"/>
      <c r="E406" s="82"/>
    </row>
    <row r="407" spans="2:5" ht="15">
      <c r="B407" s="81"/>
      <c r="D407" s="83"/>
      <c r="E407" s="82"/>
    </row>
    <row r="408" spans="2:5" ht="15">
      <c r="B408" s="81"/>
      <c r="D408" s="83"/>
      <c r="E408" s="82"/>
    </row>
    <row r="409" spans="2:5" ht="15">
      <c r="B409" s="81"/>
      <c r="D409" s="83"/>
      <c r="E409" s="82"/>
    </row>
    <row r="410" spans="2:5" ht="15">
      <c r="B410" s="81"/>
      <c r="D410" s="83"/>
      <c r="E410" s="82"/>
    </row>
    <row r="411" spans="2:5" ht="15">
      <c r="B411" s="81"/>
      <c r="D411" s="83"/>
      <c r="E411" s="82"/>
    </row>
    <row r="412" spans="2:5" ht="15">
      <c r="B412" s="81"/>
      <c r="D412" s="83"/>
      <c r="E412" s="82"/>
    </row>
    <row r="413" spans="2:5" ht="15">
      <c r="B413" s="81"/>
      <c r="D413" s="83"/>
      <c r="E413" s="82"/>
    </row>
    <row r="414" spans="2:5" ht="15">
      <c r="B414" s="81"/>
      <c r="D414" s="83"/>
      <c r="E414" s="82"/>
    </row>
    <row r="415" spans="2:5" ht="15">
      <c r="B415" s="81"/>
      <c r="D415" s="83"/>
      <c r="E415" s="82"/>
    </row>
    <row r="416" spans="2:5" ht="15">
      <c r="B416" s="81"/>
      <c r="D416" s="83"/>
      <c r="E416" s="82"/>
    </row>
    <row r="417" spans="2:5" ht="15">
      <c r="B417" s="81"/>
      <c r="D417" s="83"/>
      <c r="E417" s="82"/>
    </row>
    <row r="418" spans="2:5" ht="15">
      <c r="B418" s="81"/>
      <c r="D418" s="83"/>
      <c r="E418" s="82"/>
    </row>
    <row r="419" spans="2:5" ht="15">
      <c r="B419" s="81"/>
      <c r="D419" s="83"/>
      <c r="E419" s="82"/>
    </row>
    <row r="420" spans="2:5" ht="15">
      <c r="B420" s="81"/>
      <c r="D420" s="83"/>
      <c r="E420" s="82"/>
    </row>
    <row r="421" spans="2:5" ht="15">
      <c r="B421" s="81"/>
      <c r="D421" s="83"/>
      <c r="E421" s="82"/>
    </row>
    <row r="422" spans="2:5" ht="15">
      <c r="B422" s="81"/>
      <c r="D422" s="83"/>
      <c r="E422" s="82"/>
    </row>
    <row r="423" spans="2:5" ht="15">
      <c r="B423" s="81"/>
      <c r="D423" s="83"/>
      <c r="E423" s="82"/>
    </row>
    <row r="424" spans="2:5" ht="15">
      <c r="B424" s="81"/>
      <c r="D424" s="83"/>
      <c r="E424" s="82"/>
    </row>
    <row r="425" spans="2:5" ht="15">
      <c r="B425" s="81"/>
      <c r="D425" s="83"/>
      <c r="E425" s="82"/>
    </row>
    <row r="426" spans="2:5" ht="15">
      <c r="B426" s="81"/>
      <c r="D426" s="83"/>
      <c r="E426" s="82"/>
    </row>
    <row r="427" spans="2:5" ht="15">
      <c r="B427" s="81"/>
      <c r="D427" s="83"/>
      <c r="E427" s="82"/>
    </row>
    <row r="428" spans="2:5" ht="15">
      <c r="B428" s="81"/>
      <c r="D428" s="83"/>
      <c r="E428" s="82"/>
    </row>
    <row r="429" spans="2:5" ht="15">
      <c r="B429" s="81"/>
      <c r="D429" s="83"/>
      <c r="E429" s="82"/>
    </row>
    <row r="430" spans="2:5" ht="15">
      <c r="B430" s="81"/>
      <c r="D430" s="83"/>
      <c r="E430" s="82"/>
    </row>
    <row r="431" spans="2:5" ht="15">
      <c r="B431" s="81"/>
      <c r="D431" s="83"/>
      <c r="E431" s="82"/>
    </row>
    <row r="432" spans="2:5" ht="15">
      <c r="B432" s="81"/>
      <c r="D432" s="83"/>
      <c r="E432" s="82"/>
    </row>
    <row r="433" spans="2:5" ht="15">
      <c r="B433" s="81"/>
      <c r="D433" s="83"/>
      <c r="E433" s="82"/>
    </row>
    <row r="434" spans="2:5" ht="15">
      <c r="B434" s="81"/>
      <c r="D434" s="83"/>
      <c r="E434" s="82"/>
    </row>
    <row r="435" spans="2:5" ht="15">
      <c r="B435" s="81"/>
      <c r="D435" s="83"/>
      <c r="E435" s="82"/>
    </row>
    <row r="436" spans="2:5" ht="15">
      <c r="B436" s="81"/>
      <c r="D436" s="83"/>
      <c r="E436" s="82"/>
    </row>
    <row r="437" spans="2:5" ht="15">
      <c r="B437" s="81"/>
      <c r="D437" s="83"/>
      <c r="E437" s="82"/>
    </row>
    <row r="438" spans="2:5" ht="15">
      <c r="B438" s="81"/>
      <c r="D438" s="83"/>
      <c r="E438" s="82"/>
    </row>
    <row r="439" spans="2:5" ht="15">
      <c r="B439" s="81"/>
      <c r="D439" s="83"/>
      <c r="E439" s="82"/>
    </row>
    <row r="440" spans="2:5" ht="15">
      <c r="B440" s="81"/>
      <c r="D440" s="83"/>
      <c r="E440" s="82"/>
    </row>
    <row r="441" spans="2:5" ht="15">
      <c r="B441" s="81"/>
      <c r="D441" s="83"/>
      <c r="E441" s="82"/>
    </row>
    <row r="442" spans="2:5" ht="15">
      <c r="B442" s="81"/>
      <c r="D442" s="83"/>
      <c r="E442" s="82"/>
    </row>
    <row r="443" spans="2:5" ht="15">
      <c r="B443" s="81"/>
      <c r="D443" s="83"/>
      <c r="E443" s="82"/>
    </row>
    <row r="444" spans="2:5" ht="15">
      <c r="B444" s="81"/>
      <c r="D444" s="83"/>
      <c r="E444" s="82"/>
    </row>
    <row r="445" spans="2:5" ht="15">
      <c r="B445" s="81"/>
      <c r="D445" s="83"/>
      <c r="E445" s="82"/>
    </row>
    <row r="446" spans="2:5" ht="15">
      <c r="B446" s="81"/>
      <c r="D446" s="83"/>
      <c r="E446" s="82"/>
    </row>
    <row r="447" spans="2:5" ht="15">
      <c r="B447" s="81"/>
      <c r="D447" s="83"/>
      <c r="E447" s="82"/>
    </row>
    <row r="448" spans="2:5" ht="15">
      <c r="B448" s="81"/>
      <c r="D448" s="83"/>
      <c r="E448" s="82"/>
    </row>
    <row r="449" spans="2:5" ht="15">
      <c r="B449" s="81"/>
      <c r="D449" s="83"/>
      <c r="E449" s="82"/>
    </row>
    <row r="450" spans="2:5" ht="15">
      <c r="B450" s="81"/>
      <c r="D450" s="83"/>
      <c r="E450" s="82"/>
    </row>
    <row r="451" spans="2:5" ht="15">
      <c r="B451" s="81"/>
      <c r="D451" s="83"/>
      <c r="E451" s="82"/>
    </row>
    <row r="452" spans="2:5" ht="15">
      <c r="B452" s="81"/>
      <c r="D452" s="83"/>
      <c r="E452" s="82"/>
    </row>
    <row r="453" spans="2:5" ht="15">
      <c r="B453" s="81"/>
      <c r="D453" s="83"/>
      <c r="E453" s="82"/>
    </row>
    <row r="454" spans="2:5" ht="15">
      <c r="B454" s="81"/>
      <c r="D454" s="83"/>
      <c r="E454" s="82"/>
    </row>
    <row r="455" spans="2:5" ht="15">
      <c r="B455" s="81"/>
      <c r="D455" s="83"/>
      <c r="E455" s="82"/>
    </row>
    <row r="456" spans="2:5" ht="15">
      <c r="B456" s="81"/>
      <c r="D456" s="83"/>
      <c r="E456" s="82"/>
    </row>
    <row r="457" spans="2:5" ht="15">
      <c r="B457" s="81"/>
      <c r="D457" s="83"/>
      <c r="E457" s="82"/>
    </row>
    <row r="458" spans="2:5" ht="15">
      <c r="B458" s="81"/>
      <c r="D458" s="83"/>
      <c r="E458" s="82"/>
    </row>
    <row r="459" spans="2:5" ht="15">
      <c r="B459" s="81"/>
      <c r="D459" s="83"/>
      <c r="E459" s="82"/>
    </row>
    <row r="460" spans="2:5" ht="15">
      <c r="B460" s="81"/>
      <c r="D460" s="83"/>
      <c r="E460" s="82"/>
    </row>
    <row r="461" spans="2:5" ht="15">
      <c r="B461" s="81"/>
      <c r="D461" s="83"/>
      <c r="E461" s="82"/>
    </row>
    <row r="462" spans="2:5" ht="15">
      <c r="B462" s="81"/>
      <c r="D462" s="83"/>
      <c r="E462" s="82"/>
    </row>
    <row r="463" spans="2:5" ht="15">
      <c r="B463" s="81"/>
      <c r="D463" s="83"/>
      <c r="E463" s="82"/>
    </row>
    <row r="464" spans="2:5" ht="15">
      <c r="B464" s="81"/>
      <c r="D464" s="83"/>
      <c r="E464" s="82"/>
    </row>
    <row r="465" spans="2:5" ht="15">
      <c r="B465" s="81"/>
      <c r="D465" s="83"/>
      <c r="E465" s="82"/>
    </row>
    <row r="466" spans="2:5" ht="15">
      <c r="B466" s="81"/>
      <c r="D466" s="83"/>
      <c r="E466" s="82"/>
    </row>
    <row r="467" spans="2:5" ht="15">
      <c r="B467" s="81"/>
      <c r="D467" s="83"/>
      <c r="E467" s="82"/>
    </row>
    <row r="468" spans="2:5" ht="15">
      <c r="B468" s="81"/>
      <c r="D468" s="83"/>
      <c r="E468" s="82"/>
    </row>
    <row r="469" spans="2:5" ht="15">
      <c r="B469" s="81"/>
      <c r="D469" s="83"/>
      <c r="E469" s="82"/>
    </row>
    <row r="470" spans="2:5" ht="15">
      <c r="B470" s="81"/>
      <c r="D470" s="83"/>
      <c r="E470" s="82"/>
    </row>
    <row r="471" spans="2:5" ht="15">
      <c r="B471" s="81"/>
      <c r="D471" s="83"/>
      <c r="E471" s="82"/>
    </row>
    <row r="472" spans="2:5" ht="15">
      <c r="B472" s="81"/>
      <c r="D472" s="83"/>
      <c r="E472" s="82"/>
    </row>
    <row r="473" spans="2:5" ht="15">
      <c r="B473" s="81"/>
      <c r="D473" s="83"/>
      <c r="E473" s="82"/>
    </row>
    <row r="474" spans="2:5" ht="15">
      <c r="B474" s="81"/>
      <c r="D474" s="83"/>
      <c r="E474" s="82"/>
    </row>
    <row r="475" spans="2:5" ht="15">
      <c r="B475" s="81"/>
      <c r="D475" s="83"/>
      <c r="E475" s="82"/>
    </row>
    <row r="476" spans="2:5" ht="15">
      <c r="B476" s="81"/>
      <c r="D476" s="83"/>
      <c r="E476" s="82"/>
    </row>
    <row r="477" spans="2:5" ht="15">
      <c r="B477" s="81"/>
      <c r="D477" s="83"/>
      <c r="E477" s="82"/>
    </row>
    <row r="478" spans="2:5" ht="15">
      <c r="B478" s="81"/>
      <c r="D478" s="83"/>
      <c r="E478" s="82"/>
    </row>
    <row r="479" spans="2:5" ht="15">
      <c r="B479" s="81"/>
      <c r="D479" s="83"/>
      <c r="E479" s="82"/>
    </row>
    <row r="480" spans="2:5" ht="15">
      <c r="B480" s="81"/>
      <c r="D480" s="83"/>
      <c r="E480" s="82"/>
    </row>
    <row r="481" spans="2:5" ht="15">
      <c r="B481" s="81"/>
      <c r="D481" s="83"/>
      <c r="E481" s="82"/>
    </row>
    <row r="482" spans="2:5" ht="15">
      <c r="B482" s="81"/>
      <c r="D482" s="83"/>
      <c r="E482" s="82"/>
    </row>
    <row r="483" spans="2:5" ht="15">
      <c r="B483" s="81"/>
      <c r="D483" s="83"/>
      <c r="E483" s="82"/>
    </row>
    <row r="484" spans="2:5" ht="15">
      <c r="B484" s="81"/>
      <c r="D484" s="83"/>
      <c r="E484" s="82"/>
    </row>
    <row r="485" spans="2:5" ht="15">
      <c r="B485" s="81"/>
      <c r="D485" s="83"/>
      <c r="E485" s="82"/>
    </row>
    <row r="486" spans="2:5" ht="15">
      <c r="B486" s="81"/>
      <c r="D486" s="83"/>
      <c r="E486" s="82"/>
    </row>
    <row r="487" spans="2:5" ht="15">
      <c r="B487" s="81"/>
      <c r="D487" s="83"/>
      <c r="E487" s="82"/>
    </row>
    <row r="488" spans="2:5" ht="15">
      <c r="B488" s="81"/>
      <c r="D488" s="83"/>
      <c r="E488" s="82"/>
    </row>
    <row r="489" spans="2:5" ht="15">
      <c r="B489" s="81"/>
      <c r="D489" s="83"/>
      <c r="E489" s="82"/>
    </row>
    <row r="490" spans="2:5" ht="15">
      <c r="B490" s="81"/>
      <c r="D490" s="83"/>
      <c r="E490" s="82"/>
    </row>
    <row r="491" spans="2:5" ht="15">
      <c r="B491" s="81"/>
      <c r="D491" s="83"/>
      <c r="E491" s="82"/>
    </row>
    <row r="492" spans="2:5" ht="15">
      <c r="B492" s="81"/>
      <c r="D492" s="83"/>
      <c r="E492" s="82"/>
    </row>
    <row r="493" spans="2:5" ht="15">
      <c r="B493" s="81"/>
      <c r="D493" s="83"/>
      <c r="E493" s="82"/>
    </row>
    <row r="494" spans="2:5" ht="15">
      <c r="B494" s="81"/>
      <c r="D494" s="83"/>
      <c r="E494" s="82"/>
    </row>
    <row r="495" spans="2:5" ht="15">
      <c r="B495" s="81"/>
      <c r="D495" s="83"/>
      <c r="E495" s="82"/>
    </row>
    <row r="496" spans="2:5" ht="15">
      <c r="B496" s="81"/>
      <c r="D496" s="83"/>
      <c r="E496" s="82"/>
    </row>
    <row r="497" spans="2:5" ht="15">
      <c r="B497" s="81"/>
      <c r="D497" s="83"/>
      <c r="E497" s="82"/>
    </row>
    <row r="498" spans="2:5" ht="15">
      <c r="B498" s="81"/>
      <c r="D498" s="83"/>
      <c r="E498" s="82"/>
    </row>
    <row r="499" spans="2:5" ht="15">
      <c r="B499" s="81"/>
      <c r="D499" s="83"/>
      <c r="E499" s="82"/>
    </row>
    <row r="500" spans="2:5" ht="15">
      <c r="B500" s="81"/>
      <c r="D500" s="83"/>
      <c r="E500" s="82"/>
    </row>
    <row r="501" spans="2:5" ht="15">
      <c r="B501" s="81"/>
      <c r="D501" s="83"/>
      <c r="E501" s="82"/>
    </row>
    <row r="502" spans="2:5" ht="15">
      <c r="B502" s="81"/>
      <c r="D502" s="83"/>
      <c r="E502" s="82"/>
    </row>
  </sheetData>
  <mergeCells count="1">
    <mergeCell ref="B1:C1"/>
  </mergeCells>
  <pageMargins left="0.75" right="0.75" top="1" bottom="1" header="0.4921259845" footer="0.4921259845"/>
  <pageSetup paperSize="9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Trade1</vt:lpstr>
      <vt:lpstr>Simulation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Evelyne Strechinsky</dc:creator>
  <cp:lastModifiedBy>Evelyne Strechinsky</cp:lastModifiedBy>
  <dcterms:created xsi:type="dcterms:W3CDTF">2017-07-30T11:33:03Z</dcterms:created>
  <dcterms:modified xsi:type="dcterms:W3CDTF">2019-01-25T14:40:14Z</dcterms:modified>
</cp:coreProperties>
</file>