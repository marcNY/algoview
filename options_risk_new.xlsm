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 codeName="{00000000-0000-0000-0000-000000000000}"/>
  <workbookPr showInkAnnotation="0" codeName="ThisWorkbook" autoCompressPictures="0"/>
  <bookViews>
    <workbookView xWindow="0" yWindow="0" windowWidth="27240" windowHeight="14900" tabRatio="500"/>
  </bookViews>
  <sheets>
    <sheet name="Trade1" sheetId="2" r:id="rId1"/>
    <sheet name="Sheet1" sheetId="1" r:id="rId2"/>
  </sheets>
  <externalReferences>
    <externalReference r:id="rId3"/>
  </externalReferences>
  <definedNames>
    <definedName name="Account">#REF!</definedName>
    <definedName name="Amount">Trade1!$D$36</definedName>
    <definedName name="bump">Trade1!$H$14</definedName>
    <definedName name="C_0">#REF!</definedName>
    <definedName name="d_1">Trade1!$D$13</definedName>
    <definedName name="d_1_down">Trade1!$D$16</definedName>
    <definedName name="d_1_short">Trade1!$H$19</definedName>
    <definedName name="d_1_up">Trade1!$D$15</definedName>
    <definedName name="d_2">Trade1!$D$14</definedName>
    <definedName name="d_2_short">Trade1!$H$20</definedName>
    <definedName name="d1_volDown">Trade1!$D$28</definedName>
    <definedName name="d1_volUp">Trade1!$D$27</definedName>
    <definedName name="d2_volDown">Trade1!$E$28</definedName>
    <definedName name="d2_volUp">Trade1!$E$27</definedName>
    <definedName name="delta_down">Trade1!$D$21</definedName>
    <definedName name="delta_up">Trade1!$D$20</definedName>
    <definedName name="deltaCall">Trade1!$H$5</definedName>
    <definedName name="deltaPut">Trade1!$I$5</definedName>
    <definedName name="ExpiryDate">#REF!</definedName>
    <definedName name="GammaCall">Trade1!$H$6</definedName>
    <definedName name="GammaPut">Trade1!$I$6</definedName>
    <definedName name="K">Trade1!$D$6</definedName>
    <definedName name="mu">[1]Simulation!#REF!</definedName>
    <definedName name="mu_d">[1]Simulation!#REF!</definedName>
    <definedName name="Mult">Trade1!$E$36</definedName>
    <definedName name="PVCall">Trade1!$H$4</definedName>
    <definedName name="PVPut">Trade1!$I$4</definedName>
    <definedName name="q">Trade1!$D$10</definedName>
    <definedName name="r_dom">Trade1!$D$9</definedName>
    <definedName name="S_0">Trade1!$D$5</definedName>
    <definedName name="S_0_Down">Trade1!$H$16</definedName>
    <definedName name="S_0_Up">Trade1!$H$15</definedName>
    <definedName name="sigma">Trade1!$D$8</definedName>
    <definedName name="sigma_d">[1]Simulation!#REF!</definedName>
    <definedName name="sigma_down">Trade1!$H$26</definedName>
    <definedName name="sigma_up">Trade1!$H$25</definedName>
    <definedName name="T">Trade1!$D$7</definedName>
    <definedName name="T_d">[1]Simulation!#REF!</definedName>
    <definedName name="ThetaC1d">Trade1!$H$10</definedName>
    <definedName name="ThetaCall">Trade1!$H$7</definedName>
    <definedName name="ThetaP1d">Trade1!$I$10</definedName>
    <definedName name="ThetaPut">Trade1!$I$7</definedName>
    <definedName name="TShort">Trade1!$H$18</definedName>
    <definedName name="ValueDate">#REF!</definedName>
    <definedName name="Vega" localSheetId="0">Trade1!$L$37</definedName>
    <definedName name="Vega">#REF!</definedName>
    <definedName name="VegaCall">Trade1!$H$8</definedName>
    <definedName name="VegaPut">Trade1!$I$8</definedName>
    <definedName name="vol_bump">Trade1!$H$24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51" i="2" l="1"/>
  <c r="K51" i="2"/>
  <c r="L51" i="2"/>
  <c r="M51" i="2"/>
  <c r="N51" i="2"/>
  <c r="J52" i="2"/>
  <c r="K52" i="2"/>
  <c r="L52" i="2"/>
  <c r="M52" i="2"/>
  <c r="N52" i="2"/>
  <c r="J53" i="2"/>
  <c r="K53" i="2"/>
  <c r="L53" i="2"/>
  <c r="M53" i="2"/>
  <c r="N53" i="2"/>
  <c r="J54" i="2"/>
  <c r="K54" i="2"/>
  <c r="L54" i="2"/>
  <c r="M54" i="2"/>
  <c r="N54" i="2"/>
  <c r="J55" i="2"/>
  <c r="K55" i="2"/>
  <c r="L55" i="2"/>
  <c r="M55" i="2"/>
  <c r="N55" i="2"/>
  <c r="J56" i="2"/>
  <c r="K56" i="2"/>
  <c r="L56" i="2"/>
  <c r="M56" i="2"/>
  <c r="N56" i="2"/>
  <c r="J57" i="2"/>
  <c r="K57" i="2"/>
  <c r="L57" i="2"/>
  <c r="M57" i="2"/>
  <c r="N57" i="2"/>
  <c r="J58" i="2"/>
  <c r="K58" i="2"/>
  <c r="L58" i="2"/>
  <c r="M58" i="2"/>
  <c r="N58" i="2"/>
  <c r="J59" i="2"/>
  <c r="K59" i="2"/>
  <c r="L59" i="2"/>
  <c r="M59" i="2"/>
  <c r="N59" i="2"/>
  <c r="J60" i="2"/>
  <c r="K60" i="2"/>
  <c r="L60" i="2"/>
  <c r="M60" i="2"/>
  <c r="N60" i="2"/>
  <c r="J61" i="2"/>
  <c r="K61" i="2"/>
  <c r="L61" i="2"/>
  <c r="M61" i="2"/>
  <c r="N61" i="2"/>
  <c r="J62" i="2"/>
  <c r="K62" i="2"/>
  <c r="L62" i="2"/>
  <c r="M62" i="2"/>
  <c r="N62" i="2"/>
  <c r="J63" i="2"/>
  <c r="K63" i="2"/>
  <c r="L63" i="2"/>
  <c r="M63" i="2"/>
  <c r="N63" i="2"/>
  <c r="J64" i="2"/>
  <c r="K64" i="2"/>
  <c r="L64" i="2"/>
  <c r="M64" i="2"/>
  <c r="N64" i="2"/>
  <c r="J65" i="2"/>
  <c r="K65" i="2"/>
  <c r="L65" i="2"/>
  <c r="M65" i="2"/>
  <c r="N65" i="2"/>
  <c r="J66" i="2"/>
  <c r="K66" i="2"/>
  <c r="L66" i="2"/>
  <c r="M66" i="2"/>
  <c r="N66" i="2"/>
  <c r="J67" i="2"/>
  <c r="K67" i="2"/>
  <c r="L67" i="2"/>
  <c r="M67" i="2"/>
  <c r="N67" i="2"/>
  <c r="J68" i="2"/>
  <c r="K68" i="2"/>
  <c r="L68" i="2"/>
  <c r="M68" i="2"/>
  <c r="N68" i="2"/>
  <c r="J69" i="2"/>
  <c r="K69" i="2"/>
  <c r="L69" i="2"/>
  <c r="M69" i="2"/>
  <c r="N69" i="2"/>
  <c r="J70" i="2"/>
  <c r="K70" i="2"/>
  <c r="L70" i="2"/>
  <c r="M70" i="2"/>
  <c r="N70" i="2"/>
  <c r="J71" i="2"/>
  <c r="K71" i="2"/>
  <c r="L71" i="2"/>
  <c r="M71" i="2"/>
  <c r="N71" i="2"/>
  <c r="J72" i="2"/>
  <c r="K72" i="2"/>
  <c r="L72" i="2"/>
  <c r="M72" i="2"/>
  <c r="N72" i="2"/>
  <c r="J73" i="2"/>
  <c r="K73" i="2"/>
  <c r="L73" i="2"/>
  <c r="M73" i="2"/>
  <c r="N73" i="2"/>
  <c r="J74" i="2"/>
  <c r="K74" i="2"/>
  <c r="L74" i="2"/>
  <c r="M74" i="2"/>
  <c r="N74" i="2"/>
  <c r="J75" i="2"/>
  <c r="K75" i="2"/>
  <c r="L75" i="2"/>
  <c r="M75" i="2"/>
  <c r="N75" i="2"/>
  <c r="J76" i="2"/>
  <c r="K76" i="2"/>
  <c r="L76" i="2"/>
  <c r="M76" i="2"/>
  <c r="N76" i="2"/>
  <c r="J77" i="2"/>
  <c r="K77" i="2"/>
  <c r="L77" i="2"/>
  <c r="M77" i="2"/>
  <c r="N77" i="2"/>
  <c r="J78" i="2"/>
  <c r="K78" i="2"/>
  <c r="L78" i="2"/>
  <c r="M78" i="2"/>
  <c r="N78" i="2"/>
  <c r="J79" i="2"/>
  <c r="K79" i="2"/>
  <c r="L79" i="2"/>
  <c r="M79" i="2"/>
  <c r="N79" i="2"/>
  <c r="J80" i="2"/>
  <c r="K80" i="2"/>
  <c r="L80" i="2"/>
  <c r="M80" i="2"/>
  <c r="N80" i="2"/>
  <c r="J81" i="2"/>
  <c r="K81" i="2"/>
  <c r="L81" i="2"/>
  <c r="M81" i="2"/>
  <c r="N81" i="2"/>
  <c r="J82" i="2"/>
  <c r="K82" i="2"/>
  <c r="L82" i="2"/>
  <c r="M82" i="2"/>
  <c r="N82" i="2"/>
  <c r="J83" i="2"/>
  <c r="K83" i="2"/>
  <c r="L83" i="2"/>
  <c r="M83" i="2"/>
  <c r="N83" i="2"/>
  <c r="J84" i="2"/>
  <c r="K84" i="2"/>
  <c r="L84" i="2"/>
  <c r="M84" i="2"/>
  <c r="N84" i="2"/>
  <c r="J85" i="2"/>
  <c r="K85" i="2"/>
  <c r="L85" i="2"/>
  <c r="M85" i="2"/>
  <c r="N85" i="2"/>
  <c r="J86" i="2"/>
  <c r="K86" i="2"/>
  <c r="L86" i="2"/>
  <c r="M86" i="2"/>
  <c r="N86" i="2"/>
  <c r="J87" i="2"/>
  <c r="K87" i="2"/>
  <c r="L87" i="2"/>
  <c r="M87" i="2"/>
  <c r="N87" i="2"/>
  <c r="J88" i="2"/>
  <c r="K88" i="2"/>
  <c r="L88" i="2"/>
  <c r="M88" i="2"/>
  <c r="N88" i="2"/>
  <c r="J89" i="2"/>
  <c r="K89" i="2"/>
  <c r="L89" i="2"/>
  <c r="M89" i="2"/>
  <c r="N89" i="2"/>
  <c r="J90" i="2"/>
  <c r="K90" i="2"/>
  <c r="L90" i="2"/>
  <c r="M90" i="2"/>
  <c r="N90" i="2"/>
  <c r="J91" i="2"/>
  <c r="K91" i="2"/>
  <c r="L91" i="2"/>
  <c r="M91" i="2"/>
  <c r="N91" i="2"/>
  <c r="J92" i="2"/>
  <c r="K92" i="2"/>
  <c r="L92" i="2"/>
  <c r="M92" i="2"/>
  <c r="N92" i="2"/>
  <c r="J93" i="2"/>
  <c r="K93" i="2"/>
  <c r="L93" i="2"/>
  <c r="M93" i="2"/>
  <c r="N93" i="2"/>
  <c r="J94" i="2"/>
  <c r="K94" i="2"/>
  <c r="L94" i="2"/>
  <c r="M94" i="2"/>
  <c r="N94" i="2"/>
  <c r="J95" i="2"/>
  <c r="K95" i="2"/>
  <c r="L95" i="2"/>
  <c r="M95" i="2"/>
  <c r="N95" i="2"/>
  <c r="J96" i="2"/>
  <c r="K96" i="2"/>
  <c r="L96" i="2"/>
  <c r="M96" i="2"/>
  <c r="N96" i="2"/>
  <c r="J97" i="2"/>
  <c r="K97" i="2"/>
  <c r="L97" i="2"/>
  <c r="M97" i="2"/>
  <c r="N97" i="2"/>
  <c r="J98" i="2"/>
  <c r="K98" i="2"/>
  <c r="L98" i="2"/>
  <c r="M98" i="2"/>
  <c r="N98" i="2"/>
  <c r="J99" i="2"/>
  <c r="K99" i="2"/>
  <c r="L99" i="2"/>
  <c r="M99" i="2"/>
  <c r="N99" i="2"/>
  <c r="J100" i="2"/>
  <c r="K100" i="2"/>
  <c r="L100" i="2"/>
  <c r="M100" i="2"/>
  <c r="N100" i="2"/>
  <c r="J101" i="2"/>
  <c r="K101" i="2"/>
  <c r="L101" i="2"/>
  <c r="M101" i="2"/>
  <c r="N101" i="2"/>
  <c r="J102" i="2"/>
  <c r="K102" i="2"/>
  <c r="L102" i="2"/>
  <c r="M102" i="2"/>
  <c r="N102" i="2"/>
  <c r="J103" i="2"/>
  <c r="K103" i="2"/>
  <c r="L103" i="2"/>
  <c r="M103" i="2"/>
  <c r="N103" i="2"/>
  <c r="J104" i="2"/>
  <c r="K104" i="2"/>
  <c r="L104" i="2"/>
  <c r="M104" i="2"/>
  <c r="N104" i="2"/>
  <c r="J105" i="2"/>
  <c r="K105" i="2"/>
  <c r="L105" i="2"/>
  <c r="M105" i="2"/>
  <c r="N105" i="2"/>
  <c r="J106" i="2"/>
  <c r="K106" i="2"/>
  <c r="L106" i="2"/>
  <c r="M106" i="2"/>
  <c r="N106" i="2"/>
  <c r="J107" i="2"/>
  <c r="K107" i="2"/>
  <c r="L107" i="2"/>
  <c r="M107" i="2"/>
  <c r="N107" i="2"/>
  <c r="J108" i="2"/>
  <c r="K108" i="2"/>
  <c r="L108" i="2"/>
  <c r="M108" i="2"/>
  <c r="N108" i="2"/>
  <c r="J109" i="2"/>
  <c r="K109" i="2"/>
  <c r="L109" i="2"/>
  <c r="M109" i="2"/>
  <c r="N109" i="2"/>
  <c r="J110" i="2"/>
  <c r="K110" i="2"/>
  <c r="L110" i="2"/>
  <c r="M110" i="2"/>
  <c r="N110" i="2"/>
  <c r="J111" i="2"/>
  <c r="K111" i="2"/>
  <c r="L111" i="2"/>
  <c r="M111" i="2"/>
  <c r="N111" i="2"/>
  <c r="J112" i="2"/>
  <c r="K112" i="2"/>
  <c r="L112" i="2"/>
  <c r="M112" i="2"/>
  <c r="N112" i="2"/>
  <c r="J113" i="2"/>
  <c r="K113" i="2"/>
  <c r="L113" i="2"/>
  <c r="M113" i="2"/>
  <c r="N113" i="2"/>
  <c r="J114" i="2"/>
  <c r="K114" i="2"/>
  <c r="L114" i="2"/>
  <c r="M114" i="2"/>
  <c r="N114" i="2"/>
  <c r="J115" i="2"/>
  <c r="K115" i="2"/>
  <c r="L115" i="2"/>
  <c r="M115" i="2"/>
  <c r="N115" i="2"/>
  <c r="J116" i="2"/>
  <c r="K116" i="2"/>
  <c r="L116" i="2"/>
  <c r="M116" i="2"/>
  <c r="N116" i="2"/>
  <c r="J117" i="2"/>
  <c r="K117" i="2"/>
  <c r="L117" i="2"/>
  <c r="M117" i="2"/>
  <c r="N117" i="2"/>
  <c r="J118" i="2"/>
  <c r="K118" i="2"/>
  <c r="L118" i="2"/>
  <c r="M118" i="2"/>
  <c r="N118" i="2"/>
  <c r="J119" i="2"/>
  <c r="K119" i="2"/>
  <c r="L119" i="2"/>
  <c r="M119" i="2"/>
  <c r="N119" i="2"/>
  <c r="J120" i="2"/>
  <c r="K120" i="2"/>
  <c r="L120" i="2"/>
  <c r="M120" i="2"/>
  <c r="N120" i="2"/>
  <c r="J121" i="2"/>
  <c r="K121" i="2"/>
  <c r="L121" i="2"/>
  <c r="M121" i="2"/>
  <c r="N121" i="2"/>
  <c r="J122" i="2"/>
  <c r="K122" i="2"/>
  <c r="L122" i="2"/>
  <c r="M122" i="2"/>
  <c r="N122" i="2"/>
  <c r="J123" i="2"/>
  <c r="K123" i="2"/>
  <c r="L123" i="2"/>
  <c r="M123" i="2"/>
  <c r="N123" i="2"/>
  <c r="J124" i="2"/>
  <c r="K124" i="2"/>
  <c r="L124" i="2"/>
  <c r="M124" i="2"/>
  <c r="N124" i="2"/>
  <c r="J125" i="2"/>
  <c r="K125" i="2"/>
  <c r="L125" i="2"/>
  <c r="M125" i="2"/>
  <c r="N125" i="2"/>
  <c r="J126" i="2"/>
  <c r="K126" i="2"/>
  <c r="L126" i="2"/>
  <c r="M126" i="2"/>
  <c r="N126" i="2"/>
  <c r="J127" i="2"/>
  <c r="K127" i="2"/>
  <c r="L127" i="2"/>
  <c r="M127" i="2"/>
  <c r="N127" i="2"/>
  <c r="J128" i="2"/>
  <c r="K128" i="2"/>
  <c r="L128" i="2"/>
  <c r="M128" i="2"/>
  <c r="N128" i="2"/>
  <c r="J129" i="2"/>
  <c r="K129" i="2"/>
  <c r="L129" i="2"/>
  <c r="M129" i="2"/>
  <c r="N129" i="2"/>
  <c r="J130" i="2"/>
  <c r="K130" i="2"/>
  <c r="L130" i="2"/>
  <c r="M130" i="2"/>
  <c r="N130" i="2"/>
  <c r="J131" i="2"/>
  <c r="K131" i="2"/>
  <c r="L131" i="2"/>
  <c r="M131" i="2"/>
  <c r="N131" i="2"/>
  <c r="J132" i="2"/>
  <c r="K132" i="2"/>
  <c r="L132" i="2"/>
  <c r="M132" i="2"/>
  <c r="N132" i="2"/>
  <c r="J133" i="2"/>
  <c r="K133" i="2"/>
  <c r="L133" i="2"/>
  <c r="M133" i="2"/>
  <c r="N133" i="2"/>
  <c r="J134" i="2"/>
  <c r="K134" i="2"/>
  <c r="L134" i="2"/>
  <c r="M134" i="2"/>
  <c r="N134" i="2"/>
  <c r="J135" i="2"/>
  <c r="K135" i="2"/>
  <c r="L135" i="2"/>
  <c r="M135" i="2"/>
  <c r="N135" i="2"/>
  <c r="J136" i="2"/>
  <c r="K136" i="2"/>
  <c r="L136" i="2"/>
  <c r="M136" i="2"/>
  <c r="N136" i="2"/>
  <c r="J137" i="2"/>
  <c r="K137" i="2"/>
  <c r="L137" i="2"/>
  <c r="M137" i="2"/>
  <c r="N137" i="2"/>
  <c r="J138" i="2"/>
  <c r="K138" i="2"/>
  <c r="L138" i="2"/>
  <c r="M138" i="2"/>
  <c r="N138" i="2"/>
  <c r="J139" i="2"/>
  <c r="K139" i="2"/>
  <c r="L139" i="2"/>
  <c r="M139" i="2"/>
  <c r="N139" i="2"/>
  <c r="J140" i="2"/>
  <c r="K140" i="2"/>
  <c r="L140" i="2"/>
  <c r="M140" i="2"/>
  <c r="N140" i="2"/>
  <c r="J141" i="2"/>
  <c r="K141" i="2"/>
  <c r="L141" i="2"/>
  <c r="M141" i="2"/>
  <c r="N141" i="2"/>
  <c r="J142" i="2"/>
  <c r="K142" i="2"/>
  <c r="L142" i="2"/>
  <c r="M142" i="2"/>
  <c r="N142" i="2"/>
  <c r="J143" i="2"/>
  <c r="K143" i="2"/>
  <c r="L143" i="2"/>
  <c r="M143" i="2"/>
  <c r="N143" i="2"/>
  <c r="J144" i="2"/>
  <c r="K144" i="2"/>
  <c r="L144" i="2"/>
  <c r="M144" i="2"/>
  <c r="N144" i="2"/>
  <c r="J145" i="2"/>
  <c r="K145" i="2"/>
  <c r="L145" i="2"/>
  <c r="M145" i="2"/>
  <c r="N145" i="2"/>
  <c r="J146" i="2"/>
  <c r="K146" i="2"/>
  <c r="L146" i="2"/>
  <c r="M146" i="2"/>
  <c r="N146" i="2"/>
  <c r="J147" i="2"/>
  <c r="K147" i="2"/>
  <c r="L147" i="2"/>
  <c r="M147" i="2"/>
  <c r="N147" i="2"/>
  <c r="J148" i="2"/>
  <c r="K148" i="2"/>
  <c r="L148" i="2"/>
  <c r="M148" i="2"/>
  <c r="N148" i="2"/>
  <c r="J149" i="2"/>
  <c r="K149" i="2"/>
  <c r="L149" i="2"/>
  <c r="M149" i="2"/>
  <c r="N149" i="2"/>
  <c r="J150" i="2"/>
  <c r="K150" i="2"/>
  <c r="L150" i="2"/>
  <c r="M150" i="2"/>
  <c r="N150" i="2"/>
  <c r="J151" i="2"/>
  <c r="K151" i="2"/>
  <c r="L151" i="2"/>
  <c r="M151" i="2"/>
  <c r="N151" i="2"/>
  <c r="J152" i="2"/>
  <c r="K152" i="2"/>
  <c r="L152" i="2"/>
  <c r="M152" i="2"/>
  <c r="N152" i="2"/>
  <c r="J153" i="2"/>
  <c r="K153" i="2"/>
  <c r="L153" i="2"/>
  <c r="M153" i="2"/>
  <c r="N153" i="2"/>
  <c r="J154" i="2"/>
  <c r="K154" i="2"/>
  <c r="L154" i="2"/>
  <c r="M154" i="2"/>
  <c r="N154" i="2"/>
  <c r="J155" i="2"/>
  <c r="K155" i="2"/>
  <c r="L155" i="2"/>
  <c r="M155" i="2"/>
  <c r="N155" i="2"/>
  <c r="J156" i="2"/>
  <c r="K156" i="2"/>
  <c r="L156" i="2"/>
  <c r="M156" i="2"/>
  <c r="N156" i="2"/>
  <c r="J157" i="2"/>
  <c r="K157" i="2"/>
  <c r="L157" i="2"/>
  <c r="M157" i="2"/>
  <c r="N157" i="2"/>
  <c r="J158" i="2"/>
  <c r="K158" i="2"/>
  <c r="L158" i="2"/>
  <c r="M158" i="2"/>
  <c r="N158" i="2"/>
  <c r="J159" i="2"/>
  <c r="K159" i="2"/>
  <c r="L159" i="2"/>
  <c r="M159" i="2"/>
  <c r="N159" i="2"/>
  <c r="J160" i="2"/>
  <c r="K160" i="2"/>
  <c r="L160" i="2"/>
  <c r="M160" i="2"/>
  <c r="N160" i="2"/>
  <c r="J161" i="2"/>
  <c r="K161" i="2"/>
  <c r="L161" i="2"/>
  <c r="M161" i="2"/>
  <c r="N161" i="2"/>
  <c r="J162" i="2"/>
  <c r="K162" i="2"/>
  <c r="L162" i="2"/>
  <c r="M162" i="2"/>
  <c r="N162" i="2"/>
  <c r="J163" i="2"/>
  <c r="K163" i="2"/>
  <c r="L163" i="2"/>
  <c r="M163" i="2"/>
  <c r="N163" i="2"/>
  <c r="J164" i="2"/>
  <c r="K164" i="2"/>
  <c r="L164" i="2"/>
  <c r="M164" i="2"/>
  <c r="N164" i="2"/>
  <c r="J165" i="2"/>
  <c r="K165" i="2"/>
  <c r="L165" i="2"/>
  <c r="M165" i="2"/>
  <c r="N165" i="2"/>
  <c r="J166" i="2"/>
  <c r="K166" i="2"/>
  <c r="L166" i="2"/>
  <c r="M166" i="2"/>
  <c r="N166" i="2"/>
  <c r="J167" i="2"/>
  <c r="K167" i="2"/>
  <c r="L167" i="2"/>
  <c r="M167" i="2"/>
  <c r="N167" i="2"/>
  <c r="J168" i="2"/>
  <c r="K168" i="2"/>
  <c r="L168" i="2"/>
  <c r="M168" i="2"/>
  <c r="N168" i="2"/>
  <c r="J169" i="2"/>
  <c r="K169" i="2"/>
  <c r="L169" i="2"/>
  <c r="M169" i="2"/>
  <c r="N169" i="2"/>
  <c r="J170" i="2"/>
  <c r="K170" i="2"/>
  <c r="L170" i="2"/>
  <c r="M170" i="2"/>
  <c r="N170" i="2"/>
  <c r="J171" i="2"/>
  <c r="K171" i="2"/>
  <c r="L171" i="2"/>
  <c r="M171" i="2"/>
  <c r="N171" i="2"/>
  <c r="J172" i="2"/>
  <c r="K172" i="2"/>
  <c r="L172" i="2"/>
  <c r="M172" i="2"/>
  <c r="N172" i="2"/>
  <c r="J173" i="2"/>
  <c r="K173" i="2"/>
  <c r="L173" i="2"/>
  <c r="M173" i="2"/>
  <c r="N173" i="2"/>
  <c r="J174" i="2"/>
  <c r="K174" i="2"/>
  <c r="L174" i="2"/>
  <c r="M174" i="2"/>
  <c r="N174" i="2"/>
  <c r="J175" i="2"/>
  <c r="K175" i="2"/>
  <c r="L175" i="2"/>
  <c r="M175" i="2"/>
  <c r="N175" i="2"/>
  <c r="J176" i="2"/>
  <c r="K176" i="2"/>
  <c r="L176" i="2"/>
  <c r="M176" i="2"/>
  <c r="N176" i="2"/>
  <c r="J177" i="2"/>
  <c r="K177" i="2"/>
  <c r="L177" i="2"/>
  <c r="M177" i="2"/>
  <c r="N177" i="2"/>
  <c r="J178" i="2"/>
  <c r="K178" i="2"/>
  <c r="L178" i="2"/>
  <c r="M178" i="2"/>
  <c r="N178" i="2"/>
  <c r="J179" i="2"/>
  <c r="K179" i="2"/>
  <c r="L179" i="2"/>
  <c r="M179" i="2"/>
  <c r="N179" i="2"/>
  <c r="J180" i="2"/>
  <c r="K180" i="2"/>
  <c r="L180" i="2"/>
  <c r="M180" i="2"/>
  <c r="N180" i="2"/>
  <c r="J181" i="2"/>
  <c r="K181" i="2"/>
  <c r="L181" i="2"/>
  <c r="M181" i="2"/>
  <c r="N181" i="2"/>
  <c r="J182" i="2"/>
  <c r="K182" i="2"/>
  <c r="L182" i="2"/>
  <c r="M182" i="2"/>
  <c r="N182" i="2"/>
  <c r="J183" i="2"/>
  <c r="K183" i="2"/>
  <c r="L183" i="2"/>
  <c r="M183" i="2"/>
  <c r="N183" i="2"/>
  <c r="J184" i="2"/>
  <c r="K184" i="2"/>
  <c r="L184" i="2"/>
  <c r="M184" i="2"/>
  <c r="N184" i="2"/>
  <c r="J185" i="2"/>
  <c r="K185" i="2"/>
  <c r="L185" i="2"/>
  <c r="M185" i="2"/>
  <c r="N185" i="2"/>
  <c r="J186" i="2"/>
  <c r="K186" i="2"/>
  <c r="L186" i="2"/>
  <c r="M186" i="2"/>
  <c r="N186" i="2"/>
  <c r="J187" i="2"/>
  <c r="K187" i="2"/>
  <c r="L187" i="2"/>
  <c r="M187" i="2"/>
  <c r="N187" i="2"/>
  <c r="J188" i="2"/>
  <c r="K188" i="2"/>
  <c r="L188" i="2"/>
  <c r="M188" i="2"/>
  <c r="N188" i="2"/>
  <c r="J189" i="2"/>
  <c r="K189" i="2"/>
  <c r="L189" i="2"/>
  <c r="M189" i="2"/>
  <c r="N189" i="2"/>
  <c r="J190" i="2"/>
  <c r="K190" i="2"/>
  <c r="L190" i="2"/>
  <c r="M190" i="2"/>
  <c r="N190" i="2"/>
  <c r="J191" i="2"/>
  <c r="K191" i="2"/>
  <c r="L191" i="2"/>
  <c r="M191" i="2"/>
  <c r="N191" i="2"/>
  <c r="J192" i="2"/>
  <c r="K192" i="2"/>
  <c r="L192" i="2"/>
  <c r="M192" i="2"/>
  <c r="N192" i="2"/>
  <c r="J193" i="2"/>
  <c r="K193" i="2"/>
  <c r="L193" i="2"/>
  <c r="M193" i="2"/>
  <c r="N193" i="2"/>
  <c r="J194" i="2"/>
  <c r="K194" i="2"/>
  <c r="L194" i="2"/>
  <c r="M194" i="2"/>
  <c r="N194" i="2"/>
  <c r="J195" i="2"/>
  <c r="K195" i="2"/>
  <c r="L195" i="2"/>
  <c r="M195" i="2"/>
  <c r="N195" i="2"/>
  <c r="J196" i="2"/>
  <c r="K196" i="2"/>
  <c r="L196" i="2"/>
  <c r="M196" i="2"/>
  <c r="N196" i="2"/>
  <c r="J197" i="2"/>
  <c r="K197" i="2"/>
  <c r="L197" i="2"/>
  <c r="M197" i="2"/>
  <c r="N197" i="2"/>
  <c r="J198" i="2"/>
  <c r="K198" i="2"/>
  <c r="L198" i="2"/>
  <c r="M198" i="2"/>
  <c r="N198" i="2"/>
  <c r="J199" i="2"/>
  <c r="K199" i="2"/>
  <c r="L199" i="2"/>
  <c r="M199" i="2"/>
  <c r="N199" i="2"/>
  <c r="J200" i="2"/>
  <c r="K200" i="2"/>
  <c r="L200" i="2"/>
  <c r="M200" i="2"/>
  <c r="N200" i="2"/>
  <c r="E51" i="2"/>
  <c r="F51" i="2"/>
  <c r="H51" i="2"/>
  <c r="G51" i="2"/>
  <c r="E52" i="2"/>
  <c r="F52" i="2"/>
  <c r="H52" i="2"/>
  <c r="G52" i="2"/>
  <c r="E53" i="2"/>
  <c r="F53" i="2"/>
  <c r="H53" i="2"/>
  <c r="G53" i="2"/>
  <c r="E54" i="2"/>
  <c r="F54" i="2"/>
  <c r="H54" i="2"/>
  <c r="G54" i="2"/>
  <c r="E55" i="2"/>
  <c r="F55" i="2"/>
  <c r="H55" i="2"/>
  <c r="G55" i="2"/>
  <c r="E56" i="2"/>
  <c r="F56" i="2"/>
  <c r="H56" i="2"/>
  <c r="G56" i="2"/>
  <c r="E57" i="2"/>
  <c r="F57" i="2"/>
  <c r="H57" i="2"/>
  <c r="G57" i="2"/>
  <c r="E58" i="2"/>
  <c r="F58" i="2"/>
  <c r="H58" i="2"/>
  <c r="G58" i="2"/>
  <c r="E59" i="2"/>
  <c r="F59" i="2"/>
  <c r="G59" i="2"/>
  <c r="H59" i="2"/>
  <c r="E60" i="2"/>
  <c r="F60" i="2"/>
  <c r="G60" i="2"/>
  <c r="H60" i="2"/>
  <c r="E61" i="2"/>
  <c r="F61" i="2"/>
  <c r="G61" i="2"/>
  <c r="H61" i="2"/>
  <c r="E62" i="2"/>
  <c r="F62" i="2"/>
  <c r="G62" i="2"/>
  <c r="H62" i="2"/>
  <c r="E63" i="2"/>
  <c r="F63" i="2"/>
  <c r="G63" i="2"/>
  <c r="H63" i="2"/>
  <c r="E64" i="2"/>
  <c r="F64" i="2"/>
  <c r="G64" i="2"/>
  <c r="H64" i="2"/>
  <c r="E65" i="2"/>
  <c r="F65" i="2"/>
  <c r="G65" i="2"/>
  <c r="H65" i="2"/>
  <c r="E66" i="2"/>
  <c r="F66" i="2"/>
  <c r="G66" i="2"/>
  <c r="E67" i="2"/>
  <c r="F67" i="2"/>
  <c r="G67" i="2"/>
  <c r="H67" i="2"/>
  <c r="E68" i="2"/>
  <c r="F68" i="2"/>
  <c r="G68" i="2"/>
  <c r="H68" i="2"/>
  <c r="E69" i="2"/>
  <c r="F69" i="2"/>
  <c r="G69" i="2"/>
  <c r="H69" i="2"/>
  <c r="E70" i="2"/>
  <c r="F70" i="2"/>
  <c r="G70" i="2"/>
  <c r="H70" i="2"/>
  <c r="E71" i="2"/>
  <c r="F71" i="2"/>
  <c r="G71" i="2"/>
  <c r="H71" i="2"/>
  <c r="E72" i="2"/>
  <c r="F72" i="2"/>
  <c r="G72" i="2"/>
  <c r="H72" i="2"/>
  <c r="E73" i="2"/>
  <c r="F73" i="2"/>
  <c r="G73" i="2"/>
  <c r="H73" i="2"/>
  <c r="E74" i="2"/>
  <c r="F74" i="2"/>
  <c r="G74" i="2"/>
  <c r="H74" i="2"/>
  <c r="E75" i="2"/>
  <c r="F75" i="2"/>
  <c r="G75" i="2"/>
  <c r="H75" i="2"/>
  <c r="E76" i="2"/>
  <c r="F76" i="2"/>
  <c r="G76" i="2"/>
  <c r="H76" i="2"/>
  <c r="E77" i="2"/>
  <c r="F77" i="2"/>
  <c r="G77" i="2"/>
  <c r="H77" i="2"/>
  <c r="E78" i="2"/>
  <c r="F78" i="2"/>
  <c r="G78" i="2"/>
  <c r="H78" i="2"/>
  <c r="E79" i="2"/>
  <c r="F79" i="2"/>
  <c r="G79" i="2"/>
  <c r="H79" i="2"/>
  <c r="E80" i="2"/>
  <c r="F80" i="2"/>
  <c r="G80" i="2"/>
  <c r="H80" i="2"/>
  <c r="E81" i="2"/>
  <c r="F81" i="2"/>
  <c r="G81" i="2"/>
  <c r="H81" i="2"/>
  <c r="E82" i="2"/>
  <c r="F82" i="2"/>
  <c r="G82" i="2"/>
  <c r="H82" i="2"/>
  <c r="E83" i="2"/>
  <c r="F83" i="2"/>
  <c r="G83" i="2"/>
  <c r="H83" i="2"/>
  <c r="E84" i="2"/>
  <c r="F84" i="2"/>
  <c r="G84" i="2"/>
  <c r="H84" i="2"/>
  <c r="E85" i="2"/>
  <c r="F85" i="2"/>
  <c r="G85" i="2"/>
  <c r="H85" i="2"/>
  <c r="E86" i="2"/>
  <c r="F86" i="2"/>
  <c r="G86" i="2"/>
  <c r="H86" i="2"/>
  <c r="E87" i="2"/>
  <c r="F87" i="2"/>
  <c r="G87" i="2"/>
  <c r="H87" i="2"/>
  <c r="E88" i="2"/>
  <c r="F88" i="2"/>
  <c r="G88" i="2"/>
  <c r="H88" i="2"/>
  <c r="E89" i="2"/>
  <c r="F89" i="2"/>
  <c r="G89" i="2"/>
  <c r="H89" i="2"/>
  <c r="E90" i="2"/>
  <c r="F90" i="2"/>
  <c r="G90" i="2"/>
  <c r="H90" i="2"/>
  <c r="E91" i="2"/>
  <c r="F91" i="2"/>
  <c r="G91" i="2"/>
  <c r="H91" i="2"/>
  <c r="E92" i="2"/>
  <c r="F92" i="2"/>
  <c r="G92" i="2"/>
  <c r="H92" i="2"/>
  <c r="E93" i="2"/>
  <c r="F93" i="2"/>
  <c r="G93" i="2"/>
  <c r="H93" i="2"/>
  <c r="E94" i="2"/>
  <c r="F94" i="2"/>
  <c r="G94" i="2"/>
  <c r="H94" i="2"/>
  <c r="E95" i="2"/>
  <c r="F95" i="2"/>
  <c r="G95" i="2"/>
  <c r="H95" i="2"/>
  <c r="E96" i="2"/>
  <c r="F96" i="2"/>
  <c r="G96" i="2"/>
  <c r="H96" i="2"/>
  <c r="E97" i="2"/>
  <c r="F97" i="2"/>
  <c r="G97" i="2"/>
  <c r="H97" i="2"/>
  <c r="E98" i="2"/>
  <c r="F98" i="2"/>
  <c r="G98" i="2"/>
  <c r="H98" i="2"/>
  <c r="E99" i="2"/>
  <c r="F99" i="2"/>
  <c r="G99" i="2"/>
  <c r="H99" i="2"/>
  <c r="E100" i="2"/>
  <c r="F100" i="2"/>
  <c r="G100" i="2"/>
  <c r="H100" i="2"/>
  <c r="E101" i="2"/>
  <c r="F101" i="2"/>
  <c r="G101" i="2"/>
  <c r="H101" i="2"/>
  <c r="E102" i="2"/>
  <c r="F102" i="2"/>
  <c r="G102" i="2"/>
  <c r="H102" i="2"/>
  <c r="E103" i="2"/>
  <c r="F103" i="2"/>
  <c r="G103" i="2"/>
  <c r="H103" i="2"/>
  <c r="E104" i="2"/>
  <c r="F104" i="2"/>
  <c r="G104" i="2"/>
  <c r="H104" i="2"/>
  <c r="E105" i="2"/>
  <c r="F105" i="2"/>
  <c r="G105" i="2"/>
  <c r="H105" i="2"/>
  <c r="E106" i="2"/>
  <c r="F106" i="2"/>
  <c r="G106" i="2"/>
  <c r="H106" i="2"/>
  <c r="E107" i="2"/>
  <c r="F107" i="2"/>
  <c r="G107" i="2"/>
  <c r="H107" i="2"/>
  <c r="E108" i="2"/>
  <c r="F108" i="2"/>
  <c r="G108" i="2"/>
  <c r="H108" i="2"/>
  <c r="E109" i="2"/>
  <c r="F109" i="2"/>
  <c r="G109" i="2"/>
  <c r="H109" i="2"/>
  <c r="E110" i="2"/>
  <c r="F110" i="2"/>
  <c r="G110" i="2"/>
  <c r="H110" i="2"/>
  <c r="E111" i="2"/>
  <c r="F111" i="2"/>
  <c r="G111" i="2"/>
  <c r="H111" i="2"/>
  <c r="E112" i="2"/>
  <c r="F112" i="2"/>
  <c r="G112" i="2"/>
  <c r="H112" i="2"/>
  <c r="E113" i="2"/>
  <c r="F113" i="2"/>
  <c r="G113" i="2"/>
  <c r="H113" i="2"/>
  <c r="E114" i="2"/>
  <c r="F114" i="2"/>
  <c r="G114" i="2"/>
  <c r="H114" i="2"/>
  <c r="E115" i="2"/>
  <c r="F115" i="2"/>
  <c r="G115" i="2"/>
  <c r="H115" i="2"/>
  <c r="E116" i="2"/>
  <c r="F116" i="2"/>
  <c r="G116" i="2"/>
  <c r="H116" i="2"/>
  <c r="E117" i="2"/>
  <c r="F117" i="2"/>
  <c r="G117" i="2"/>
  <c r="H117" i="2"/>
  <c r="E118" i="2"/>
  <c r="F118" i="2"/>
  <c r="G118" i="2"/>
  <c r="H118" i="2"/>
  <c r="E119" i="2"/>
  <c r="F119" i="2"/>
  <c r="G119" i="2"/>
  <c r="H119" i="2"/>
  <c r="E120" i="2"/>
  <c r="F120" i="2"/>
  <c r="G120" i="2"/>
  <c r="H120" i="2"/>
  <c r="E121" i="2"/>
  <c r="F121" i="2"/>
  <c r="G121" i="2"/>
  <c r="H121" i="2"/>
  <c r="E122" i="2"/>
  <c r="F122" i="2"/>
  <c r="G122" i="2"/>
  <c r="H122" i="2"/>
  <c r="E123" i="2"/>
  <c r="F123" i="2"/>
  <c r="G123" i="2"/>
  <c r="H123" i="2"/>
  <c r="E124" i="2"/>
  <c r="F124" i="2"/>
  <c r="G124" i="2"/>
  <c r="H124" i="2"/>
  <c r="E125" i="2"/>
  <c r="F125" i="2"/>
  <c r="G125" i="2"/>
  <c r="H125" i="2"/>
  <c r="E126" i="2"/>
  <c r="F126" i="2"/>
  <c r="G126" i="2"/>
  <c r="H126" i="2"/>
  <c r="E127" i="2"/>
  <c r="F127" i="2"/>
  <c r="G127" i="2"/>
  <c r="H127" i="2"/>
  <c r="E128" i="2"/>
  <c r="F128" i="2"/>
  <c r="G128" i="2"/>
  <c r="H128" i="2"/>
  <c r="E129" i="2"/>
  <c r="F129" i="2"/>
  <c r="G129" i="2"/>
  <c r="H129" i="2"/>
  <c r="E130" i="2"/>
  <c r="F130" i="2"/>
  <c r="G130" i="2"/>
  <c r="H130" i="2"/>
  <c r="E131" i="2"/>
  <c r="F131" i="2"/>
  <c r="G131" i="2"/>
  <c r="H131" i="2"/>
  <c r="E132" i="2"/>
  <c r="F132" i="2"/>
  <c r="G132" i="2"/>
  <c r="H132" i="2"/>
  <c r="E133" i="2"/>
  <c r="F133" i="2"/>
  <c r="G133" i="2"/>
  <c r="H133" i="2"/>
  <c r="E134" i="2"/>
  <c r="F134" i="2"/>
  <c r="G134" i="2"/>
  <c r="H134" i="2"/>
  <c r="E135" i="2"/>
  <c r="F135" i="2"/>
  <c r="G135" i="2"/>
  <c r="H135" i="2"/>
  <c r="E136" i="2"/>
  <c r="F136" i="2"/>
  <c r="G136" i="2"/>
  <c r="H136" i="2"/>
  <c r="E137" i="2"/>
  <c r="F137" i="2"/>
  <c r="G137" i="2"/>
  <c r="H137" i="2"/>
  <c r="E138" i="2"/>
  <c r="F138" i="2"/>
  <c r="G138" i="2"/>
  <c r="H138" i="2"/>
  <c r="E139" i="2"/>
  <c r="F139" i="2"/>
  <c r="G139" i="2"/>
  <c r="H139" i="2"/>
  <c r="E140" i="2"/>
  <c r="F140" i="2"/>
  <c r="G140" i="2"/>
  <c r="H140" i="2"/>
  <c r="E141" i="2"/>
  <c r="F141" i="2"/>
  <c r="G141" i="2"/>
  <c r="H141" i="2"/>
  <c r="E142" i="2"/>
  <c r="F142" i="2"/>
  <c r="G142" i="2"/>
  <c r="H142" i="2"/>
  <c r="E143" i="2"/>
  <c r="F143" i="2"/>
  <c r="G143" i="2"/>
  <c r="H143" i="2"/>
  <c r="E144" i="2"/>
  <c r="F144" i="2"/>
  <c r="G144" i="2"/>
  <c r="H144" i="2"/>
  <c r="E145" i="2"/>
  <c r="F145" i="2"/>
  <c r="G145" i="2"/>
  <c r="H145" i="2"/>
  <c r="E146" i="2"/>
  <c r="F146" i="2"/>
  <c r="G146" i="2"/>
  <c r="H146" i="2"/>
  <c r="E147" i="2"/>
  <c r="F147" i="2"/>
  <c r="G147" i="2"/>
  <c r="H147" i="2"/>
  <c r="E148" i="2"/>
  <c r="F148" i="2"/>
  <c r="G148" i="2"/>
  <c r="H148" i="2"/>
  <c r="E149" i="2"/>
  <c r="F149" i="2"/>
  <c r="G149" i="2"/>
  <c r="H149" i="2"/>
  <c r="E150" i="2"/>
  <c r="F150" i="2"/>
  <c r="G150" i="2"/>
  <c r="H150" i="2"/>
  <c r="E151" i="2"/>
  <c r="F151" i="2"/>
  <c r="G151" i="2"/>
  <c r="H151" i="2"/>
  <c r="E152" i="2"/>
  <c r="F152" i="2"/>
  <c r="G152" i="2"/>
  <c r="H152" i="2"/>
  <c r="E153" i="2"/>
  <c r="F153" i="2"/>
  <c r="G153" i="2"/>
  <c r="H153" i="2"/>
  <c r="E154" i="2"/>
  <c r="F154" i="2"/>
  <c r="G154" i="2"/>
  <c r="H154" i="2"/>
  <c r="E155" i="2"/>
  <c r="F155" i="2"/>
  <c r="G155" i="2"/>
  <c r="H155" i="2"/>
  <c r="E156" i="2"/>
  <c r="F156" i="2"/>
  <c r="G156" i="2"/>
  <c r="H156" i="2"/>
  <c r="E157" i="2"/>
  <c r="F157" i="2"/>
  <c r="G157" i="2"/>
  <c r="H157" i="2"/>
  <c r="E158" i="2"/>
  <c r="F158" i="2"/>
  <c r="G158" i="2"/>
  <c r="H158" i="2"/>
  <c r="E159" i="2"/>
  <c r="F159" i="2"/>
  <c r="G159" i="2"/>
  <c r="H159" i="2"/>
  <c r="E160" i="2"/>
  <c r="F160" i="2"/>
  <c r="G160" i="2"/>
  <c r="H160" i="2"/>
  <c r="E161" i="2"/>
  <c r="F161" i="2"/>
  <c r="G161" i="2"/>
  <c r="H161" i="2"/>
  <c r="E162" i="2"/>
  <c r="F162" i="2"/>
  <c r="G162" i="2"/>
  <c r="H162" i="2"/>
  <c r="E163" i="2"/>
  <c r="F163" i="2"/>
  <c r="G163" i="2"/>
  <c r="H163" i="2"/>
  <c r="E164" i="2"/>
  <c r="F164" i="2"/>
  <c r="G164" i="2"/>
  <c r="H164" i="2"/>
  <c r="E165" i="2"/>
  <c r="F165" i="2"/>
  <c r="G165" i="2"/>
  <c r="H165" i="2"/>
  <c r="E166" i="2"/>
  <c r="F166" i="2"/>
  <c r="G166" i="2"/>
  <c r="H166" i="2"/>
  <c r="E167" i="2"/>
  <c r="F167" i="2"/>
  <c r="G167" i="2"/>
  <c r="H167" i="2"/>
  <c r="E168" i="2"/>
  <c r="F168" i="2"/>
  <c r="G168" i="2"/>
  <c r="H168" i="2"/>
  <c r="E169" i="2"/>
  <c r="F169" i="2"/>
  <c r="G169" i="2"/>
  <c r="H169" i="2"/>
  <c r="E170" i="2"/>
  <c r="F170" i="2"/>
  <c r="G170" i="2"/>
  <c r="H170" i="2"/>
  <c r="E171" i="2"/>
  <c r="F171" i="2"/>
  <c r="G171" i="2"/>
  <c r="H171" i="2"/>
  <c r="E172" i="2"/>
  <c r="F172" i="2"/>
  <c r="G172" i="2"/>
  <c r="H172" i="2"/>
  <c r="E173" i="2"/>
  <c r="F173" i="2"/>
  <c r="G173" i="2"/>
  <c r="H173" i="2"/>
  <c r="E174" i="2"/>
  <c r="F174" i="2"/>
  <c r="G174" i="2"/>
  <c r="H174" i="2"/>
  <c r="E175" i="2"/>
  <c r="F175" i="2"/>
  <c r="G175" i="2"/>
  <c r="H175" i="2"/>
  <c r="E176" i="2"/>
  <c r="F176" i="2"/>
  <c r="G176" i="2"/>
  <c r="H176" i="2"/>
  <c r="E177" i="2"/>
  <c r="F177" i="2"/>
  <c r="G177" i="2"/>
  <c r="H177" i="2"/>
  <c r="E178" i="2"/>
  <c r="F178" i="2"/>
  <c r="G178" i="2"/>
  <c r="H178" i="2"/>
  <c r="E179" i="2"/>
  <c r="F179" i="2"/>
  <c r="G179" i="2"/>
  <c r="H179" i="2"/>
  <c r="E180" i="2"/>
  <c r="F180" i="2"/>
  <c r="G180" i="2"/>
  <c r="H180" i="2"/>
  <c r="E181" i="2"/>
  <c r="F181" i="2"/>
  <c r="G181" i="2"/>
  <c r="H181" i="2"/>
  <c r="E182" i="2"/>
  <c r="F182" i="2"/>
  <c r="G182" i="2"/>
  <c r="H182" i="2"/>
  <c r="E183" i="2"/>
  <c r="F183" i="2"/>
  <c r="G183" i="2"/>
  <c r="H183" i="2"/>
  <c r="E184" i="2"/>
  <c r="F184" i="2"/>
  <c r="G184" i="2"/>
  <c r="H184" i="2"/>
  <c r="E185" i="2"/>
  <c r="F185" i="2"/>
  <c r="G185" i="2"/>
  <c r="H185" i="2"/>
  <c r="E186" i="2"/>
  <c r="F186" i="2"/>
  <c r="G186" i="2"/>
  <c r="H186" i="2"/>
  <c r="E187" i="2"/>
  <c r="F187" i="2"/>
  <c r="G187" i="2"/>
  <c r="H187" i="2"/>
  <c r="E188" i="2"/>
  <c r="F188" i="2"/>
  <c r="G188" i="2"/>
  <c r="H188" i="2"/>
  <c r="E189" i="2"/>
  <c r="F189" i="2"/>
  <c r="G189" i="2"/>
  <c r="H189" i="2"/>
  <c r="E190" i="2"/>
  <c r="F190" i="2"/>
  <c r="G190" i="2"/>
  <c r="H190" i="2"/>
  <c r="E191" i="2"/>
  <c r="F191" i="2"/>
  <c r="G191" i="2"/>
  <c r="H191" i="2"/>
  <c r="E192" i="2"/>
  <c r="F192" i="2"/>
  <c r="G192" i="2"/>
  <c r="H192" i="2"/>
  <c r="E193" i="2"/>
  <c r="F193" i="2"/>
  <c r="G193" i="2"/>
  <c r="H193" i="2"/>
  <c r="E194" i="2"/>
  <c r="F194" i="2"/>
  <c r="G194" i="2"/>
  <c r="H194" i="2"/>
  <c r="E195" i="2"/>
  <c r="F195" i="2"/>
  <c r="G195" i="2"/>
  <c r="H195" i="2"/>
  <c r="E196" i="2"/>
  <c r="F196" i="2"/>
  <c r="G196" i="2"/>
  <c r="H196" i="2"/>
  <c r="E197" i="2"/>
  <c r="F197" i="2"/>
  <c r="G197" i="2"/>
  <c r="H197" i="2"/>
  <c r="E198" i="2"/>
  <c r="F198" i="2"/>
  <c r="G198" i="2"/>
  <c r="H198" i="2"/>
  <c r="E199" i="2"/>
  <c r="F199" i="2"/>
  <c r="G199" i="2"/>
  <c r="H199" i="2"/>
  <c r="E200" i="2"/>
  <c r="F200" i="2"/>
  <c r="G200" i="2"/>
  <c r="H200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B51" i="2"/>
  <c r="C51" i="2"/>
  <c r="B52" i="2"/>
  <c r="C52" i="2"/>
  <c r="B53" i="2"/>
  <c r="C53" i="2"/>
  <c r="B54" i="2"/>
  <c r="C54" i="2"/>
  <c r="B55" i="2"/>
  <c r="C55" i="2"/>
  <c r="B56" i="2"/>
  <c r="C56" i="2"/>
  <c r="B57" i="2"/>
  <c r="C57" i="2"/>
  <c r="B58" i="2"/>
  <c r="C58" i="2"/>
  <c r="B59" i="2"/>
  <c r="C59" i="2"/>
  <c r="B60" i="2"/>
  <c r="C60" i="2"/>
  <c r="B61" i="2"/>
  <c r="C61" i="2"/>
  <c r="B62" i="2"/>
  <c r="C62" i="2"/>
  <c r="B63" i="2"/>
  <c r="C63" i="2"/>
  <c r="B64" i="2"/>
  <c r="C64" i="2"/>
  <c r="B65" i="2"/>
  <c r="C65" i="2"/>
  <c r="B66" i="2"/>
  <c r="C66" i="2"/>
  <c r="B67" i="2"/>
  <c r="C67" i="2"/>
  <c r="B68" i="2"/>
  <c r="C68" i="2"/>
  <c r="B69" i="2"/>
  <c r="C69" i="2"/>
  <c r="B70" i="2"/>
  <c r="C70" i="2"/>
  <c r="B71" i="2"/>
  <c r="C71" i="2"/>
  <c r="B72" i="2"/>
  <c r="C72" i="2"/>
  <c r="B73" i="2"/>
  <c r="C73" i="2"/>
  <c r="B74" i="2"/>
  <c r="C74" i="2"/>
  <c r="B75" i="2"/>
  <c r="C75" i="2"/>
  <c r="B76" i="2"/>
  <c r="C76" i="2"/>
  <c r="B77" i="2"/>
  <c r="C77" i="2"/>
  <c r="B78" i="2"/>
  <c r="C78" i="2"/>
  <c r="B79" i="2"/>
  <c r="C79" i="2"/>
  <c r="B80" i="2"/>
  <c r="C80" i="2"/>
  <c r="B81" i="2"/>
  <c r="C81" i="2"/>
  <c r="B82" i="2"/>
  <c r="C82" i="2"/>
  <c r="B83" i="2"/>
  <c r="C83" i="2"/>
  <c r="B84" i="2"/>
  <c r="C84" i="2"/>
  <c r="B85" i="2"/>
  <c r="C85" i="2"/>
  <c r="B86" i="2"/>
  <c r="C86" i="2"/>
  <c r="B87" i="2"/>
  <c r="C87" i="2"/>
  <c r="B88" i="2"/>
  <c r="C88" i="2"/>
  <c r="B89" i="2"/>
  <c r="C89" i="2"/>
  <c r="B90" i="2"/>
  <c r="C90" i="2"/>
  <c r="B91" i="2"/>
  <c r="C91" i="2"/>
  <c r="B92" i="2"/>
  <c r="C92" i="2"/>
  <c r="B93" i="2"/>
  <c r="C93" i="2"/>
  <c r="B94" i="2"/>
  <c r="C94" i="2"/>
  <c r="B95" i="2"/>
  <c r="C95" i="2"/>
  <c r="B96" i="2"/>
  <c r="C96" i="2"/>
  <c r="B97" i="2"/>
  <c r="C97" i="2"/>
  <c r="B98" i="2"/>
  <c r="C98" i="2"/>
  <c r="B99" i="2"/>
  <c r="C99" i="2"/>
  <c r="B100" i="2"/>
  <c r="C100" i="2"/>
  <c r="B101" i="2"/>
  <c r="C101" i="2"/>
  <c r="B102" i="2"/>
  <c r="C102" i="2"/>
  <c r="B103" i="2"/>
  <c r="C103" i="2"/>
  <c r="B104" i="2"/>
  <c r="C104" i="2"/>
  <c r="B105" i="2"/>
  <c r="C105" i="2"/>
  <c r="B106" i="2"/>
  <c r="C106" i="2"/>
  <c r="B107" i="2"/>
  <c r="C107" i="2"/>
  <c r="B108" i="2"/>
  <c r="C108" i="2"/>
  <c r="B109" i="2"/>
  <c r="C109" i="2"/>
  <c r="B110" i="2"/>
  <c r="C110" i="2"/>
  <c r="B111" i="2"/>
  <c r="C111" i="2"/>
  <c r="B112" i="2"/>
  <c r="C112" i="2"/>
  <c r="B113" i="2"/>
  <c r="C113" i="2"/>
  <c r="B114" i="2"/>
  <c r="C114" i="2"/>
  <c r="B115" i="2"/>
  <c r="C115" i="2"/>
  <c r="B116" i="2"/>
  <c r="C116" i="2"/>
  <c r="B117" i="2"/>
  <c r="C117" i="2"/>
  <c r="B118" i="2"/>
  <c r="C118" i="2"/>
  <c r="B119" i="2"/>
  <c r="C119" i="2"/>
  <c r="B120" i="2"/>
  <c r="C120" i="2"/>
  <c r="B121" i="2"/>
  <c r="C121" i="2"/>
  <c r="B122" i="2"/>
  <c r="C122" i="2"/>
  <c r="B123" i="2"/>
  <c r="C123" i="2"/>
  <c r="B124" i="2"/>
  <c r="C124" i="2"/>
  <c r="B125" i="2"/>
  <c r="C125" i="2"/>
  <c r="B126" i="2"/>
  <c r="C126" i="2"/>
  <c r="B127" i="2"/>
  <c r="C127" i="2"/>
  <c r="B128" i="2"/>
  <c r="C128" i="2"/>
  <c r="B129" i="2"/>
  <c r="C129" i="2"/>
  <c r="B130" i="2"/>
  <c r="C130" i="2"/>
  <c r="B131" i="2"/>
  <c r="C131" i="2"/>
  <c r="B132" i="2"/>
  <c r="C132" i="2"/>
  <c r="B133" i="2"/>
  <c r="C133" i="2"/>
  <c r="B134" i="2"/>
  <c r="C134" i="2"/>
  <c r="B135" i="2"/>
  <c r="C135" i="2"/>
  <c r="B136" i="2"/>
  <c r="C136" i="2"/>
  <c r="B137" i="2"/>
  <c r="C137" i="2"/>
  <c r="B138" i="2"/>
  <c r="C138" i="2"/>
  <c r="B139" i="2"/>
  <c r="C139" i="2"/>
  <c r="B140" i="2"/>
  <c r="C140" i="2"/>
  <c r="B141" i="2"/>
  <c r="C141" i="2"/>
  <c r="B142" i="2"/>
  <c r="C142" i="2"/>
  <c r="B143" i="2"/>
  <c r="C143" i="2"/>
  <c r="B144" i="2"/>
  <c r="C144" i="2"/>
  <c r="B145" i="2"/>
  <c r="C145" i="2"/>
  <c r="B146" i="2"/>
  <c r="C146" i="2"/>
  <c r="B147" i="2"/>
  <c r="C147" i="2"/>
  <c r="B148" i="2"/>
  <c r="C148" i="2"/>
  <c r="B149" i="2"/>
  <c r="C149" i="2"/>
  <c r="B150" i="2"/>
  <c r="C150" i="2"/>
  <c r="B151" i="2"/>
  <c r="C151" i="2"/>
  <c r="B152" i="2"/>
  <c r="C152" i="2"/>
  <c r="B153" i="2"/>
  <c r="C153" i="2"/>
  <c r="B154" i="2"/>
  <c r="C154" i="2"/>
  <c r="B155" i="2"/>
  <c r="C155" i="2"/>
  <c r="B156" i="2"/>
  <c r="C156" i="2"/>
  <c r="B157" i="2"/>
  <c r="C157" i="2"/>
  <c r="B158" i="2"/>
  <c r="C158" i="2"/>
  <c r="B159" i="2"/>
  <c r="C159" i="2"/>
  <c r="B160" i="2"/>
  <c r="C160" i="2"/>
  <c r="B161" i="2"/>
  <c r="C161" i="2"/>
  <c r="B162" i="2"/>
  <c r="C162" i="2"/>
  <c r="B163" i="2"/>
  <c r="C163" i="2"/>
  <c r="B164" i="2"/>
  <c r="C164" i="2"/>
  <c r="B165" i="2"/>
  <c r="C165" i="2"/>
  <c r="B166" i="2"/>
  <c r="C166" i="2"/>
  <c r="B167" i="2"/>
  <c r="C167" i="2"/>
  <c r="B168" i="2"/>
  <c r="C168" i="2"/>
  <c r="B169" i="2"/>
  <c r="C169" i="2"/>
  <c r="B170" i="2"/>
  <c r="C170" i="2"/>
  <c r="B171" i="2"/>
  <c r="C171" i="2"/>
  <c r="B172" i="2"/>
  <c r="C172" i="2"/>
  <c r="B173" i="2"/>
  <c r="C173" i="2"/>
  <c r="B174" i="2"/>
  <c r="C174" i="2"/>
  <c r="B175" i="2"/>
  <c r="C175" i="2"/>
  <c r="B176" i="2"/>
  <c r="C176" i="2"/>
  <c r="B177" i="2"/>
  <c r="C177" i="2"/>
  <c r="B178" i="2"/>
  <c r="C178" i="2"/>
  <c r="B179" i="2"/>
  <c r="C179" i="2"/>
  <c r="B180" i="2"/>
  <c r="C180" i="2"/>
  <c r="B181" i="2"/>
  <c r="C181" i="2"/>
  <c r="B182" i="2"/>
  <c r="C182" i="2"/>
  <c r="B183" i="2"/>
  <c r="C183" i="2"/>
  <c r="B184" i="2"/>
  <c r="C184" i="2"/>
  <c r="B185" i="2"/>
  <c r="C185" i="2"/>
  <c r="B186" i="2"/>
  <c r="C186" i="2"/>
  <c r="B187" i="2"/>
  <c r="C187" i="2"/>
  <c r="B188" i="2"/>
  <c r="C188" i="2"/>
  <c r="B189" i="2"/>
  <c r="C189" i="2"/>
  <c r="B190" i="2"/>
  <c r="C190" i="2"/>
  <c r="B191" i="2"/>
  <c r="C191" i="2"/>
  <c r="B192" i="2"/>
  <c r="C192" i="2"/>
  <c r="B193" i="2"/>
  <c r="C193" i="2"/>
  <c r="B194" i="2"/>
  <c r="C194" i="2"/>
  <c r="B195" i="2"/>
  <c r="C195" i="2"/>
  <c r="B196" i="2"/>
  <c r="C196" i="2"/>
  <c r="B197" i="2"/>
  <c r="C197" i="2"/>
  <c r="B198" i="2"/>
  <c r="C198" i="2"/>
  <c r="B199" i="2"/>
  <c r="C199" i="2"/>
  <c r="B200" i="2"/>
  <c r="C200" i="2"/>
  <c r="D39" i="2"/>
  <c r="Q39" i="2"/>
  <c r="D40" i="2"/>
  <c r="Q40" i="2"/>
  <c r="D41" i="2"/>
  <c r="Q41" i="2"/>
  <c r="D42" i="2"/>
  <c r="Q42" i="2"/>
  <c r="D43" i="2"/>
  <c r="Q43" i="2"/>
  <c r="D44" i="2"/>
  <c r="Q44" i="2"/>
  <c r="D45" i="2"/>
  <c r="Q45" i="2"/>
  <c r="D46" i="2"/>
  <c r="Q46" i="2"/>
  <c r="D47" i="2"/>
  <c r="Q47" i="2"/>
  <c r="D48" i="2"/>
  <c r="Q48" i="2"/>
  <c r="D49" i="2"/>
  <c r="Q49" i="2"/>
  <c r="D50" i="2"/>
  <c r="Q50" i="2"/>
  <c r="D51" i="2"/>
  <c r="Q51" i="2"/>
  <c r="D52" i="2"/>
  <c r="Q52" i="2"/>
  <c r="D53" i="2"/>
  <c r="Q53" i="2"/>
  <c r="D54" i="2"/>
  <c r="Q54" i="2"/>
  <c r="D55" i="2"/>
  <c r="Q55" i="2"/>
  <c r="D56" i="2"/>
  <c r="Q56" i="2"/>
  <c r="D57" i="2"/>
  <c r="Q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P59" i="2"/>
  <c r="Q59" i="2"/>
  <c r="R59" i="2"/>
  <c r="P60" i="2"/>
  <c r="Q60" i="2"/>
  <c r="R60" i="2"/>
  <c r="P61" i="2"/>
  <c r="Q61" i="2"/>
  <c r="R61" i="2"/>
  <c r="P62" i="2"/>
  <c r="Q62" i="2"/>
  <c r="R62" i="2"/>
  <c r="P63" i="2"/>
  <c r="Q63" i="2"/>
  <c r="R63" i="2"/>
  <c r="P64" i="2"/>
  <c r="Q64" i="2"/>
  <c r="R64" i="2"/>
  <c r="P65" i="2"/>
  <c r="Q65" i="2"/>
  <c r="R65" i="2"/>
  <c r="P66" i="2"/>
  <c r="Q66" i="2"/>
  <c r="R66" i="2"/>
  <c r="P67" i="2"/>
  <c r="Q67" i="2"/>
  <c r="R67" i="2"/>
  <c r="P68" i="2"/>
  <c r="Q68" i="2"/>
  <c r="R68" i="2"/>
  <c r="P69" i="2"/>
  <c r="Q69" i="2"/>
  <c r="R69" i="2"/>
  <c r="P70" i="2"/>
  <c r="Q70" i="2"/>
  <c r="R70" i="2"/>
  <c r="P71" i="2"/>
  <c r="Q71" i="2"/>
  <c r="R71" i="2"/>
  <c r="P72" i="2"/>
  <c r="Q72" i="2"/>
  <c r="R72" i="2"/>
  <c r="P73" i="2"/>
  <c r="Q73" i="2"/>
  <c r="R73" i="2"/>
  <c r="P74" i="2"/>
  <c r="Q74" i="2"/>
  <c r="R74" i="2"/>
  <c r="P75" i="2"/>
  <c r="Q75" i="2"/>
  <c r="R75" i="2"/>
  <c r="P76" i="2"/>
  <c r="Q76" i="2"/>
  <c r="R76" i="2"/>
  <c r="P77" i="2"/>
  <c r="Q77" i="2"/>
  <c r="R77" i="2"/>
  <c r="P78" i="2"/>
  <c r="Q78" i="2"/>
  <c r="R78" i="2"/>
  <c r="P79" i="2"/>
  <c r="Q79" i="2"/>
  <c r="R79" i="2"/>
  <c r="P80" i="2"/>
  <c r="Q80" i="2"/>
  <c r="R80" i="2"/>
  <c r="P81" i="2"/>
  <c r="Q81" i="2"/>
  <c r="R81" i="2"/>
  <c r="P82" i="2"/>
  <c r="Q82" i="2"/>
  <c r="R82" i="2"/>
  <c r="P83" i="2"/>
  <c r="Q83" i="2"/>
  <c r="R83" i="2"/>
  <c r="P84" i="2"/>
  <c r="Q84" i="2"/>
  <c r="R84" i="2"/>
  <c r="P85" i="2"/>
  <c r="Q85" i="2"/>
  <c r="R85" i="2"/>
  <c r="P86" i="2"/>
  <c r="Q86" i="2"/>
  <c r="R86" i="2"/>
  <c r="P87" i="2"/>
  <c r="Q87" i="2"/>
  <c r="R87" i="2"/>
  <c r="P88" i="2"/>
  <c r="Q88" i="2"/>
  <c r="R88" i="2"/>
  <c r="P89" i="2"/>
  <c r="Q89" i="2"/>
  <c r="R89" i="2"/>
  <c r="P90" i="2"/>
  <c r="Q90" i="2"/>
  <c r="R90" i="2"/>
  <c r="P91" i="2"/>
  <c r="Q91" i="2"/>
  <c r="R91" i="2"/>
  <c r="P92" i="2"/>
  <c r="Q92" i="2"/>
  <c r="R92" i="2"/>
  <c r="P93" i="2"/>
  <c r="Q93" i="2"/>
  <c r="R93" i="2"/>
  <c r="P94" i="2"/>
  <c r="Q94" i="2"/>
  <c r="R94" i="2"/>
  <c r="P95" i="2"/>
  <c r="Q95" i="2"/>
  <c r="R95" i="2"/>
  <c r="P96" i="2"/>
  <c r="Q96" i="2"/>
  <c r="R96" i="2"/>
  <c r="P97" i="2"/>
  <c r="Q97" i="2"/>
  <c r="R97" i="2"/>
  <c r="P98" i="2"/>
  <c r="Q98" i="2"/>
  <c r="R98" i="2"/>
  <c r="P99" i="2"/>
  <c r="Q99" i="2"/>
  <c r="R99" i="2"/>
  <c r="P100" i="2"/>
  <c r="Q100" i="2"/>
  <c r="R100" i="2"/>
  <c r="P101" i="2"/>
  <c r="Q101" i="2"/>
  <c r="R101" i="2"/>
  <c r="P102" i="2"/>
  <c r="Q102" i="2"/>
  <c r="R102" i="2"/>
  <c r="P103" i="2"/>
  <c r="Q103" i="2"/>
  <c r="R103" i="2"/>
  <c r="P104" i="2"/>
  <c r="Q104" i="2"/>
  <c r="R104" i="2"/>
  <c r="P105" i="2"/>
  <c r="Q105" i="2"/>
  <c r="R105" i="2"/>
  <c r="P106" i="2"/>
  <c r="Q106" i="2"/>
  <c r="R106" i="2"/>
  <c r="P107" i="2"/>
  <c r="Q107" i="2"/>
  <c r="R107" i="2"/>
  <c r="P108" i="2"/>
  <c r="Q108" i="2"/>
  <c r="R108" i="2"/>
  <c r="P109" i="2"/>
  <c r="Q109" i="2"/>
  <c r="R109" i="2"/>
  <c r="P110" i="2"/>
  <c r="Q110" i="2"/>
  <c r="R110" i="2"/>
  <c r="P111" i="2"/>
  <c r="Q111" i="2"/>
  <c r="R111" i="2"/>
  <c r="P112" i="2"/>
  <c r="Q112" i="2"/>
  <c r="R112" i="2"/>
  <c r="P113" i="2"/>
  <c r="Q113" i="2"/>
  <c r="R113" i="2"/>
  <c r="P114" i="2"/>
  <c r="Q114" i="2"/>
  <c r="R114" i="2"/>
  <c r="P115" i="2"/>
  <c r="Q115" i="2"/>
  <c r="R115" i="2"/>
  <c r="P116" i="2"/>
  <c r="Q116" i="2"/>
  <c r="R116" i="2"/>
  <c r="P117" i="2"/>
  <c r="Q117" i="2"/>
  <c r="R117" i="2"/>
  <c r="P118" i="2"/>
  <c r="Q118" i="2"/>
  <c r="R118" i="2"/>
  <c r="P119" i="2"/>
  <c r="Q119" i="2"/>
  <c r="R119" i="2"/>
  <c r="P120" i="2"/>
  <c r="Q120" i="2"/>
  <c r="R120" i="2"/>
  <c r="P121" i="2"/>
  <c r="Q121" i="2"/>
  <c r="R121" i="2"/>
  <c r="P122" i="2"/>
  <c r="Q122" i="2"/>
  <c r="R122" i="2"/>
  <c r="P123" i="2"/>
  <c r="Q123" i="2"/>
  <c r="R123" i="2"/>
  <c r="P124" i="2"/>
  <c r="Q124" i="2"/>
  <c r="R124" i="2"/>
  <c r="P125" i="2"/>
  <c r="Q125" i="2"/>
  <c r="R125" i="2"/>
  <c r="P126" i="2"/>
  <c r="Q126" i="2"/>
  <c r="R126" i="2"/>
  <c r="P127" i="2"/>
  <c r="Q127" i="2"/>
  <c r="R127" i="2"/>
  <c r="P128" i="2"/>
  <c r="Q128" i="2"/>
  <c r="R128" i="2"/>
  <c r="P129" i="2"/>
  <c r="Q129" i="2"/>
  <c r="R129" i="2"/>
  <c r="P130" i="2"/>
  <c r="Q130" i="2"/>
  <c r="R130" i="2"/>
  <c r="P131" i="2"/>
  <c r="Q131" i="2"/>
  <c r="R131" i="2"/>
  <c r="P132" i="2"/>
  <c r="Q132" i="2"/>
  <c r="R132" i="2"/>
  <c r="P133" i="2"/>
  <c r="Q133" i="2"/>
  <c r="R133" i="2"/>
  <c r="P134" i="2"/>
  <c r="Q134" i="2"/>
  <c r="R134" i="2"/>
  <c r="P135" i="2"/>
  <c r="Q135" i="2"/>
  <c r="R135" i="2"/>
  <c r="P136" i="2"/>
  <c r="Q136" i="2"/>
  <c r="R136" i="2"/>
  <c r="P137" i="2"/>
  <c r="Q137" i="2"/>
  <c r="R137" i="2"/>
  <c r="P138" i="2"/>
  <c r="Q138" i="2"/>
  <c r="R138" i="2"/>
  <c r="P139" i="2"/>
  <c r="Q139" i="2"/>
  <c r="R139" i="2"/>
  <c r="P140" i="2"/>
  <c r="Q140" i="2"/>
  <c r="R140" i="2"/>
  <c r="P141" i="2"/>
  <c r="Q141" i="2"/>
  <c r="R141" i="2"/>
  <c r="P142" i="2"/>
  <c r="Q142" i="2"/>
  <c r="R142" i="2"/>
  <c r="P143" i="2"/>
  <c r="Q143" i="2"/>
  <c r="R143" i="2"/>
  <c r="P144" i="2"/>
  <c r="Q144" i="2"/>
  <c r="R144" i="2"/>
  <c r="P145" i="2"/>
  <c r="Q145" i="2"/>
  <c r="R145" i="2"/>
  <c r="P146" i="2"/>
  <c r="Q146" i="2"/>
  <c r="R146" i="2"/>
  <c r="P147" i="2"/>
  <c r="Q147" i="2"/>
  <c r="R147" i="2"/>
  <c r="P148" i="2"/>
  <c r="Q148" i="2"/>
  <c r="R148" i="2"/>
  <c r="P149" i="2"/>
  <c r="Q149" i="2"/>
  <c r="R149" i="2"/>
  <c r="P150" i="2"/>
  <c r="Q150" i="2"/>
  <c r="R150" i="2"/>
  <c r="P151" i="2"/>
  <c r="Q151" i="2"/>
  <c r="R151" i="2"/>
  <c r="P152" i="2"/>
  <c r="Q152" i="2"/>
  <c r="R152" i="2"/>
  <c r="P153" i="2"/>
  <c r="Q153" i="2"/>
  <c r="R153" i="2"/>
  <c r="P154" i="2"/>
  <c r="Q154" i="2"/>
  <c r="R154" i="2"/>
  <c r="P155" i="2"/>
  <c r="Q155" i="2"/>
  <c r="R155" i="2"/>
  <c r="P156" i="2"/>
  <c r="Q156" i="2"/>
  <c r="R156" i="2"/>
  <c r="P157" i="2"/>
  <c r="Q157" i="2"/>
  <c r="R157" i="2"/>
  <c r="P158" i="2"/>
  <c r="Q158" i="2"/>
  <c r="R158" i="2"/>
  <c r="P159" i="2"/>
  <c r="Q159" i="2"/>
  <c r="R159" i="2"/>
  <c r="P160" i="2"/>
  <c r="Q160" i="2"/>
  <c r="R160" i="2"/>
  <c r="P161" i="2"/>
  <c r="Q161" i="2"/>
  <c r="R161" i="2"/>
  <c r="P162" i="2"/>
  <c r="Q162" i="2"/>
  <c r="R162" i="2"/>
  <c r="P163" i="2"/>
  <c r="Q163" i="2"/>
  <c r="R163" i="2"/>
  <c r="P164" i="2"/>
  <c r="Q164" i="2"/>
  <c r="R164" i="2"/>
  <c r="P165" i="2"/>
  <c r="Q165" i="2"/>
  <c r="R165" i="2"/>
  <c r="P166" i="2"/>
  <c r="Q166" i="2"/>
  <c r="R166" i="2"/>
  <c r="P167" i="2"/>
  <c r="Q167" i="2"/>
  <c r="R167" i="2"/>
  <c r="P168" i="2"/>
  <c r="Q168" i="2"/>
  <c r="R168" i="2"/>
  <c r="P169" i="2"/>
  <c r="Q169" i="2"/>
  <c r="R169" i="2"/>
  <c r="P170" i="2"/>
  <c r="Q170" i="2"/>
  <c r="R170" i="2"/>
  <c r="P171" i="2"/>
  <c r="Q171" i="2"/>
  <c r="R171" i="2"/>
  <c r="P172" i="2"/>
  <c r="Q172" i="2"/>
  <c r="R172" i="2"/>
  <c r="P173" i="2"/>
  <c r="Q173" i="2"/>
  <c r="R173" i="2"/>
  <c r="P174" i="2"/>
  <c r="Q174" i="2"/>
  <c r="R174" i="2"/>
  <c r="P175" i="2"/>
  <c r="Q175" i="2"/>
  <c r="R175" i="2"/>
  <c r="P176" i="2"/>
  <c r="Q176" i="2"/>
  <c r="R176" i="2"/>
  <c r="P177" i="2"/>
  <c r="Q177" i="2"/>
  <c r="R177" i="2"/>
  <c r="P178" i="2"/>
  <c r="Q178" i="2"/>
  <c r="R178" i="2"/>
  <c r="P179" i="2"/>
  <c r="Q179" i="2"/>
  <c r="R179" i="2"/>
  <c r="P180" i="2"/>
  <c r="Q180" i="2"/>
  <c r="R180" i="2"/>
  <c r="P181" i="2"/>
  <c r="Q181" i="2"/>
  <c r="R181" i="2"/>
  <c r="P182" i="2"/>
  <c r="Q182" i="2"/>
  <c r="R182" i="2"/>
  <c r="P183" i="2"/>
  <c r="Q183" i="2"/>
  <c r="R183" i="2"/>
  <c r="P184" i="2"/>
  <c r="Q184" i="2"/>
  <c r="R184" i="2"/>
  <c r="P185" i="2"/>
  <c r="Q185" i="2"/>
  <c r="R185" i="2"/>
  <c r="P186" i="2"/>
  <c r="Q186" i="2"/>
  <c r="R186" i="2"/>
  <c r="P187" i="2"/>
  <c r="Q187" i="2"/>
  <c r="R187" i="2"/>
  <c r="P188" i="2"/>
  <c r="Q188" i="2"/>
  <c r="R188" i="2"/>
  <c r="P189" i="2"/>
  <c r="Q189" i="2"/>
  <c r="R189" i="2"/>
  <c r="P190" i="2"/>
  <c r="Q190" i="2"/>
  <c r="R190" i="2"/>
  <c r="P191" i="2"/>
  <c r="Q191" i="2"/>
  <c r="R191" i="2"/>
  <c r="P192" i="2"/>
  <c r="Q192" i="2"/>
  <c r="R192" i="2"/>
  <c r="P193" i="2"/>
  <c r="Q193" i="2"/>
  <c r="R193" i="2"/>
  <c r="P194" i="2"/>
  <c r="Q194" i="2"/>
  <c r="R194" i="2"/>
  <c r="P195" i="2"/>
  <c r="Q195" i="2"/>
  <c r="R195" i="2"/>
  <c r="P196" i="2"/>
  <c r="Q196" i="2"/>
  <c r="R196" i="2"/>
  <c r="P197" i="2"/>
  <c r="Q197" i="2"/>
  <c r="R197" i="2"/>
  <c r="P198" i="2"/>
  <c r="Q198" i="2"/>
  <c r="R198" i="2"/>
  <c r="P199" i="2"/>
  <c r="Q199" i="2"/>
  <c r="R199" i="2"/>
  <c r="P200" i="2"/>
  <c r="Q200" i="2"/>
  <c r="R200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P37" i="2"/>
  <c r="D37" i="2"/>
  <c r="Q37" i="2"/>
  <c r="P38" i="2"/>
  <c r="D38" i="2"/>
  <c r="Q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Q58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37" i="2"/>
  <c r="B2" i="2"/>
  <c r="D7" i="2"/>
  <c r="D13" i="2"/>
  <c r="D14" i="2"/>
  <c r="H4" i="2"/>
  <c r="H36" i="2"/>
  <c r="J36" i="2"/>
  <c r="B38" i="2"/>
  <c r="H38" i="2"/>
  <c r="E38" i="2"/>
  <c r="J38" i="2"/>
  <c r="B39" i="2"/>
  <c r="H39" i="2"/>
  <c r="E39" i="2"/>
  <c r="J39" i="2"/>
  <c r="B40" i="2"/>
  <c r="H40" i="2"/>
  <c r="E40" i="2"/>
  <c r="J40" i="2"/>
  <c r="B41" i="2"/>
  <c r="H41" i="2"/>
  <c r="E41" i="2"/>
  <c r="J41" i="2"/>
  <c r="B42" i="2"/>
  <c r="H42" i="2"/>
  <c r="E42" i="2"/>
  <c r="J42" i="2"/>
  <c r="B43" i="2"/>
  <c r="H43" i="2"/>
  <c r="E43" i="2"/>
  <c r="J43" i="2"/>
  <c r="B44" i="2"/>
  <c r="H44" i="2"/>
  <c r="E44" i="2"/>
  <c r="J44" i="2"/>
  <c r="B45" i="2"/>
  <c r="H45" i="2"/>
  <c r="E45" i="2"/>
  <c r="J45" i="2"/>
  <c r="B46" i="2"/>
  <c r="H46" i="2"/>
  <c r="E46" i="2"/>
  <c r="J46" i="2"/>
  <c r="B47" i="2"/>
  <c r="H47" i="2"/>
  <c r="E47" i="2"/>
  <c r="J47" i="2"/>
  <c r="B48" i="2"/>
  <c r="H48" i="2"/>
  <c r="E48" i="2"/>
  <c r="J48" i="2"/>
  <c r="B49" i="2"/>
  <c r="H49" i="2"/>
  <c r="E49" i="2"/>
  <c r="J49" i="2"/>
  <c r="B37" i="2"/>
  <c r="H37" i="2"/>
  <c r="E37" i="2"/>
  <c r="J37" i="2"/>
  <c r="B50" i="2"/>
  <c r="H50" i="2"/>
  <c r="E50" i="2"/>
  <c r="J50" i="2"/>
  <c r="J32" i="2"/>
  <c r="E36" i="2"/>
  <c r="N50" i="2"/>
  <c r="M50" i="2"/>
  <c r="L50" i="2"/>
  <c r="K50" i="2"/>
  <c r="G50" i="2"/>
  <c r="F50" i="2"/>
  <c r="C50" i="2"/>
  <c r="N49" i="2"/>
  <c r="M49" i="2"/>
  <c r="L49" i="2"/>
  <c r="K49" i="2"/>
  <c r="G49" i="2"/>
  <c r="F49" i="2"/>
  <c r="C49" i="2"/>
  <c r="N48" i="2"/>
  <c r="M48" i="2"/>
  <c r="L48" i="2"/>
  <c r="K48" i="2"/>
  <c r="G48" i="2"/>
  <c r="F48" i="2"/>
  <c r="C48" i="2"/>
  <c r="N47" i="2"/>
  <c r="M47" i="2"/>
  <c r="L47" i="2"/>
  <c r="K47" i="2"/>
  <c r="G47" i="2"/>
  <c r="F47" i="2"/>
  <c r="C47" i="2"/>
  <c r="N46" i="2"/>
  <c r="M46" i="2"/>
  <c r="L46" i="2"/>
  <c r="K46" i="2"/>
  <c r="G46" i="2"/>
  <c r="F46" i="2"/>
  <c r="C46" i="2"/>
  <c r="N45" i="2"/>
  <c r="M45" i="2"/>
  <c r="L45" i="2"/>
  <c r="K45" i="2"/>
  <c r="G45" i="2"/>
  <c r="F45" i="2"/>
  <c r="C45" i="2"/>
  <c r="N44" i="2"/>
  <c r="M44" i="2"/>
  <c r="L44" i="2"/>
  <c r="K44" i="2"/>
  <c r="G44" i="2"/>
  <c r="F44" i="2"/>
  <c r="C44" i="2"/>
  <c r="N43" i="2"/>
  <c r="M43" i="2"/>
  <c r="L43" i="2"/>
  <c r="K43" i="2"/>
  <c r="G43" i="2"/>
  <c r="F43" i="2"/>
  <c r="C43" i="2"/>
  <c r="N42" i="2"/>
  <c r="M42" i="2"/>
  <c r="L42" i="2"/>
  <c r="K42" i="2"/>
  <c r="G42" i="2"/>
  <c r="F42" i="2"/>
  <c r="C42" i="2"/>
  <c r="N41" i="2"/>
  <c r="M41" i="2"/>
  <c r="L41" i="2"/>
  <c r="K41" i="2"/>
  <c r="G41" i="2"/>
  <c r="F41" i="2"/>
  <c r="C41" i="2"/>
  <c r="N40" i="2"/>
  <c r="M40" i="2"/>
  <c r="L40" i="2"/>
  <c r="K40" i="2"/>
  <c r="G40" i="2"/>
  <c r="F40" i="2"/>
  <c r="C40" i="2"/>
  <c r="N39" i="2"/>
  <c r="M39" i="2"/>
  <c r="L39" i="2"/>
  <c r="K39" i="2"/>
  <c r="G39" i="2"/>
  <c r="F39" i="2"/>
  <c r="C39" i="2"/>
  <c r="N38" i="2"/>
  <c r="M38" i="2"/>
  <c r="L38" i="2"/>
  <c r="K38" i="2"/>
  <c r="G38" i="2"/>
  <c r="F38" i="2"/>
  <c r="C38" i="2"/>
  <c r="N37" i="2"/>
  <c r="M37" i="2"/>
  <c r="L37" i="2"/>
  <c r="K37" i="2"/>
  <c r="G37" i="2"/>
  <c r="F37" i="2"/>
  <c r="C37" i="2"/>
  <c r="D18" i="2"/>
  <c r="H18" i="2"/>
  <c r="H19" i="2"/>
  <c r="H20" i="2"/>
  <c r="H21" i="2"/>
  <c r="H10" i="2"/>
  <c r="N36" i="2"/>
  <c r="H6" i="2"/>
  <c r="M36" i="2"/>
  <c r="H8" i="2"/>
  <c r="L36" i="2"/>
  <c r="H5" i="2"/>
  <c r="K36" i="2"/>
  <c r="G36" i="2"/>
  <c r="F36" i="2"/>
  <c r="C36" i="2"/>
  <c r="H26" i="2"/>
  <c r="D28" i="2"/>
  <c r="E28" i="2"/>
  <c r="I29" i="2"/>
  <c r="H29" i="2"/>
  <c r="H25" i="2"/>
  <c r="D27" i="2"/>
  <c r="E27" i="2"/>
  <c r="I28" i="2"/>
  <c r="H28" i="2"/>
  <c r="H14" i="2"/>
  <c r="H15" i="2"/>
  <c r="D15" i="2"/>
  <c r="D20" i="2"/>
  <c r="H16" i="2"/>
  <c r="D16" i="2"/>
  <c r="D21" i="2"/>
  <c r="D22" i="2"/>
  <c r="K23" i="2"/>
  <c r="K20" i="2"/>
  <c r="K21" i="2"/>
  <c r="K22" i="2"/>
  <c r="I21" i="2"/>
  <c r="I4" i="2"/>
  <c r="I10" i="2"/>
  <c r="I8" i="2"/>
  <c r="E8" i="2"/>
  <c r="I7" i="2"/>
  <c r="H7" i="2"/>
  <c r="I6" i="2"/>
  <c r="I5" i="2"/>
  <c r="F2" i="2"/>
  <c r="E2" i="2"/>
  <c r="G1" i="2"/>
</calcChain>
</file>

<file path=xl/sharedStrings.xml><?xml version="1.0" encoding="utf-8"?>
<sst xmlns="http://schemas.openxmlformats.org/spreadsheetml/2006/main" count="73" uniqueCount="69">
  <si>
    <t>Stock</t>
  </si>
  <si>
    <t>UAA</t>
  </si>
  <si>
    <t>Expiry - Years</t>
  </si>
  <si>
    <t>Implied Volatility</t>
  </si>
  <si>
    <t>Value Date</t>
  </si>
  <si>
    <t>Expiry - Date</t>
  </si>
  <si>
    <t>Option type</t>
  </si>
  <si>
    <t>C</t>
  </si>
  <si>
    <t>Call</t>
  </si>
  <si>
    <t>Put</t>
  </si>
  <si>
    <t>Volatility on path</t>
  </si>
  <si>
    <t>PV</t>
  </si>
  <si>
    <t>Spot</t>
  </si>
  <si>
    <t>Delta</t>
  </si>
  <si>
    <t>Strike</t>
  </si>
  <si>
    <t>Gamma</t>
  </si>
  <si>
    <t>Expiry (years)</t>
  </si>
  <si>
    <t>Theta</t>
  </si>
  <si>
    <t>Volatility</t>
  </si>
  <si>
    <t>Vega</t>
  </si>
  <si>
    <t>Domestic Rate</t>
  </si>
  <si>
    <t>Div. Yield</t>
  </si>
  <si>
    <t>Theta 1-day</t>
  </si>
  <si>
    <t>Bump (% Spot)</t>
  </si>
  <si>
    <t>d1</t>
  </si>
  <si>
    <t>d2</t>
  </si>
  <si>
    <t>Bump</t>
  </si>
  <si>
    <t>d1 Up</t>
  </si>
  <si>
    <t>Spot Up</t>
  </si>
  <si>
    <t>d1 Down</t>
  </si>
  <si>
    <t>Spot Down</t>
  </si>
  <si>
    <t>Expiry Date</t>
  </si>
  <si>
    <t>TShort</t>
  </si>
  <si>
    <t>d1 with 1 day less</t>
  </si>
  <si>
    <t>Call Delta Up</t>
  </si>
  <si>
    <t>d2 with 1 day less</t>
  </si>
  <si>
    <t>pos delta up</t>
  </si>
  <si>
    <t>Call Delta Down</t>
  </si>
  <si>
    <t>PV with 1 day less</t>
  </si>
  <si>
    <t>pos delta down</t>
  </si>
  <si>
    <t>Gamma computed with bumps</t>
  </si>
  <si>
    <t>pos gamma</t>
  </si>
  <si>
    <t>(1%)</t>
  </si>
  <si>
    <t>Vol Bump</t>
  </si>
  <si>
    <t>Vol Up</t>
  </si>
  <si>
    <t>Vol Down</t>
  </si>
  <si>
    <t>vol up</t>
  </si>
  <si>
    <t>vol down</t>
  </si>
  <si>
    <t>PV Vol Up</t>
  </si>
  <si>
    <t>PV Vol Down</t>
  </si>
  <si>
    <t>Date</t>
  </si>
  <si>
    <t>Trade type</t>
  </si>
  <si>
    <t>Underlying</t>
  </si>
  <si>
    <t>Amount</t>
  </si>
  <si>
    <t>Multiplier</t>
  </si>
  <si>
    <t>Currency</t>
  </si>
  <si>
    <t>Mkt Value</t>
  </si>
  <si>
    <t>Mkt Px</t>
  </si>
  <si>
    <t>Traded Px</t>
  </si>
  <si>
    <t>P&amp;L</t>
  </si>
  <si>
    <t>Delta USD</t>
  </si>
  <si>
    <t>Vega 1%</t>
  </si>
  <si>
    <t>Gamma 1%</t>
  </si>
  <si>
    <t>Delta Call</t>
  </si>
  <si>
    <t>Net delta</t>
  </si>
  <si>
    <t>T remaining</t>
  </si>
  <si>
    <t>Option</t>
  </si>
  <si>
    <t>Delta traded (t-1)</t>
  </si>
  <si>
    <t>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</si>
</sst>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3" formatCode="_-* #,##0.00_-;\-* #,##0.00_-;_-* &quot;-&quot;??_-;_-@_-"/>
    <numFmt numFmtId="164" formatCode="0.0%"/>
    <numFmt numFmtId="165" formatCode="[$-409]dd\-mmm\-yy;@"/>
    <numFmt numFmtId="166" formatCode="[$-409]d\-mmm\-yy;@"/>
    <numFmt numFmtId="167" formatCode="0.0000"/>
    <numFmt numFmtId="168" formatCode="0.000"/>
    <numFmt numFmtId="169" formatCode="_-* #,##0_-;\-* #,##0_-;_-* &quot;-&quot;??_-;_-@_-"/>
    <numFmt numFmtId="170" formatCode="0.0000_ ;\-0.0000\ "/>
    <numFmt numFmtId="171" formatCode="0.00_ ;\-0.00\ "/>
    <numFmt numFmtId="172" formatCode="#,##0_ ;\-#,##0\ "/>
    <numFmt numFmtId="173" formatCode="_-* #,##0.00\ _F_-;\-* #,##0.00\ _F_-;_-* &quot;-&quot;??\ _F_-;_-@_-"/>
  </numFmts>
  <fonts count="1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</font>
    <font>
      <sz val="12"/>
      <color rgb="FF000000"/>
      <name val="Lucida Grande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CC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73" fontId="7" fillId="0" borderId="0" applyFont="0" applyFill="0" applyBorder="0" applyAlignment="0" applyProtection="0"/>
    <xf numFmtId="0" fontId="7" fillId="0" borderId="0"/>
    <xf numFmtId="9" fontId="7" fillId="0" borderId="0" applyFont="0" applyFill="0" applyBorder="0" applyAlignment="0" applyProtection="0"/>
  </cellStyleXfs>
  <cellXfs count="53">
    <xf numFmtId="0" fontId="0" fillId="0" borderId="0" xfId="0"/>
    <xf numFmtId="0" fontId="4" fillId="2" borderId="0" xfId="0" applyFont="1" applyFill="1" applyAlignment="1">
      <alignment horizontal="right" vertical="center"/>
    </xf>
    <xf numFmtId="0" fontId="2" fillId="3" borderId="0" xfId="0" applyFont="1" applyFill="1" applyAlignment="1">
      <alignment horizontal="center"/>
    </xf>
    <xf numFmtId="2" fontId="2" fillId="3" borderId="0" xfId="0" applyNumberFormat="1" applyFont="1" applyFill="1" applyAlignment="1">
      <alignment horizontal="center"/>
    </xf>
    <xf numFmtId="0" fontId="0" fillId="4" borderId="0" xfId="0" applyFill="1"/>
    <xf numFmtId="0" fontId="2" fillId="4" borderId="1" xfId="0" applyFont="1" applyFill="1" applyBorder="1" applyAlignment="1">
      <alignment horizontal="right"/>
    </xf>
    <xf numFmtId="164" fontId="2" fillId="4" borderId="2" xfId="2" applyNumberFormat="1" applyFont="1" applyFill="1" applyBorder="1" applyAlignment="1">
      <alignment horizontal="center"/>
    </xf>
    <xf numFmtId="0" fontId="2" fillId="4" borderId="2" xfId="0" applyFont="1" applyFill="1" applyBorder="1"/>
    <xf numFmtId="0" fontId="2" fillId="4" borderId="3" xfId="0" applyFont="1" applyFill="1" applyBorder="1"/>
    <xf numFmtId="165" fontId="0" fillId="5" borderId="0" xfId="0" applyNumberFormat="1" applyFill="1" applyAlignment="1">
      <alignment horizontal="center"/>
    </xf>
    <xf numFmtId="166" fontId="2" fillId="3" borderId="0" xfId="0" applyNumberFormat="1" applyFont="1" applyFill="1" applyAlignment="1">
      <alignment horizontal="center"/>
    </xf>
    <xf numFmtId="0" fontId="3" fillId="4" borderId="0" xfId="0" applyFont="1" applyFill="1" applyAlignment="1">
      <alignment horizontal="center"/>
    </xf>
    <xf numFmtId="167" fontId="0" fillId="4" borderId="0" xfId="0" applyNumberFormat="1" applyFill="1"/>
    <xf numFmtId="0" fontId="0" fillId="4" borderId="0" xfId="0" applyFill="1" applyAlignment="1">
      <alignment horizontal="center"/>
    </xf>
    <xf numFmtId="0" fontId="2" fillId="4" borderId="0" xfId="0" applyFont="1" applyFill="1" applyAlignment="1">
      <alignment horizontal="center"/>
    </xf>
    <xf numFmtId="0" fontId="0" fillId="4" borderId="0" xfId="0" applyFill="1" applyAlignment="1">
      <alignment horizontal="right"/>
    </xf>
    <xf numFmtId="168" fontId="2" fillId="4" borderId="0" xfId="0" applyNumberFormat="1" applyFont="1" applyFill="1" applyAlignment="1">
      <alignment horizontal="center" vertical="center"/>
    </xf>
    <xf numFmtId="1" fontId="0" fillId="4" borderId="0" xfId="0" applyNumberFormat="1" applyFill="1"/>
    <xf numFmtId="167" fontId="0" fillId="6" borderId="0" xfId="0" applyNumberFormat="1" applyFont="1" applyFill="1" applyAlignment="1">
      <alignment horizontal="center"/>
    </xf>
    <xf numFmtId="169" fontId="0" fillId="4" borderId="0" xfId="1" applyNumberFormat="1" applyFont="1" applyFill="1"/>
    <xf numFmtId="9" fontId="0" fillId="4" borderId="0" xfId="0" applyNumberFormat="1" applyFill="1" applyAlignment="1">
      <alignment horizontal="center"/>
    </xf>
    <xf numFmtId="167" fontId="2" fillId="6" borderId="0" xfId="0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center"/>
    </xf>
    <xf numFmtId="10" fontId="2" fillId="3" borderId="0" xfId="0" applyNumberFormat="1" applyFont="1" applyFill="1" applyAlignment="1">
      <alignment horizontal="center"/>
    </xf>
    <xf numFmtId="168" fontId="2" fillId="6" borderId="0" xfId="0" applyNumberFormat="1" applyFont="1" applyFill="1" applyAlignment="1">
      <alignment horizontal="center" vertical="center"/>
    </xf>
    <xf numFmtId="0" fontId="0" fillId="4" borderId="4" xfId="0" applyFill="1" applyBorder="1"/>
    <xf numFmtId="0" fontId="0" fillId="4" borderId="4" xfId="0" applyFill="1" applyBorder="1" applyAlignment="1">
      <alignment horizontal="right"/>
    </xf>
    <xf numFmtId="10" fontId="2" fillId="3" borderId="4" xfId="0" applyNumberFormat="1" applyFont="1" applyFill="1" applyBorder="1" applyAlignment="1">
      <alignment horizontal="center"/>
    </xf>
    <xf numFmtId="43" fontId="0" fillId="4" borderId="0" xfId="1" applyFont="1" applyFill="1"/>
    <xf numFmtId="165" fontId="0" fillId="4" borderId="0" xfId="0" applyNumberFormat="1" applyFill="1"/>
    <xf numFmtId="3" fontId="0" fillId="5" borderId="0" xfId="0" applyNumberFormat="1" applyFill="1"/>
    <xf numFmtId="3" fontId="0" fillId="4" borderId="0" xfId="0" applyNumberFormat="1" applyFill="1"/>
    <xf numFmtId="0" fontId="0" fillId="4" borderId="0" xfId="0" quotePrefix="1" applyFill="1"/>
    <xf numFmtId="10" fontId="0" fillId="4" borderId="0" xfId="0" applyNumberFormat="1" applyFill="1"/>
    <xf numFmtId="0" fontId="0" fillId="4" borderId="5" xfId="0" applyFill="1" applyBorder="1"/>
    <xf numFmtId="0" fontId="0" fillId="4" borderId="5" xfId="0" applyFill="1" applyBorder="1" applyAlignment="1">
      <alignment horizontal="right"/>
    </xf>
    <xf numFmtId="3" fontId="0" fillId="4" borderId="0" xfId="0" applyNumberFormat="1" applyFill="1" applyAlignment="1">
      <alignment horizontal="center"/>
    </xf>
    <xf numFmtId="2" fontId="0" fillId="4" borderId="0" xfId="0" applyNumberFormat="1" applyFill="1" applyAlignment="1">
      <alignment horizontal="left"/>
    </xf>
    <xf numFmtId="0" fontId="6" fillId="4" borderId="0" xfId="0" applyFont="1" applyFill="1" applyAlignment="1">
      <alignment horizontal="right" vertical="center"/>
    </xf>
    <xf numFmtId="3" fontId="6" fillId="4" borderId="0" xfId="0" applyNumberFormat="1" applyFont="1" applyFill="1" applyAlignment="1">
      <alignment horizontal="center" vertical="center"/>
    </xf>
    <xf numFmtId="0" fontId="2" fillId="4" borderId="0" xfId="0" applyFont="1" applyFill="1"/>
    <xf numFmtId="3" fontId="0" fillId="3" borderId="0" xfId="0" applyNumberFormat="1" applyFont="1" applyFill="1"/>
    <xf numFmtId="0" fontId="0" fillId="5" borderId="0" xfId="0" applyFill="1" applyAlignment="1">
      <alignment horizontal="center"/>
    </xf>
    <xf numFmtId="170" fontId="1" fillId="6" borderId="0" xfId="1" applyNumberFormat="1" applyFont="1" applyFill="1" applyAlignment="1">
      <alignment vertical="center"/>
    </xf>
    <xf numFmtId="170" fontId="0" fillId="3" borderId="0" xfId="0" applyNumberFormat="1" applyFill="1"/>
    <xf numFmtId="38" fontId="1" fillId="6" borderId="0" xfId="1" applyNumberFormat="1" applyFont="1" applyFill="1" applyAlignment="1">
      <alignment horizontal="center" vertical="center"/>
    </xf>
    <xf numFmtId="171" fontId="1" fillId="6" borderId="0" xfId="1" applyNumberFormat="1" applyFont="1" applyFill="1" applyAlignment="1">
      <alignment vertical="center"/>
    </xf>
    <xf numFmtId="171" fontId="0" fillId="3" borderId="0" xfId="0" applyNumberFormat="1" applyFill="1"/>
    <xf numFmtId="172" fontId="0" fillId="4" borderId="0" xfId="1" applyNumberFormat="1" applyFont="1" applyFill="1"/>
    <xf numFmtId="3" fontId="0" fillId="3" borderId="0" xfId="0" applyNumberFormat="1" applyFill="1"/>
    <xf numFmtId="10" fontId="2" fillId="3" borderId="0" xfId="2" applyNumberFormat="1" applyFont="1" applyFill="1" applyAlignment="1">
      <alignment horizontal="center" vertical="center"/>
    </xf>
    <xf numFmtId="38" fontId="2" fillId="6" borderId="0" xfId="1" applyNumberFormat="1" applyFont="1" applyFill="1" applyAlignment="1">
      <alignment horizontal="center" vertical="center"/>
    </xf>
    <xf numFmtId="171" fontId="0" fillId="6" borderId="0" xfId="1" applyNumberFormat="1" applyFont="1" applyFill="1" applyAlignment="1">
      <alignment vertical="center"/>
    </xf>
  </cellXfs>
  <cellStyles count="6">
    <cellStyle name="Comma" xfId="1" builtinId="3"/>
    <cellStyle name="Comma 2" xfId="3"/>
    <cellStyle name="Normal" xfId="0" builtinId="0"/>
    <cellStyle name="Normal 2" xfId="4"/>
    <cellStyle name="Percent" xfId="2" builtinId="5"/>
    <cellStyle name="Percent 2" xfId="5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3</xdr:row>
          <xdr:rowOff>0</xdr:rowOff>
        </xdr:from>
        <xdr:to>
          <xdr:col>13</xdr:col>
          <xdr:colOff>101600</xdr:colOff>
          <xdr:row>4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Simulate stock path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ptions_risk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Trade1"/>
      <sheetName val="Simulation"/>
      <sheetName val="options_risk.xlsm"/>
    </sheetNames>
    <sheetDataSet>
      <sheetData sheetId="0" refreshError="1"/>
      <sheetData sheetId="1"/>
      <sheetData sheetId="2">
        <row r="3">
          <cell r="C3">
            <v>2.7803245399425136E-2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FFFF00"/>
  </sheetPr>
  <dimension ref="A1:Z707"/>
  <sheetViews>
    <sheetView tabSelected="1" topLeftCell="A32" workbookViewId="0">
      <selection activeCell="K42" sqref="K42"/>
    </sheetView>
  </sheetViews>
  <sheetFormatPr baseColWidth="10" defaultRowHeight="15" x14ac:dyDescent="0"/>
  <cols>
    <col min="1" max="1" width="10.33203125" customWidth="1"/>
    <col min="2" max="2" width="10" customWidth="1"/>
    <col min="3" max="3" width="26.83203125" customWidth="1"/>
    <col min="4" max="4" width="12" customWidth="1"/>
    <col min="5" max="5" width="9.83203125" customWidth="1"/>
    <col min="6" max="6" width="8.1640625" customWidth="1"/>
    <col min="7" max="7" width="14" customWidth="1"/>
    <col min="8" max="8" width="10.33203125" customWidth="1"/>
    <col min="9" max="9" width="12.83203125" customWidth="1"/>
    <col min="10" max="10" width="12.5" customWidth="1"/>
    <col min="11" max="11" width="14.6640625" customWidth="1"/>
    <col min="12" max="12" width="11.6640625" customWidth="1"/>
    <col min="14" max="14" width="11.5" customWidth="1"/>
    <col min="15" max="15" width="6" customWidth="1"/>
    <col min="16" max="16" width="11.83203125" bestFit="1" customWidth="1"/>
    <col min="17" max="17" width="15" customWidth="1"/>
  </cols>
  <sheetData>
    <row r="1" spans="1:26">
      <c r="A1" s="1" t="s">
        <v>0</v>
      </c>
      <c r="B1" s="2" t="s">
        <v>1</v>
      </c>
      <c r="C1" s="1" t="s">
        <v>2</v>
      </c>
      <c r="D1" s="3"/>
      <c r="E1" s="4"/>
      <c r="F1" s="4"/>
      <c r="G1" s="5" t="str">
        <f>IF(D36&gt;0, "Bought", "Sold") &amp; " at"</f>
        <v>Bought at</v>
      </c>
      <c r="H1" s="6">
        <v>0.65400000000000003</v>
      </c>
      <c r="I1" s="7" t="s">
        <v>3</v>
      </c>
      <c r="J1" s="8"/>
      <c r="K1" s="4"/>
      <c r="L1" s="4"/>
      <c r="M1" s="4"/>
      <c r="N1" s="4"/>
      <c r="O1" s="4"/>
      <c r="P1" s="4"/>
      <c r="Q1" s="4"/>
      <c r="R1" s="4"/>
      <c r="S1" s="4"/>
      <c r="U1" s="4"/>
      <c r="V1" s="4"/>
      <c r="W1" s="4"/>
      <c r="X1" s="4"/>
      <c r="Y1" s="4"/>
      <c r="Z1" s="4"/>
    </row>
    <row r="2" spans="1:26">
      <c r="A2" s="1" t="s">
        <v>4</v>
      </c>
      <c r="B2" s="9">
        <f ca="1">TODAY()</f>
        <v>43491</v>
      </c>
      <c r="C2" s="1" t="s">
        <v>5</v>
      </c>
      <c r="D2" s="10">
        <v>43511</v>
      </c>
      <c r="E2" s="4" t="str">
        <f ca="1">"( "&amp;F2&amp;" days)"</f>
        <v>( 20 days)</v>
      </c>
      <c r="F2" s="11">
        <f ca="1">D2-B2</f>
        <v>20</v>
      </c>
      <c r="G2" s="4"/>
      <c r="H2" s="12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>
      <c r="A3" s="1" t="s">
        <v>6</v>
      </c>
      <c r="B3" s="2" t="s">
        <v>7</v>
      </c>
      <c r="C3" s="4"/>
      <c r="D3" s="4"/>
      <c r="E3" s="4"/>
      <c r="F3" s="4"/>
      <c r="G3" s="4"/>
      <c r="H3" s="13" t="s">
        <v>8</v>
      </c>
      <c r="I3" s="13" t="s">
        <v>9</v>
      </c>
      <c r="J3" s="4"/>
      <c r="K3" s="14" t="s">
        <v>10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>
      <c r="A4" s="4"/>
      <c r="B4" s="4"/>
      <c r="C4" s="15"/>
      <c r="D4" s="16"/>
      <c r="E4" s="17"/>
      <c r="F4" s="4"/>
      <c r="G4" s="15" t="s">
        <v>11</v>
      </c>
      <c r="H4" s="18">
        <f ca="1">S_0*EXP(-q*T)*_xlfn.NORM.S.DIST(d_1,1)-K*EXP(-r_dom*T)*_xlfn.NORM.S.DIST(d_2,1)</f>
        <v>1.1405563266446652</v>
      </c>
      <c r="I4" s="18">
        <f ca="1">K*EXP(-r_dom*T)*_xlfn.NORM.S.DIST(-d_2,1)-S_0*EXP(-q*T)*_xlfn.NORM.S.DIST(-d_1,1)</f>
        <v>1.3511001366943454</v>
      </c>
      <c r="J4" s="4"/>
      <c r="K4" s="50">
        <v>0.65400000000000003</v>
      </c>
      <c r="L4" s="19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>
      <c r="A5" s="4"/>
      <c r="B5" s="4"/>
      <c r="C5" s="15" t="s">
        <v>12</v>
      </c>
      <c r="D5" s="3">
        <v>20.28</v>
      </c>
      <c r="E5" s="20">
        <v>0</v>
      </c>
      <c r="F5" s="4"/>
      <c r="G5" s="15" t="s">
        <v>13</v>
      </c>
      <c r="H5" s="21">
        <f ca="1">_xlfn.NORM.S.DIST(d_1,1)*EXP(-q*T)</f>
        <v>0.50328207450159623</v>
      </c>
      <c r="I5" s="21">
        <f ca="1">H5-1</f>
        <v>-0.49671792549840377</v>
      </c>
      <c r="J5" s="4"/>
      <c r="K5" s="50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>
      <c r="A6" s="4"/>
      <c r="B6" s="4"/>
      <c r="C6" s="15" t="s">
        <v>14</v>
      </c>
      <c r="D6" s="3">
        <v>20.5</v>
      </c>
      <c r="E6" s="4"/>
      <c r="F6" s="4"/>
      <c r="G6" s="15" t="s">
        <v>15</v>
      </c>
      <c r="H6" s="21">
        <f ca="1">EXP(-q*T)*_xlfn.NORM.S.DIST(d_1,0)/(S_0*sigma*SQRT(T))</f>
        <v>0.12841023670895454</v>
      </c>
      <c r="I6" s="21">
        <f ca="1">K*EXP(-r_dom*T)*_xlfn.NORM.S.DIST(d_2,0)/(sigma*SQRT(T)*S_0^2)</f>
        <v>0.12841023670895452</v>
      </c>
      <c r="J6" s="12"/>
      <c r="K6" s="12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>
      <c r="A7" s="4"/>
      <c r="B7" s="4"/>
      <c r="C7" s="15" t="s">
        <v>16</v>
      </c>
      <c r="D7" s="18">
        <f ca="1">IF(D1="",(D2-B2)/365,D1)</f>
        <v>5.4794520547945202E-2</v>
      </c>
      <c r="E7" s="22"/>
      <c r="F7" s="4"/>
      <c r="G7" s="15" t="s">
        <v>17</v>
      </c>
      <c r="H7" s="18">
        <f ca="1">-EXP(-q*T)*S_0*_xlfn.NORM.S.DIST(d_1,0)*sigma/(2*SQRT(T))-r_dom*K*EXP(-r_dom*T)*_xlfn.NORM.S.DIST(d_2,1)+q*S_0*EXP(-q*T)*_xlfn.NORM.S.DIST(d_1,1)</f>
        <v>-11.356248303942442</v>
      </c>
      <c r="I7" s="18">
        <f ca="1">-EXP(-q*T)*(S_0*_xlfn.NORM.S.DIST(d_1,0)*sigma)/(2*SQRT(T))+r_dom*K*EXP(-r_dom*T)*_xlfn.NORM.S.DIST(-d_2,1)-q*S_0*EXP(-q*T)*_xlfn.NORM.S.DIST(-d_1,1)</f>
        <v>-11.183821304982581</v>
      </c>
      <c r="J7" s="12"/>
      <c r="K7" s="12"/>
      <c r="L7" s="12"/>
      <c r="M7" s="12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>
      <c r="A8" s="4"/>
      <c r="B8" s="4"/>
      <c r="C8" s="15" t="s">
        <v>18</v>
      </c>
      <c r="D8" s="23">
        <v>0.65400000000000003</v>
      </c>
      <c r="E8" s="4" t="str">
        <f>"("&amp;ROUND(sigma/SQRT(260)*100,2)&amp;"% daily)"</f>
        <v>(4.06% daily)</v>
      </c>
      <c r="F8" s="4"/>
      <c r="G8" s="15" t="s">
        <v>19</v>
      </c>
      <c r="H8" s="24">
        <f ca="1">S_0*EXP(-q*T)*_xlfn.NORM.S.DIST(d_1,0)*SQRT(T)/100</f>
        <v>1.8925633578093796E-2</v>
      </c>
      <c r="I8" s="24">
        <f ca="1">K*EXP(-r_dom*T)*_xlfn.NORM.S.DIST(d_2,0)*SQRT(T)/100</f>
        <v>1.8925633578093792E-2</v>
      </c>
      <c r="J8" s="12"/>
      <c r="K8" s="12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>
      <c r="A9" s="4"/>
      <c r="B9" s="4"/>
      <c r="C9" s="15" t="s">
        <v>20</v>
      </c>
      <c r="D9" s="23">
        <v>0.02</v>
      </c>
      <c r="E9" s="4"/>
      <c r="F9" s="4"/>
      <c r="G9" s="15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>
      <c r="A10" s="4"/>
      <c r="B10" s="4"/>
      <c r="C10" s="15" t="s">
        <v>21</v>
      </c>
      <c r="D10" s="23">
        <v>1.17E-2</v>
      </c>
      <c r="E10" s="4"/>
      <c r="F10" s="4"/>
      <c r="G10" s="15" t="s">
        <v>22</v>
      </c>
      <c r="H10" s="18">
        <f ca="1">H21-PVCall</f>
        <v>-3.1511267450543556E-2</v>
      </c>
      <c r="I10" s="18">
        <f ca="1">I21-PVPut</f>
        <v>-3.1038844384188025E-2</v>
      </c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>
      <c r="A11" s="4"/>
      <c r="B11" s="4"/>
      <c r="C11" s="4"/>
      <c r="D11" s="4"/>
      <c r="E11" s="4"/>
      <c r="F11" s="4"/>
      <c r="G11" s="15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6" hidden="1" customHeight="1">
      <c r="A12" s="25"/>
      <c r="B12" s="25"/>
      <c r="C12" s="25"/>
      <c r="D12" s="25"/>
      <c r="E12" s="25"/>
      <c r="F12" s="25"/>
      <c r="G12" s="26" t="s">
        <v>23</v>
      </c>
      <c r="H12" s="27">
        <v>0.01</v>
      </c>
      <c r="I12" s="25"/>
      <c r="J12" s="25"/>
      <c r="K12" s="25"/>
      <c r="L12" s="25"/>
      <c r="M12" s="25"/>
      <c r="N12" s="25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6" hidden="1" customHeight="1">
      <c r="A13" s="4"/>
      <c r="B13" s="4"/>
      <c r="C13" s="15" t="s">
        <v>24</v>
      </c>
      <c r="D13" s="4">
        <f ca="1">((LN(S_0/K)+(r_dom-q+sigma^2/2)*T))/(sigma*SQRT(T))</f>
        <v>9.0360918165451158E-3</v>
      </c>
      <c r="E13" s="4"/>
      <c r="F13" s="4"/>
      <c r="G13" s="15"/>
      <c r="H13" s="28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6" hidden="1" customHeight="1">
      <c r="A14" s="4"/>
      <c r="B14" s="4"/>
      <c r="C14" s="15" t="s">
        <v>25</v>
      </c>
      <c r="D14" s="4">
        <f ca="1">d_1-sigma*SQRT(T)</f>
        <v>-0.14405372871599367</v>
      </c>
      <c r="E14" s="4"/>
      <c r="F14" s="4"/>
      <c r="G14" s="15" t="s">
        <v>26</v>
      </c>
      <c r="H14" s="28">
        <f>H12*S_0</f>
        <v>0.20280000000000001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6" hidden="1" customHeight="1">
      <c r="A15" s="4"/>
      <c r="B15" s="4"/>
      <c r="C15" s="15" t="s">
        <v>27</v>
      </c>
      <c r="D15" s="4">
        <f ca="1">(LN(S_0_Up/K)+(r_dom-q+sigma^2/2)*T)/(sigma*SQRT(T))</f>
        <v>7.4032776890410684E-2</v>
      </c>
      <c r="E15" s="4"/>
      <c r="F15" s="4"/>
      <c r="G15" s="15" t="s">
        <v>28</v>
      </c>
      <c r="H15" s="4">
        <f>S_0+bump</f>
        <v>20.482800000000001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6" hidden="1" customHeight="1">
      <c r="A16" s="4"/>
      <c r="B16" s="4"/>
      <c r="C16" s="15" t="s">
        <v>29</v>
      </c>
      <c r="D16" s="4">
        <f ca="1">(LN(S_0_Down/K)+(r_dom-q+sigma^2/2)*T)/(sigma*SQRT(T))</f>
        <v>-5.6613837215577077E-2</v>
      </c>
      <c r="E16" s="4"/>
      <c r="F16" s="4"/>
      <c r="G16" s="15" t="s">
        <v>30</v>
      </c>
      <c r="H16" s="4">
        <f>S_0-bump</f>
        <v>20.077200000000001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6" hidden="1" customHeight="1">
      <c r="A17" s="4"/>
      <c r="B17" s="4"/>
      <c r="C17" s="4"/>
      <c r="D17" s="4"/>
      <c r="E17" s="4"/>
      <c r="F17" s="4"/>
      <c r="G17" s="15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6" hidden="1" customHeight="1">
      <c r="A18" s="4"/>
      <c r="B18" s="4"/>
      <c r="C18" s="15" t="s">
        <v>31</v>
      </c>
      <c r="D18" s="29">
        <f ca="1">B2+T*365</f>
        <v>43511</v>
      </c>
      <c r="E18" s="4"/>
      <c r="F18" s="4"/>
      <c r="G18" s="15" t="s">
        <v>32</v>
      </c>
      <c r="H18" s="18">
        <f ca="1">(D18-B2-1)/365</f>
        <v>5.2054794520547946E-2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6" hidden="1" customHeight="1">
      <c r="A19" s="4"/>
      <c r="B19" s="4"/>
      <c r="C19" s="4"/>
      <c r="D19" s="4"/>
      <c r="E19" s="4"/>
      <c r="F19" s="4"/>
      <c r="G19" s="15" t="s">
        <v>33</v>
      </c>
      <c r="H19" s="4">
        <f ca="1">((LN(S_0/K)+(r_dom-q+sigma^2/2)*TShort))/(sigma*SQRT(TShort))</f>
        <v>5.1917663030890985E-3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6" hidden="1" customHeight="1">
      <c r="A20" s="4"/>
      <c r="B20" s="4"/>
      <c r="C20" s="15" t="s">
        <v>34</v>
      </c>
      <c r="D20" s="21">
        <f ca="1">_xlfn.NORM.S.DIST(d_1_up,1)*EXP(-q*T)</f>
        <v>0.52916849117369591</v>
      </c>
      <c r="E20" s="4"/>
      <c r="F20" s="4"/>
      <c r="G20" s="15" t="s">
        <v>35</v>
      </c>
      <c r="H20" s="4">
        <f ca="1">d_1_short-sigma*SQRT(TShort)</f>
        <v>-0.14402173339834773</v>
      </c>
      <c r="I20" s="4"/>
      <c r="J20" s="4" t="s">
        <v>36</v>
      </c>
      <c r="K20" s="30">
        <f ca="1">delta_up*S_0*Amount</f>
        <v>1073.1537001002555</v>
      </c>
      <c r="L20" s="31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6" hidden="1" customHeight="1">
      <c r="A21" s="4"/>
      <c r="B21" s="4"/>
      <c r="C21" s="15" t="s">
        <v>37</v>
      </c>
      <c r="D21" s="21">
        <f ca="1">_xlfn.NORM.S.DIST(d_1_down,1)*EXP(-q*T)</f>
        <v>0.47712042784459191</v>
      </c>
      <c r="E21" s="4"/>
      <c r="F21" s="4"/>
      <c r="G21" s="15" t="s">
        <v>38</v>
      </c>
      <c r="H21" s="18">
        <f ca="1">S_0*EXP(-q*TShort)*_xlfn.NORM.S.DIST(d_1_short,1)-K*EXP(-r_dom*TShort)*_xlfn.NORM.S.DIST(d_2_short,1)</f>
        <v>1.1090450591941217</v>
      </c>
      <c r="I21" s="18">
        <f ca="1">K*EXP(-r_dom*TShort)*_xlfn.NORM.S.DIST(-d_2_short,1)-S_0*EXP(-q*TShort)*_xlfn.NORM.S.DIST(-d_1_short,1)</f>
        <v>1.3200612923101573</v>
      </c>
      <c r="J21" s="4" t="s">
        <v>39</v>
      </c>
      <c r="K21" s="30">
        <f ca="1">delta_down*S_0*Amount</f>
        <v>967.60022766883242</v>
      </c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6" hidden="1" customHeight="1">
      <c r="A22" s="4"/>
      <c r="B22" s="4"/>
      <c r="C22" s="15" t="s">
        <v>40</v>
      </c>
      <c r="D22" s="21">
        <f ca="1">(D20-D21)/(2*bump)</f>
        <v>0.12832362753723867</v>
      </c>
      <c r="E22" s="4"/>
      <c r="F22" s="4"/>
      <c r="G22" s="4"/>
      <c r="H22" s="4"/>
      <c r="I22" s="4"/>
      <c r="J22" s="4" t="s">
        <v>41</v>
      </c>
      <c r="K22" s="30">
        <f ca="1">(K20-K21)/2</f>
        <v>52.776736215711537</v>
      </c>
      <c r="L22" s="32" t="s">
        <v>42</v>
      </c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6" hidden="1" customHeight="1">
      <c r="A23" s="4"/>
      <c r="B23" s="4"/>
      <c r="C23" s="4"/>
      <c r="D23" s="4"/>
      <c r="E23" s="4"/>
      <c r="F23" s="4"/>
      <c r="G23" s="4"/>
      <c r="H23" s="4"/>
      <c r="I23" s="4"/>
      <c r="J23" s="4"/>
      <c r="K23" s="30">
        <f ca="1">D22*Amount*S_0^2/100</f>
        <v>52.776736215711459</v>
      </c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6" hidden="1" customHeight="1">
      <c r="A24" s="4"/>
      <c r="B24" s="4"/>
      <c r="C24" s="4"/>
      <c r="D24" s="4"/>
      <c r="E24" s="4"/>
      <c r="F24" s="4"/>
      <c r="G24" s="15" t="s">
        <v>43</v>
      </c>
      <c r="H24" s="23">
        <v>1E-4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6" hidden="1" customHeight="1">
      <c r="A25" s="4"/>
      <c r="B25" s="4"/>
      <c r="C25" s="4"/>
      <c r="D25" s="4"/>
      <c r="E25" s="4"/>
      <c r="F25" s="4"/>
      <c r="G25" s="15" t="s">
        <v>44</v>
      </c>
      <c r="H25" s="33">
        <f>sigma+H24</f>
        <v>0.65410000000000001</v>
      </c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6" hidden="1" customHeight="1">
      <c r="A26" s="4"/>
      <c r="B26" s="4"/>
      <c r="C26" s="4"/>
      <c r="D26" s="4" t="s">
        <v>24</v>
      </c>
      <c r="E26" s="4" t="s">
        <v>25</v>
      </c>
      <c r="F26" s="4"/>
      <c r="G26" s="15" t="s">
        <v>45</v>
      </c>
      <c r="H26" s="33">
        <f>sigma-H24</f>
        <v>0.65390000000000004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6" hidden="1" customHeight="1">
      <c r="A27" s="4"/>
      <c r="B27" s="4"/>
      <c r="C27" s="4" t="s">
        <v>46</v>
      </c>
      <c r="D27" s="4">
        <f ca="1">((LN(S_0/K)+(r_dom-q+sigma_up^2/2)*T))/(sigma_up*SQRT(T))</f>
        <v>9.0581168024541098E-3</v>
      </c>
      <c r="E27" s="4">
        <f ca="1">D27-sigma_up*SQRT(T)</f>
        <v>-0.14405511195952389</v>
      </c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6" hidden="1" customHeight="1">
      <c r="A28" s="4"/>
      <c r="B28" s="4"/>
      <c r="C28" s="4" t="s">
        <v>47</v>
      </c>
      <c r="D28" s="4">
        <f ca="1">((LN(S_0/K)+(r_dom-q+sigma_down^2/2)*T))/(sigma_down*SQRT(T))</f>
        <v>9.0140636739237303E-3</v>
      </c>
      <c r="E28" s="4">
        <f ca="1">D28-sigma_down*SQRT(T)</f>
        <v>-0.14405234862917582</v>
      </c>
      <c r="F28" s="4"/>
      <c r="G28" s="15" t="s">
        <v>48</v>
      </c>
      <c r="H28" s="4">
        <f ca="1">S_0*EXP(-q*T)*_xlfn.NORM.S.DIST(d1_volUp,1)-K*EXP(-r_dom*T)*_xlfn.NORM.S.DIST(d2_volUp,1)</f>
        <v>1.1407455829615962</v>
      </c>
      <c r="I28" s="4">
        <f ca="1">K*EXP(-r_dom*T)*_xlfn.NORM.S.DIST(-d2_volUp,1)-S_0*EXP(-q*T)*_xlfn.NORM.S.DIST(-d1_volUp,1)</f>
        <v>1.3512893930112782</v>
      </c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6" hidden="1" customHeight="1">
      <c r="A29" s="34"/>
      <c r="B29" s="34"/>
      <c r="C29" s="34"/>
      <c r="D29" s="34"/>
      <c r="E29" s="34"/>
      <c r="F29" s="34"/>
      <c r="G29" s="35" t="s">
        <v>49</v>
      </c>
      <c r="H29" s="34">
        <f ca="1">S_0*EXP(-q*T)*_xlfn.NORM.S.DIST(d1_volDown,1)-K*EXP(-r_dom*T)*_xlfn.NORM.S.DIST(d2_volDown,1)</f>
        <v>1.1403670702900648</v>
      </c>
      <c r="I29" s="34">
        <f ca="1">K*EXP(-r_dom*T)*_xlfn.NORM.S.DIST(-d2_volDown,1)-S_0*EXP(-q*T)*_xlfn.NORM.S.DIST(-d1_volDown,1)</f>
        <v>1.3509108803397467</v>
      </c>
      <c r="J29" s="34"/>
      <c r="K29" s="34"/>
      <c r="L29" s="34"/>
      <c r="M29" s="34"/>
      <c r="N29" s="3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6" customHeight="1">
      <c r="A30" s="4"/>
      <c r="B30" s="4"/>
      <c r="C30" s="4"/>
      <c r="D30" s="4"/>
      <c r="E30" s="4"/>
      <c r="F30" s="4"/>
      <c r="G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6" customHeight="1">
      <c r="A31" s="4"/>
      <c r="B31" s="4"/>
      <c r="C31" s="4"/>
      <c r="D31" s="4"/>
      <c r="E31" s="4"/>
      <c r="F31" s="4"/>
      <c r="G31" s="4"/>
      <c r="H31" s="4"/>
      <c r="I31" s="4"/>
      <c r="J31" s="14" t="s">
        <v>59</v>
      </c>
      <c r="K31" s="31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6" customHeight="1">
      <c r="A32" s="4"/>
      <c r="B32" s="4"/>
      <c r="C32" s="4"/>
      <c r="D32" s="15"/>
      <c r="E32" s="36"/>
      <c r="F32" s="4"/>
      <c r="G32" s="37"/>
      <c r="H32" s="4"/>
      <c r="I32" s="4"/>
      <c r="J32" s="51">
        <f ca="1">SUM(J36:J2000)</f>
        <v>16652.158504020106</v>
      </c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6" customHeight="1">
      <c r="A33" s="4"/>
      <c r="B33" s="4"/>
      <c r="C33" s="4"/>
      <c r="D33" s="15"/>
      <c r="E33" s="36"/>
      <c r="F33" s="13"/>
      <c r="G33" s="37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>
      <c r="A34" s="4"/>
      <c r="B34" s="4"/>
      <c r="C34" s="4"/>
      <c r="D34" s="38"/>
      <c r="E34" s="39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>
      <c r="A35" s="14" t="s">
        <v>50</v>
      </c>
      <c r="B35" s="40" t="s">
        <v>51</v>
      </c>
      <c r="C35" s="14" t="s">
        <v>52</v>
      </c>
      <c r="D35" s="14" t="s">
        <v>53</v>
      </c>
      <c r="E35" s="14" t="s">
        <v>54</v>
      </c>
      <c r="F35" s="14" t="s">
        <v>55</v>
      </c>
      <c r="G35" s="14" t="s">
        <v>56</v>
      </c>
      <c r="H35" s="14" t="s">
        <v>57</v>
      </c>
      <c r="I35" s="14" t="s">
        <v>58</v>
      </c>
      <c r="J35" s="14" t="s">
        <v>59</v>
      </c>
      <c r="K35" s="14" t="s">
        <v>60</v>
      </c>
      <c r="L35" s="14" t="s">
        <v>61</v>
      </c>
      <c r="M35" s="14" t="s">
        <v>62</v>
      </c>
      <c r="N35" s="14" t="s">
        <v>22</v>
      </c>
      <c r="O35" s="4"/>
      <c r="P35" s="4" t="s">
        <v>63</v>
      </c>
      <c r="Q35" s="4" t="s">
        <v>67</v>
      </c>
      <c r="R35" s="4" t="s">
        <v>64</v>
      </c>
      <c r="S35" s="4"/>
      <c r="T35" s="4"/>
      <c r="U35" s="4" t="s">
        <v>65</v>
      </c>
      <c r="V35" s="4"/>
      <c r="W35" s="4"/>
      <c r="X35" s="4"/>
      <c r="Y35" s="4"/>
      <c r="Z35" s="4"/>
    </row>
    <row r="36" spans="1:26">
      <c r="A36" s="29">
        <v>43489</v>
      </c>
      <c r="B36" s="13" t="s">
        <v>66</v>
      </c>
      <c r="C36" s="15" t="str">
        <f>$B$1 &amp; " US " &amp; MONTH($D$2)&amp;"/"&amp;DAY($D$2)&amp;"/"&amp;YEAR($D$2) &amp; " " &amp; B3 &amp; K &amp; " Equity"</f>
        <v>UAA US 2/15/2019 C20.5 Equity</v>
      </c>
      <c r="D36" s="41">
        <v>100</v>
      </c>
      <c r="E36" s="42">
        <f>IF(B36="Delta", 1, IF(B36="Option", 100, ""))</f>
        <v>100</v>
      </c>
      <c r="F36" s="42" t="str">
        <f>IF(D36="","","USD")</f>
        <v>USD</v>
      </c>
      <c r="G36" s="30">
        <f ca="1">IF(D36="","",D36*E36*H36)</f>
        <v>11405.563266446652</v>
      </c>
      <c r="H36" s="43">
        <f t="shared" ref="H36:H50" ca="1" si="0">IF(B36="Option",IF(B3="C",PVCall,PVPut),IF(B36="Delta",S_0,""))</f>
        <v>1.1405563266446652</v>
      </c>
      <c r="I36" s="44">
        <v>1.1713</v>
      </c>
      <c r="J36" s="45">
        <f ca="1">IF(D36="","",(H36-I36)*E36*D36)</f>
        <v>-307.43673355334789</v>
      </c>
      <c r="K36" s="30">
        <f t="shared" ref="K36:K50" ca="1" si="1">IF(B36="Option",IF($B$3="C",D36*E36*S_0*deltaCall,D36*E36*S_0*deltaPut),IF(B36="Delta",D36*E36*S_0,""))</f>
        <v>102065.60470892371</v>
      </c>
      <c r="L36" s="30">
        <f t="shared" ref="L36:L50" ca="1" si="2">IF(B36="Option",IF($B$3="C",D36*E36*VegaCall,D36*E36*VegaPut),IF(B36="Delta",0,""))</f>
        <v>189.25633578093795</v>
      </c>
      <c r="M36" s="30">
        <f t="shared" ref="M36:M50" ca="1" si="3">IF(B36="Option",IF($B$3="C",D36*E36*S_0^2/100*GammaCall,D36*E36*S_0^2/100*GammaPut),IF(B36="Delta",0,""))</f>
        <v>5281.2356697280093</v>
      </c>
      <c r="N36" s="30">
        <f ca="1">IF(B36="Option",IF($B$3="C",D36*E36*ThetaC1d,D36*E36*ThetaP1d),IF(B36="Delta",0,""))</f>
        <v>-315.11267450543556</v>
      </c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>
      <c r="A37" s="29">
        <v>43489</v>
      </c>
      <c r="B37" s="13" t="str">
        <f>IF(D37="","","Delta")</f>
        <v>Delta</v>
      </c>
      <c r="C37" s="15" t="str">
        <f>IF($B37="Delta",$B$1&amp;" US Equity", "")</f>
        <v>UAA US Equity</v>
      </c>
      <c r="D37" s="41">
        <f>-P37</f>
        <v>-5061.043912475975</v>
      </c>
      <c r="E37" s="42">
        <f t="shared" ref="E37:E50" si="4">IF(B37="Delta", 1, IF(B37="Option", 100, ""))</f>
        <v>1</v>
      </c>
      <c r="F37" s="42" t="str">
        <f t="shared" ref="F37:F50" si="5">IF(D37="","","USD")</f>
        <v>USD</v>
      </c>
      <c r="G37" s="30">
        <f t="shared" ref="G37:G50" si="6">IF(D37="","",D37*E37*H37)</f>
        <v>-102637.97054501278</v>
      </c>
      <c r="H37" s="46">
        <f t="shared" si="0"/>
        <v>20.28</v>
      </c>
      <c r="I37" s="47">
        <v>20.28</v>
      </c>
      <c r="J37" s="45">
        <f>IF(D37="","",(H37-I37)*E37*D37)</f>
        <v>0</v>
      </c>
      <c r="K37" s="30">
        <f t="shared" si="1"/>
        <v>-102637.97054501278</v>
      </c>
      <c r="L37" s="30">
        <f t="shared" si="2"/>
        <v>0</v>
      </c>
      <c r="M37" s="30">
        <f t="shared" si="3"/>
        <v>0</v>
      </c>
      <c r="N37" s="30">
        <f t="shared" ref="N37:N50" si="7">IF(B37="Option",IF($B$3="C",D37*E37*ThetaCall,D37*E37*ThetaPut),IF(B37="Delta",0,""))</f>
        <v>0</v>
      </c>
      <c r="O37" s="4"/>
      <c r="P37" s="48">
        <f>IF(I37="","",Amount*Mult*_xlfn.NORM.S.DIST(((LN(I37/K)+(r_dom-q+sigma^2/2)*U37))/(sigma*SQRT(U37)),1)*EXP(-q*U37))</f>
        <v>5061.043912475975</v>
      </c>
      <c r="Q37" s="48">
        <f>IF(I37="","",SUM($D$37:D37))</f>
        <v>-5061.043912475975</v>
      </c>
      <c r="R37" s="48">
        <f>IF(I37="","",P37+Q37)</f>
        <v>0</v>
      </c>
      <c r="S37" s="4"/>
      <c r="T37" s="4"/>
      <c r="U37" s="12">
        <f t="shared" ref="U37:U58" si="8">IF(OR(A37="",$D$2&lt;=A37),0,($D$2-A37)/365)</f>
        <v>6.0273972602739728E-2</v>
      </c>
      <c r="V37" s="4"/>
      <c r="W37" s="4"/>
      <c r="X37" s="4"/>
      <c r="Y37" s="4"/>
      <c r="Z37" s="4"/>
    </row>
    <row r="38" spans="1:26">
      <c r="A38" s="29">
        <v>43490</v>
      </c>
      <c r="B38" s="13" t="str">
        <f t="shared" ref="B38:B50" si="9">IF(D38="","","Delta")</f>
        <v>Delta</v>
      </c>
      <c r="C38" s="15" t="str">
        <f t="shared" ref="C38:C101" si="10">IF($B38="Delta",$B$1&amp;" US Equity", "")</f>
        <v>UAA US Equity</v>
      </c>
      <c r="D38" s="49">
        <f>IF(I38="","",-(P38+Q37))</f>
        <v>-723.93792726326046</v>
      </c>
      <c r="E38" s="42">
        <f t="shared" si="4"/>
        <v>1</v>
      </c>
      <c r="F38" s="42" t="str">
        <f t="shared" si="5"/>
        <v>USD</v>
      </c>
      <c r="G38" s="30">
        <f t="shared" si="6"/>
        <v>-14681.461164898923</v>
      </c>
      <c r="H38" s="46">
        <f t="shared" si="0"/>
        <v>20.28</v>
      </c>
      <c r="I38" s="47">
        <v>20.881593180766806</v>
      </c>
      <c r="J38" s="45">
        <f t="shared" ref="J38:J50" si="11">IF(D38="","",(H38-I38)*E38*D38)</f>
        <v>435.51612034003301</v>
      </c>
      <c r="K38" s="30">
        <f t="shared" si="1"/>
        <v>-14681.461164898923</v>
      </c>
      <c r="L38" s="30">
        <f t="shared" si="2"/>
        <v>0</v>
      </c>
      <c r="M38" s="30">
        <f t="shared" si="3"/>
        <v>0</v>
      </c>
      <c r="N38" s="30">
        <f t="shared" si="7"/>
        <v>0</v>
      </c>
      <c r="O38" s="4"/>
      <c r="P38" s="48">
        <f>IF(I38="","",Amount*Mult*_xlfn.NORM.S.DIST(((LN(I38/K)+(r_dom-q+sigma^2/2)*U38))/(sigma*SQRT(U38)),1)*EXP(-q*U38))</f>
        <v>5784.9818397392355</v>
      </c>
      <c r="Q38" s="48">
        <f>IF(I38="","",SUM($D$37:D38))</f>
        <v>-5784.9818397392355</v>
      </c>
      <c r="R38" s="48">
        <f t="shared" ref="R38:R68" si="12">IF(I38="","",P38+Q38)</f>
        <v>0</v>
      </c>
      <c r="S38" s="4"/>
      <c r="T38" s="4"/>
      <c r="U38" s="12">
        <f t="shared" si="8"/>
        <v>5.7534246575342465E-2</v>
      </c>
      <c r="V38" s="4"/>
      <c r="W38" s="4"/>
      <c r="X38" s="4"/>
      <c r="Y38" s="4"/>
      <c r="Z38" s="4"/>
    </row>
    <row r="39" spans="1:26">
      <c r="A39" s="29">
        <v>43491</v>
      </c>
      <c r="B39" s="13" t="str">
        <f t="shared" si="9"/>
        <v>Delta</v>
      </c>
      <c r="C39" s="15" t="str">
        <f t="shared" si="10"/>
        <v>UAA US Equity</v>
      </c>
      <c r="D39" s="49">
        <f t="shared" ref="D39:D102" si="13">IF(I39="","",-(P39+Q38))</f>
        <v>1732.3943919037356</v>
      </c>
      <c r="E39" s="42">
        <f t="shared" si="4"/>
        <v>1</v>
      </c>
      <c r="F39" s="42" t="str">
        <f t="shared" si="5"/>
        <v>USD</v>
      </c>
      <c r="G39" s="30">
        <f t="shared" si="6"/>
        <v>35132.958267807757</v>
      </c>
      <c r="H39" s="46">
        <f t="shared" si="0"/>
        <v>20.28</v>
      </c>
      <c r="I39" s="47">
        <v>19.524105703126878</v>
      </c>
      <c r="J39" s="45">
        <f t="shared" si="11"/>
        <v>1309.5070407750159</v>
      </c>
      <c r="K39" s="30">
        <f t="shared" si="1"/>
        <v>35132.958267807757</v>
      </c>
      <c r="L39" s="30">
        <f t="shared" si="2"/>
        <v>0</v>
      </c>
      <c r="M39" s="30">
        <f t="shared" si="3"/>
        <v>0</v>
      </c>
      <c r="N39" s="30">
        <f t="shared" si="7"/>
        <v>0</v>
      </c>
      <c r="O39" s="4"/>
      <c r="P39" s="48">
        <f>IF(I39="","",Amount*Mult*_xlfn.NORM.S.DIST(((LN(I39/K)+(r_dom-q+sigma^2/2)*U39))/(sigma*SQRT(U39)),1)*EXP(-q*U39))</f>
        <v>4052.5874478354999</v>
      </c>
      <c r="Q39" s="48">
        <f>IF(I39="","",SUM($D$37:D39))</f>
        <v>-4052.5874478354999</v>
      </c>
      <c r="R39" s="48">
        <f t="shared" si="12"/>
        <v>0</v>
      </c>
      <c r="S39" s="4"/>
      <c r="T39" s="4"/>
      <c r="U39" s="12">
        <f t="shared" si="8"/>
        <v>5.4794520547945202E-2</v>
      </c>
      <c r="V39" s="4"/>
      <c r="W39" s="4"/>
      <c r="X39" s="4"/>
      <c r="Y39" s="4"/>
      <c r="Z39" s="4"/>
    </row>
    <row r="40" spans="1:26">
      <c r="A40" s="29">
        <v>43492</v>
      </c>
      <c r="B40" s="13" t="str">
        <f t="shared" si="9"/>
        <v>Delta</v>
      </c>
      <c r="C40" s="15" t="str">
        <f t="shared" si="10"/>
        <v>UAA US Equity</v>
      </c>
      <c r="D40" s="49">
        <f t="shared" si="13"/>
        <v>-190.30692822614037</v>
      </c>
      <c r="E40" s="42">
        <f t="shared" si="4"/>
        <v>1</v>
      </c>
      <c r="F40" s="42" t="str">
        <f t="shared" si="5"/>
        <v>USD</v>
      </c>
      <c r="G40" s="30">
        <f t="shared" si="6"/>
        <v>-3859.424504426127</v>
      </c>
      <c r="H40" s="46">
        <f t="shared" si="0"/>
        <v>20.28</v>
      </c>
      <c r="I40" s="47">
        <v>19.697058682336188</v>
      </c>
      <c r="J40" s="45">
        <f t="shared" si="11"/>
        <v>-110.93777150069903</v>
      </c>
      <c r="K40" s="30">
        <f t="shared" si="1"/>
        <v>-3859.424504426127</v>
      </c>
      <c r="L40" s="30">
        <f t="shared" si="2"/>
        <v>0</v>
      </c>
      <c r="M40" s="30">
        <f t="shared" si="3"/>
        <v>0</v>
      </c>
      <c r="N40" s="30">
        <f t="shared" si="7"/>
        <v>0</v>
      </c>
      <c r="O40" s="4"/>
      <c r="P40" s="48">
        <f>IF(I40="","",Amount*Mult*_xlfn.NORM.S.DIST(((LN(I40/K)+(r_dom-q+sigma^2/2)*U40))/(sigma*SQRT(U40)),1)*EXP(-q*U40))</f>
        <v>4242.8943760616403</v>
      </c>
      <c r="Q40" s="48">
        <f>IF(I40="","",SUM($D$37:D40))</f>
        <v>-4242.8943760616403</v>
      </c>
      <c r="R40" s="48">
        <f t="shared" si="12"/>
        <v>0</v>
      </c>
      <c r="S40" s="4"/>
      <c r="T40" s="4"/>
      <c r="U40" s="12">
        <f t="shared" si="8"/>
        <v>5.2054794520547946E-2</v>
      </c>
      <c r="V40" s="4"/>
      <c r="W40" s="4"/>
      <c r="X40" s="4"/>
      <c r="Y40" s="4"/>
      <c r="Z40" s="4"/>
    </row>
    <row r="41" spans="1:26">
      <c r="A41" s="29">
        <v>43493</v>
      </c>
      <c r="B41" s="13" t="str">
        <f t="shared" si="9"/>
        <v>Delta</v>
      </c>
      <c r="C41" s="15" t="str">
        <f t="shared" si="10"/>
        <v>UAA US Equity</v>
      </c>
      <c r="D41" s="49">
        <f t="shared" si="13"/>
        <v>145.36466422310605</v>
      </c>
      <c r="E41" s="42">
        <f t="shared" si="4"/>
        <v>1</v>
      </c>
      <c r="F41" s="42" t="str">
        <f t="shared" si="5"/>
        <v>USD</v>
      </c>
      <c r="G41" s="30">
        <f t="shared" si="6"/>
        <v>2947.9953904445906</v>
      </c>
      <c r="H41" s="46">
        <f t="shared" si="0"/>
        <v>20.28</v>
      </c>
      <c r="I41" s="47">
        <v>19.617421046134673</v>
      </c>
      <c r="J41" s="45">
        <f t="shared" si="11"/>
        <v>96.315567149930274</v>
      </c>
      <c r="K41" s="30">
        <f t="shared" si="1"/>
        <v>2947.9953904445906</v>
      </c>
      <c r="L41" s="30">
        <f t="shared" si="2"/>
        <v>0</v>
      </c>
      <c r="M41" s="30">
        <f t="shared" si="3"/>
        <v>0</v>
      </c>
      <c r="N41" s="30">
        <f t="shared" si="7"/>
        <v>0</v>
      </c>
      <c r="O41" s="4"/>
      <c r="P41" s="48">
        <f>IF(I41="","",Amount*Mult*_xlfn.NORM.S.DIST(((LN(I41/K)+(r_dom-q+sigma^2/2)*U41))/(sigma*SQRT(U41)),1)*EXP(-q*U41))</f>
        <v>4097.5297118385342</v>
      </c>
      <c r="Q41" s="48">
        <f>IF(I41="","",SUM($D$37:D41))</f>
        <v>-4097.5297118385342</v>
      </c>
      <c r="R41" s="48">
        <f t="shared" si="12"/>
        <v>0</v>
      </c>
      <c r="S41" s="4"/>
      <c r="T41" s="4"/>
      <c r="U41" s="12">
        <f t="shared" si="8"/>
        <v>4.9315068493150684E-2</v>
      </c>
      <c r="V41" s="4"/>
      <c r="W41" s="4"/>
      <c r="X41" s="4"/>
      <c r="Y41" s="4"/>
      <c r="Z41" s="4"/>
    </row>
    <row r="42" spans="1:26">
      <c r="A42" s="29">
        <v>43494</v>
      </c>
      <c r="B42" s="13" t="str">
        <f t="shared" si="9"/>
        <v>Delta</v>
      </c>
      <c r="C42" s="15" t="str">
        <f t="shared" si="10"/>
        <v>UAA US Equity</v>
      </c>
      <c r="D42" s="49">
        <f t="shared" si="13"/>
        <v>649.47098697614456</v>
      </c>
      <c r="E42" s="42">
        <f t="shared" si="4"/>
        <v>1</v>
      </c>
      <c r="F42" s="42" t="str">
        <f t="shared" si="5"/>
        <v>USD</v>
      </c>
      <c r="G42" s="30">
        <f t="shared" si="6"/>
        <v>13171.271615876212</v>
      </c>
      <c r="H42" s="46">
        <f t="shared" si="0"/>
        <v>20.28</v>
      </c>
      <c r="I42" s="47">
        <v>19.178316567010555</v>
      </c>
      <c r="J42" s="45">
        <f t="shared" si="11"/>
        <v>715.51142655892306</v>
      </c>
      <c r="K42" s="30">
        <f t="shared" si="1"/>
        <v>13171.271615876212</v>
      </c>
      <c r="L42" s="30">
        <f t="shared" si="2"/>
        <v>0</v>
      </c>
      <c r="M42" s="30">
        <f t="shared" si="3"/>
        <v>0</v>
      </c>
      <c r="N42" s="30">
        <f t="shared" si="7"/>
        <v>0</v>
      </c>
      <c r="O42" s="4"/>
      <c r="P42" s="48">
        <f>IF(I42="","",Amount*Mult*_xlfn.NORM.S.DIST(((LN(I42/K)+(r_dom-q+sigma^2/2)*U42))/(sigma*SQRT(U42)),1)*EXP(-q*U42))</f>
        <v>3448.0587248623897</v>
      </c>
      <c r="Q42" s="48">
        <f>IF(I42="","",SUM($D$37:D42))</f>
        <v>-3448.0587248623897</v>
      </c>
      <c r="R42" s="48">
        <f t="shared" si="12"/>
        <v>0</v>
      </c>
      <c r="S42" s="4"/>
      <c r="T42" s="4"/>
      <c r="U42" s="12">
        <f t="shared" si="8"/>
        <v>4.6575342465753428E-2</v>
      </c>
      <c r="V42" s="4"/>
      <c r="W42" s="4"/>
      <c r="X42" s="4"/>
      <c r="Y42" s="4"/>
      <c r="Z42" s="4"/>
    </row>
    <row r="43" spans="1:26">
      <c r="A43" s="29">
        <v>43495</v>
      </c>
      <c r="B43" s="13" t="str">
        <f t="shared" si="9"/>
        <v>Delta</v>
      </c>
      <c r="C43" s="15" t="str">
        <f t="shared" si="10"/>
        <v>UAA US Equity</v>
      </c>
      <c r="D43" s="49">
        <f t="shared" si="13"/>
        <v>-266.46500471527042</v>
      </c>
      <c r="E43" s="42">
        <f t="shared" si="4"/>
        <v>1</v>
      </c>
      <c r="F43" s="42" t="str">
        <f t="shared" si="5"/>
        <v>USD</v>
      </c>
      <c r="G43" s="30">
        <f t="shared" si="6"/>
        <v>-5403.9102956256847</v>
      </c>
      <c r="H43" s="46">
        <f t="shared" si="0"/>
        <v>20.28</v>
      </c>
      <c r="I43" s="47">
        <v>19.411039088934448</v>
      </c>
      <c r="J43" s="45">
        <f t="shared" si="11"/>
        <v>-231.5476732644683</v>
      </c>
      <c r="K43" s="30">
        <f t="shared" si="1"/>
        <v>-5403.9102956256847</v>
      </c>
      <c r="L43" s="30">
        <f t="shared" si="2"/>
        <v>0</v>
      </c>
      <c r="M43" s="30">
        <f t="shared" si="3"/>
        <v>0</v>
      </c>
      <c r="N43" s="30">
        <f t="shared" si="7"/>
        <v>0</v>
      </c>
      <c r="O43" s="4"/>
      <c r="P43" s="48">
        <f>IF(I43="","",Amount*Mult*_xlfn.NORM.S.DIST(((LN(I43/K)+(r_dom-q+sigma^2/2)*U43))/(sigma*SQRT(U43)),1)*EXP(-q*U43))</f>
        <v>3714.5237295776601</v>
      </c>
      <c r="Q43" s="48">
        <f>IF(I43="","",SUM($D$37:D43))</f>
        <v>-3714.5237295776601</v>
      </c>
      <c r="R43" s="48">
        <f t="shared" si="12"/>
        <v>0</v>
      </c>
      <c r="S43" s="4"/>
      <c r="T43" s="4"/>
      <c r="U43" s="12">
        <f t="shared" si="8"/>
        <v>4.3835616438356165E-2</v>
      </c>
      <c r="V43" s="4"/>
      <c r="W43" s="4"/>
      <c r="X43" s="4"/>
      <c r="Y43" s="4"/>
      <c r="Z43" s="4"/>
    </row>
    <row r="44" spans="1:26">
      <c r="A44" s="29">
        <v>43496</v>
      </c>
      <c r="B44" s="13" t="str">
        <f t="shared" si="9"/>
        <v>Delta</v>
      </c>
      <c r="C44" s="15" t="str">
        <f t="shared" si="10"/>
        <v>UAA US Equity</v>
      </c>
      <c r="D44" s="49">
        <f t="shared" si="13"/>
        <v>-369.77646994978068</v>
      </c>
      <c r="E44" s="42">
        <f t="shared" si="4"/>
        <v>1</v>
      </c>
      <c r="F44" s="42" t="str">
        <f t="shared" si="5"/>
        <v>USD</v>
      </c>
      <c r="G44" s="30">
        <f t="shared" si="6"/>
        <v>-7499.0668105815521</v>
      </c>
      <c r="H44" s="46">
        <f t="shared" si="0"/>
        <v>20.28</v>
      </c>
      <c r="I44" s="47">
        <v>19.700788027770759</v>
      </c>
      <c r="J44" s="45">
        <f t="shared" si="11"/>
        <v>-214.17895844357949</v>
      </c>
      <c r="K44" s="30">
        <f t="shared" si="1"/>
        <v>-7499.0668105815521</v>
      </c>
      <c r="L44" s="30">
        <f t="shared" si="2"/>
        <v>0</v>
      </c>
      <c r="M44" s="30">
        <f t="shared" si="3"/>
        <v>0</v>
      </c>
      <c r="N44" s="30">
        <f t="shared" si="7"/>
        <v>0</v>
      </c>
      <c r="O44" s="4"/>
      <c r="P44" s="48">
        <f>IF(I44="","",Amount*Mult*_xlfn.NORM.S.DIST(((LN(I44/K)+(r_dom-q+sigma^2/2)*U44))/(sigma*SQRT(U44)),1)*EXP(-q*U44))</f>
        <v>4084.3001995274408</v>
      </c>
      <c r="Q44" s="48">
        <f>IF(I44="","",SUM($D$37:D44))</f>
        <v>-4084.3001995274408</v>
      </c>
      <c r="R44" s="48">
        <f t="shared" si="12"/>
        <v>0</v>
      </c>
      <c r="S44" s="4"/>
      <c r="T44" s="4"/>
      <c r="U44" s="12">
        <f t="shared" si="8"/>
        <v>4.1095890410958902E-2</v>
      </c>
      <c r="V44" s="4"/>
      <c r="W44" s="4"/>
      <c r="X44" s="4"/>
      <c r="Y44" s="4"/>
      <c r="Z44" s="4"/>
    </row>
    <row r="45" spans="1:26">
      <c r="A45" s="29">
        <v>43497</v>
      </c>
      <c r="B45" s="13" t="str">
        <f t="shared" si="9"/>
        <v>Delta</v>
      </c>
      <c r="C45" s="15" t="str">
        <f t="shared" si="10"/>
        <v>UAA US Equity</v>
      </c>
      <c r="D45" s="49">
        <f t="shared" si="13"/>
        <v>834.7966733669723</v>
      </c>
      <c r="E45" s="42">
        <f t="shared" si="4"/>
        <v>1</v>
      </c>
      <c r="F45" s="42" t="str">
        <f t="shared" si="5"/>
        <v>USD</v>
      </c>
      <c r="G45" s="30">
        <f t="shared" si="6"/>
        <v>16929.676535882198</v>
      </c>
      <c r="H45" s="46">
        <f t="shared" si="0"/>
        <v>20.28</v>
      </c>
      <c r="I45" s="47">
        <v>19.179044638183708</v>
      </c>
      <c r="J45" s="45">
        <f t="shared" si="11"/>
        <v>919.07387356977301</v>
      </c>
      <c r="K45" s="30">
        <f t="shared" si="1"/>
        <v>16929.676535882198</v>
      </c>
      <c r="L45" s="30">
        <f t="shared" si="2"/>
        <v>0</v>
      </c>
      <c r="M45" s="30">
        <f t="shared" si="3"/>
        <v>0</v>
      </c>
      <c r="N45" s="30">
        <f t="shared" si="7"/>
        <v>0</v>
      </c>
      <c r="O45" s="4"/>
      <c r="P45" s="48">
        <f>IF(I45="","",Amount*Mult*_xlfn.NORM.S.DIST(((LN(I45/K)+(r_dom-q+sigma^2/2)*U45))/(sigma*SQRT(U45)),1)*EXP(-q*U45))</f>
        <v>3249.5035261604685</v>
      </c>
      <c r="Q45" s="48">
        <f>IF(I45="","",SUM($D$37:D45))</f>
        <v>-3249.5035261604685</v>
      </c>
      <c r="R45" s="48">
        <f t="shared" si="12"/>
        <v>0</v>
      </c>
      <c r="S45" s="4"/>
      <c r="T45" s="4"/>
      <c r="U45" s="12">
        <f t="shared" si="8"/>
        <v>3.8356164383561646E-2</v>
      </c>
      <c r="V45" s="4"/>
      <c r="W45" s="4"/>
      <c r="X45" s="4"/>
      <c r="Y45" s="4"/>
      <c r="Z45" s="4"/>
    </row>
    <row r="46" spans="1:26">
      <c r="A46" s="29">
        <v>43498</v>
      </c>
      <c r="B46" s="13" t="str">
        <f t="shared" si="9"/>
        <v>Delta</v>
      </c>
      <c r="C46" s="15" t="str">
        <f t="shared" si="10"/>
        <v>UAA US Equity</v>
      </c>
      <c r="D46" s="49">
        <f t="shared" si="13"/>
        <v>759.63483609198192</v>
      </c>
      <c r="E46" s="42">
        <f t="shared" si="4"/>
        <v>1</v>
      </c>
      <c r="F46" s="42" t="str">
        <f t="shared" si="5"/>
        <v>USD</v>
      </c>
      <c r="G46" s="30">
        <f t="shared" si="6"/>
        <v>15405.394475945393</v>
      </c>
      <c r="H46" s="46">
        <f t="shared" si="0"/>
        <v>20.28</v>
      </c>
      <c r="I46" s="47">
        <v>18.707228563030259</v>
      </c>
      <c r="J46" s="45">
        <f t="shared" si="11"/>
        <v>1194.7319727326606</v>
      </c>
      <c r="K46" s="30">
        <f t="shared" si="1"/>
        <v>15405.394475945393</v>
      </c>
      <c r="L46" s="30">
        <f t="shared" si="2"/>
        <v>0</v>
      </c>
      <c r="M46" s="30">
        <f t="shared" si="3"/>
        <v>0</v>
      </c>
      <c r="N46" s="30">
        <f t="shared" si="7"/>
        <v>0</v>
      </c>
      <c r="O46" s="4"/>
      <c r="P46" s="48">
        <f>IF(I46="","",Amount*Mult*_xlfn.NORM.S.DIST(((LN(I46/K)+(r_dom-q+sigma^2/2)*U46))/(sigma*SQRT(U46)),1)*EXP(-q*U46))</f>
        <v>2489.8686900684866</v>
      </c>
      <c r="Q46" s="48">
        <f>IF(I46="","",SUM($D$37:D46))</f>
        <v>-2489.8686900684866</v>
      </c>
      <c r="R46" s="48">
        <f t="shared" si="12"/>
        <v>0</v>
      </c>
      <c r="S46" s="4"/>
      <c r="T46" s="4"/>
      <c r="U46" s="12">
        <f t="shared" si="8"/>
        <v>3.5616438356164383E-2</v>
      </c>
      <c r="V46" s="4"/>
      <c r="W46" s="4"/>
      <c r="X46" s="4"/>
      <c r="Y46" s="4"/>
      <c r="Z46" s="4"/>
    </row>
    <row r="47" spans="1:26">
      <c r="A47" s="29">
        <v>43499</v>
      </c>
      <c r="B47" s="13" t="str">
        <f t="shared" si="9"/>
        <v>Delta</v>
      </c>
      <c r="C47" s="15" t="str">
        <f t="shared" si="10"/>
        <v>UAA US Equity</v>
      </c>
      <c r="D47" s="49">
        <f t="shared" si="13"/>
        <v>-1007.0112231973903</v>
      </c>
      <c r="E47" s="42">
        <f t="shared" si="4"/>
        <v>1</v>
      </c>
      <c r="F47" s="42" t="str">
        <f t="shared" si="5"/>
        <v>USD</v>
      </c>
      <c r="G47" s="30">
        <f t="shared" si="6"/>
        <v>-20422.187606443076</v>
      </c>
      <c r="H47" s="46">
        <f t="shared" si="0"/>
        <v>20.28</v>
      </c>
      <c r="I47" s="47">
        <v>19.440758847987471</v>
      </c>
      <c r="J47" s="45">
        <f t="shared" si="11"/>
        <v>-845.12525904572487</v>
      </c>
      <c r="K47" s="30">
        <f t="shared" si="1"/>
        <v>-20422.187606443076</v>
      </c>
      <c r="L47" s="30">
        <f t="shared" si="2"/>
        <v>0</v>
      </c>
      <c r="M47" s="30">
        <f t="shared" si="3"/>
        <v>0</v>
      </c>
      <c r="N47" s="30">
        <f t="shared" si="7"/>
        <v>0</v>
      </c>
      <c r="O47" s="4"/>
      <c r="P47" s="48">
        <f>IF(I47="","",Amount*Mult*_xlfn.NORM.S.DIST(((LN(I47/K)+(r_dom-q+sigma^2/2)*U47))/(sigma*SQRT(U47)),1)*EXP(-q*U47))</f>
        <v>3496.8799132658769</v>
      </c>
      <c r="Q47" s="48">
        <f>IF(I47="","",SUM($D$37:D47))</f>
        <v>-3496.8799132658769</v>
      </c>
      <c r="R47" s="48">
        <f t="shared" si="12"/>
        <v>0</v>
      </c>
      <c r="S47" s="4"/>
      <c r="T47" s="4"/>
      <c r="U47" s="12">
        <f t="shared" si="8"/>
        <v>3.287671232876712E-2</v>
      </c>
      <c r="V47" s="4"/>
      <c r="W47" s="4"/>
      <c r="X47" s="4"/>
      <c r="Y47" s="4"/>
      <c r="Z47" s="4"/>
    </row>
    <row r="48" spans="1:26">
      <c r="A48" s="29">
        <v>43500</v>
      </c>
      <c r="B48" s="13" t="str">
        <f t="shared" si="9"/>
        <v>Delta</v>
      </c>
      <c r="C48" s="15" t="str">
        <f t="shared" si="10"/>
        <v>UAA US Equity</v>
      </c>
      <c r="D48" s="49">
        <f t="shared" si="13"/>
        <v>-1194.8758096634092</v>
      </c>
      <c r="E48" s="42">
        <f t="shared" si="4"/>
        <v>1</v>
      </c>
      <c r="F48" s="42" t="str">
        <f t="shared" si="5"/>
        <v>USD</v>
      </c>
      <c r="G48" s="30">
        <f t="shared" si="6"/>
        <v>-24232.08141997394</v>
      </c>
      <c r="H48" s="46">
        <f t="shared" si="0"/>
        <v>20.28</v>
      </c>
      <c r="I48" s="47">
        <v>20.186133597872217</v>
      </c>
      <c r="J48" s="45">
        <f t="shared" si="11"/>
        <v>-112.15869324262675</v>
      </c>
      <c r="K48" s="30">
        <f t="shared" si="1"/>
        <v>-24232.08141997394</v>
      </c>
      <c r="L48" s="30">
        <f t="shared" si="2"/>
        <v>0</v>
      </c>
      <c r="M48" s="30">
        <f t="shared" si="3"/>
        <v>0</v>
      </c>
      <c r="N48" s="30">
        <f t="shared" si="7"/>
        <v>0</v>
      </c>
      <c r="O48" s="4"/>
      <c r="P48" s="48">
        <f>IF(I48="","",Amount*Mult*_xlfn.NORM.S.DIST(((LN(I48/K)+(r_dom-q+sigma^2/2)*U48))/(sigma*SQRT(U48)),1)*EXP(-q*U48))</f>
        <v>4691.7557229292861</v>
      </c>
      <c r="Q48" s="48">
        <f>IF(I48="","",SUM($D$37:D48))</f>
        <v>-4691.7557229292861</v>
      </c>
      <c r="R48" s="48">
        <f t="shared" si="12"/>
        <v>0</v>
      </c>
      <c r="S48" s="4"/>
      <c r="T48" s="4"/>
      <c r="U48" s="12">
        <f t="shared" si="8"/>
        <v>3.0136986301369864E-2</v>
      </c>
      <c r="V48" s="4"/>
      <c r="W48" s="4"/>
      <c r="X48" s="4"/>
      <c r="Y48" s="4"/>
      <c r="Z48" s="4"/>
    </row>
    <row r="49" spans="1:26">
      <c r="A49" s="29">
        <v>43501</v>
      </c>
      <c r="B49" s="13" t="str">
        <f t="shared" si="9"/>
        <v>Delta</v>
      </c>
      <c r="C49" s="15" t="str">
        <f t="shared" si="10"/>
        <v>UAA US Equity</v>
      </c>
      <c r="D49" s="49">
        <f t="shared" si="13"/>
        <v>-274.50100453694722</v>
      </c>
      <c r="E49" s="42">
        <f t="shared" si="4"/>
        <v>1</v>
      </c>
      <c r="F49" s="42" t="str">
        <f t="shared" si="5"/>
        <v>USD</v>
      </c>
      <c r="G49" s="30">
        <f t="shared" si="6"/>
        <v>-5566.8803720092901</v>
      </c>
      <c r="H49" s="46">
        <f t="shared" si="0"/>
        <v>20.28</v>
      </c>
      <c r="I49" s="47">
        <v>20.357837104369164</v>
      </c>
      <c r="J49" s="45">
        <f t="shared" si="11"/>
        <v>21.366363339582392</v>
      </c>
      <c r="K49" s="30">
        <f t="shared" si="1"/>
        <v>-5566.8803720092901</v>
      </c>
      <c r="L49" s="30">
        <f t="shared" si="2"/>
        <v>0</v>
      </c>
      <c r="M49" s="30">
        <f t="shared" si="3"/>
        <v>0</v>
      </c>
      <c r="N49" s="30">
        <f t="shared" si="7"/>
        <v>0</v>
      </c>
      <c r="O49" s="4"/>
      <c r="P49" s="48">
        <f>IF(I49="","",Amount*Mult*_xlfn.NORM.S.DIST(((LN(I49/K)+(r_dom-q+sigma^2/2)*U49))/(sigma*SQRT(U49)),1)*EXP(-q*U49))</f>
        <v>4966.2567274662333</v>
      </c>
      <c r="Q49" s="48">
        <f>IF(I49="","",SUM($D$37:D49))</f>
        <v>-4966.2567274662333</v>
      </c>
      <c r="R49" s="48">
        <f t="shared" si="12"/>
        <v>0</v>
      </c>
      <c r="S49" s="4"/>
      <c r="T49" s="4"/>
      <c r="U49" s="12">
        <f t="shared" si="8"/>
        <v>2.7397260273972601E-2</v>
      </c>
      <c r="V49" s="4"/>
      <c r="W49" s="4"/>
      <c r="X49" s="4"/>
      <c r="Y49" s="4"/>
      <c r="Z49" s="4"/>
    </row>
    <row r="50" spans="1:26">
      <c r="A50" s="29">
        <v>43502</v>
      </c>
      <c r="B50" s="13" t="str">
        <f t="shared" si="9"/>
        <v>Delta</v>
      </c>
      <c r="C50" s="15" t="str">
        <f t="shared" si="10"/>
        <v>UAA US Equity</v>
      </c>
      <c r="D50" s="49">
        <f t="shared" si="13"/>
        <v>-3082.9266949965295</v>
      </c>
      <c r="E50" s="42">
        <f t="shared" si="4"/>
        <v>1</v>
      </c>
      <c r="F50" s="42" t="str">
        <f t="shared" si="5"/>
        <v>USD</v>
      </c>
      <c r="G50" s="30">
        <f t="shared" si="6"/>
        <v>-62521.753374529624</v>
      </c>
      <c r="H50" s="46">
        <f t="shared" si="0"/>
        <v>20.28</v>
      </c>
      <c r="I50" s="47">
        <v>22.270928925216236</v>
      </c>
      <c r="J50" s="45">
        <f t="shared" si="11"/>
        <v>6137.8879313898788</v>
      </c>
      <c r="K50" s="30">
        <f t="shared" si="1"/>
        <v>-62521.753374529624</v>
      </c>
      <c r="L50" s="30">
        <f t="shared" si="2"/>
        <v>0</v>
      </c>
      <c r="M50" s="30">
        <f t="shared" si="3"/>
        <v>0</v>
      </c>
      <c r="N50" s="30">
        <f t="shared" si="7"/>
        <v>0</v>
      </c>
      <c r="O50" s="4"/>
      <c r="P50" s="48">
        <f>IF(I50="","",Amount*Mult*_xlfn.NORM.S.DIST(((LN(I50/K)+(r_dom-q+sigma^2/2)*U50))/(sigma*SQRT(U50)),1)*EXP(-q*U50))</f>
        <v>8049.1834224627628</v>
      </c>
      <c r="Q50" s="48">
        <f>IF(I50="","",SUM($D$37:D50))</f>
        <v>-8049.1834224627628</v>
      </c>
      <c r="R50" s="48">
        <f t="shared" si="12"/>
        <v>0</v>
      </c>
      <c r="S50" s="4"/>
      <c r="T50" s="4"/>
      <c r="U50" s="12">
        <f t="shared" si="8"/>
        <v>2.4657534246575342E-2</v>
      </c>
      <c r="V50" s="4"/>
      <c r="W50" s="4"/>
      <c r="X50" s="4"/>
      <c r="Y50" s="4"/>
      <c r="Z50" s="4"/>
    </row>
    <row r="51" spans="1:26">
      <c r="A51" s="29">
        <v>43503</v>
      </c>
      <c r="B51" s="13" t="str">
        <f t="shared" ref="B51:B114" si="14">IF(D51="","","Delta")</f>
        <v>Delta</v>
      </c>
      <c r="C51" s="15" t="str">
        <f t="shared" si="10"/>
        <v>UAA US Equity</v>
      </c>
      <c r="D51" s="49">
        <f t="shared" si="13"/>
        <v>-1241.5190819623467</v>
      </c>
      <c r="E51" s="42">
        <f t="shared" ref="E51:E114" si="15">IF(B51="Delta", 1, IF(B51="Option", 100, ""))</f>
        <v>1</v>
      </c>
      <c r="F51" s="42" t="str">
        <f t="shared" ref="F51:F114" si="16">IF(D51="","","USD")</f>
        <v>USD</v>
      </c>
      <c r="G51" s="30">
        <f t="shared" ref="G51:G114" si="17">IF(D51="","",D51*E51*H51)</f>
        <v>-25178.006982196392</v>
      </c>
      <c r="H51" s="46">
        <f t="shared" ref="H51:H114" si="18">IF(B51="Option",IF(B18="C",PVCall,PVPut),IF(B51="Delta",S_0,""))</f>
        <v>20.28</v>
      </c>
      <c r="I51" s="47">
        <v>23.522295280275614</v>
      </c>
      <c r="J51" s="45">
        <f t="shared" ref="J51:J114" si="19">IF(D51="","",(H51-I51)*E51*D51)</f>
        <v>4025.3714598186284</v>
      </c>
      <c r="K51" s="30">
        <f t="shared" ref="K51:K114" si="20">IF(B51="Option",IF($B$3="C",D51*E51*S_0*deltaCall,D51*E51*S_0*deltaPut),IF(B51="Delta",D51*E51*S_0,""))</f>
        <v>-25178.006982196392</v>
      </c>
      <c r="L51" s="30">
        <f t="shared" ref="L51:L114" si="21">IF(B51="Option",IF($B$3="C",D51*E51*VegaCall,D51*E51*VegaPut),IF(B51="Delta",0,""))</f>
        <v>0</v>
      </c>
      <c r="M51" s="30">
        <f t="shared" ref="M51:M114" si="22">IF(B51="Option",IF($B$3="C",D51*E51*S_0^2/100*GammaCall,D51*E51*S_0^2/100*GammaPut),IF(B51="Delta",0,""))</f>
        <v>0</v>
      </c>
      <c r="N51" s="30">
        <f t="shared" ref="N51:N114" si="23">IF(B51="Option",IF($B$3="C",D51*E51*ThetaCall,D51*E51*ThetaPut),IF(B51="Delta",0,""))</f>
        <v>0</v>
      </c>
      <c r="O51" s="4"/>
      <c r="P51" s="48">
        <f>IF(I51="","",Amount*Mult*_xlfn.NORM.S.DIST(((LN(I51/K)+(r_dom-q+sigma^2/2)*U51))/(sigma*SQRT(U51)),1)*EXP(-q*U51))</f>
        <v>9290.7025044251095</v>
      </c>
      <c r="Q51" s="48">
        <f>IF(I51="","",SUM($D$37:D51))</f>
        <v>-9290.7025044251095</v>
      </c>
      <c r="R51" s="48">
        <f t="shared" si="12"/>
        <v>0</v>
      </c>
      <c r="S51" s="4"/>
      <c r="T51" s="4"/>
      <c r="U51" s="12">
        <f t="shared" si="8"/>
        <v>2.1917808219178082E-2</v>
      </c>
      <c r="V51" s="4"/>
      <c r="W51" s="4"/>
      <c r="X51" s="4"/>
      <c r="Y51" s="4"/>
      <c r="Z51" s="4"/>
    </row>
    <row r="52" spans="1:26">
      <c r="A52" s="29">
        <v>43504</v>
      </c>
      <c r="B52" s="13" t="str">
        <f t="shared" si="14"/>
        <v>Delta</v>
      </c>
      <c r="C52" s="15" t="str">
        <f t="shared" si="10"/>
        <v>UAA US Equity</v>
      </c>
      <c r="D52" s="49">
        <f t="shared" si="13"/>
        <v>413.23716783124109</v>
      </c>
      <c r="E52" s="42">
        <f t="shared" si="15"/>
        <v>1</v>
      </c>
      <c r="F52" s="42" t="str">
        <f t="shared" si="16"/>
        <v>USD</v>
      </c>
      <c r="G52" s="30">
        <f t="shared" si="17"/>
        <v>8380.4497636175693</v>
      </c>
      <c r="H52" s="46">
        <f t="shared" si="18"/>
        <v>20.28</v>
      </c>
      <c r="I52" s="47">
        <v>22.788751180490141</v>
      </c>
      <c r="J52" s="45">
        <f t="shared" si="19"/>
        <v>-1036.7092326190284</v>
      </c>
      <c r="K52" s="30">
        <f t="shared" si="20"/>
        <v>8380.4497636175693</v>
      </c>
      <c r="L52" s="30">
        <f t="shared" si="21"/>
        <v>0</v>
      </c>
      <c r="M52" s="30">
        <f t="shared" si="22"/>
        <v>0</v>
      </c>
      <c r="N52" s="30">
        <f t="shared" si="23"/>
        <v>0</v>
      </c>
      <c r="O52" s="4"/>
      <c r="P52" s="48">
        <f>IF(I52="","",Amount*Mult*_xlfn.NORM.S.DIST(((LN(I52/K)+(r_dom-q+sigma^2/2)*U52))/(sigma*SQRT(U52)),1)*EXP(-q*U52))</f>
        <v>8877.4653365938684</v>
      </c>
      <c r="Q52" s="48">
        <f>IF(I52="","",SUM($D$37:D52))</f>
        <v>-8877.4653365938684</v>
      </c>
      <c r="R52" s="48">
        <f t="shared" si="12"/>
        <v>0</v>
      </c>
      <c r="S52" s="4"/>
      <c r="T52" s="4"/>
      <c r="U52" s="12">
        <f t="shared" si="8"/>
        <v>1.9178082191780823E-2</v>
      </c>
      <c r="V52" s="4"/>
      <c r="W52" s="4"/>
      <c r="X52" s="4"/>
      <c r="Y52" s="4"/>
      <c r="Z52" s="4"/>
    </row>
    <row r="53" spans="1:26">
      <c r="A53" s="29">
        <v>43505</v>
      </c>
      <c r="B53" s="13" t="str">
        <f t="shared" si="14"/>
        <v>Delta</v>
      </c>
      <c r="C53" s="15" t="str">
        <f t="shared" si="10"/>
        <v>UAA US Equity</v>
      </c>
      <c r="D53" s="49">
        <f t="shared" si="13"/>
        <v>-511.25314069416163</v>
      </c>
      <c r="E53" s="42">
        <f t="shared" si="15"/>
        <v>1</v>
      </c>
      <c r="F53" s="42" t="str">
        <f t="shared" si="16"/>
        <v>USD</v>
      </c>
      <c r="G53" s="30">
        <f t="shared" si="17"/>
        <v>-10368.213693277599</v>
      </c>
      <c r="H53" s="46">
        <f t="shared" si="18"/>
        <v>20.28</v>
      </c>
      <c r="I53" s="47">
        <v>23.254042698410796</v>
      </c>
      <c r="J53" s="45">
        <f t="shared" si="19"/>
        <v>1520.4886701210582</v>
      </c>
      <c r="K53" s="30">
        <f t="shared" si="20"/>
        <v>-10368.213693277599</v>
      </c>
      <c r="L53" s="30">
        <f t="shared" si="21"/>
        <v>0</v>
      </c>
      <c r="M53" s="30">
        <f t="shared" si="22"/>
        <v>0</v>
      </c>
      <c r="N53" s="30">
        <f t="shared" si="23"/>
        <v>0</v>
      </c>
      <c r="O53" s="4"/>
      <c r="P53" s="48">
        <f>IF(I53="","",Amount*Mult*_xlfn.NORM.S.DIST(((LN(I53/K)+(r_dom-q+sigma^2/2)*U53))/(sigma*SQRT(U53)),1)*EXP(-q*U53))</f>
        <v>9388.71847728803</v>
      </c>
      <c r="Q53" s="48">
        <f>IF(I53="","",SUM($D$37:D53))</f>
        <v>-9388.71847728803</v>
      </c>
      <c r="R53" s="48">
        <f t="shared" si="12"/>
        <v>0</v>
      </c>
      <c r="S53" s="4"/>
      <c r="T53" s="4"/>
      <c r="U53" s="12">
        <f t="shared" si="8"/>
        <v>1.643835616438356E-2</v>
      </c>
      <c r="V53" s="4"/>
      <c r="W53" s="4"/>
      <c r="X53" s="4"/>
      <c r="Y53" s="4"/>
      <c r="Z53" s="4"/>
    </row>
    <row r="54" spans="1:26">
      <c r="A54" s="29">
        <v>43506</v>
      </c>
      <c r="B54" s="13" t="str">
        <f t="shared" si="14"/>
        <v>Delta</v>
      </c>
      <c r="C54" s="15" t="str">
        <f t="shared" si="10"/>
        <v>UAA US Equity</v>
      </c>
      <c r="D54" s="49">
        <f t="shared" si="13"/>
        <v>-582.61313995702039</v>
      </c>
      <c r="E54" s="42">
        <f t="shared" si="15"/>
        <v>1</v>
      </c>
      <c r="F54" s="42" t="str">
        <f t="shared" si="16"/>
        <v>USD</v>
      </c>
      <c r="G54" s="30">
        <f t="shared" si="17"/>
        <v>-11815.394478328375</v>
      </c>
      <c r="H54" s="46">
        <f t="shared" si="18"/>
        <v>20.28</v>
      </c>
      <c r="I54" s="47">
        <v>25.286651676257225</v>
      </c>
      <c r="J54" s="45">
        <f t="shared" si="19"/>
        <v>2916.941053775301</v>
      </c>
      <c r="K54" s="30">
        <f t="shared" si="20"/>
        <v>-11815.394478328375</v>
      </c>
      <c r="L54" s="30">
        <f t="shared" si="21"/>
        <v>0</v>
      </c>
      <c r="M54" s="30">
        <f t="shared" si="22"/>
        <v>0</v>
      </c>
      <c r="N54" s="30">
        <f t="shared" si="23"/>
        <v>0</v>
      </c>
      <c r="O54" s="4"/>
      <c r="P54" s="48">
        <f>IF(I54="","",Amount*Mult*_xlfn.NORM.S.DIST(((LN(I54/K)+(r_dom-q+sigma^2/2)*U54))/(sigma*SQRT(U54)),1)*EXP(-q*U54))</f>
        <v>9971.3316172450504</v>
      </c>
      <c r="Q54" s="48">
        <f>IF(I54="","",SUM($D$37:D54))</f>
        <v>-9971.3316172450504</v>
      </c>
      <c r="R54" s="48">
        <f t="shared" si="12"/>
        <v>0</v>
      </c>
      <c r="S54" s="4"/>
      <c r="T54" s="4"/>
      <c r="U54" s="12">
        <f t="shared" si="8"/>
        <v>1.3698630136986301E-2</v>
      </c>
      <c r="V54" s="4"/>
      <c r="W54" s="4"/>
      <c r="X54" s="4"/>
      <c r="Y54" s="4"/>
      <c r="Z54" s="4"/>
    </row>
    <row r="55" spans="1:26">
      <c r="A55" s="29">
        <v>43507</v>
      </c>
      <c r="B55" s="13" t="str">
        <f t="shared" si="14"/>
        <v>Delta</v>
      </c>
      <c r="C55" s="15" t="str">
        <f t="shared" si="10"/>
        <v>UAA US Equity</v>
      </c>
      <c r="D55" s="49">
        <f t="shared" si="13"/>
        <v>10.38209605368138</v>
      </c>
      <c r="E55" s="42">
        <f t="shared" si="15"/>
        <v>1</v>
      </c>
      <c r="F55" s="42" t="str">
        <f t="shared" si="16"/>
        <v>USD</v>
      </c>
      <c r="G55" s="30">
        <f t="shared" si="17"/>
        <v>210.5489079686584</v>
      </c>
      <c r="H55" s="46">
        <f t="shared" si="18"/>
        <v>20.28</v>
      </c>
      <c r="I55" s="47">
        <v>24.554160349917325</v>
      </c>
      <c r="J55" s="45">
        <f t="shared" si="19"/>
        <v>-44.374743301678073</v>
      </c>
      <c r="K55" s="30">
        <f t="shared" si="20"/>
        <v>210.5489079686584</v>
      </c>
      <c r="L55" s="30">
        <f t="shared" si="21"/>
        <v>0</v>
      </c>
      <c r="M55" s="30">
        <f t="shared" si="22"/>
        <v>0</v>
      </c>
      <c r="N55" s="30">
        <f t="shared" si="23"/>
        <v>0</v>
      </c>
      <c r="O55" s="4"/>
      <c r="P55" s="48">
        <f>IF(I55="","",Amount*Mult*_xlfn.NORM.S.DIST(((LN(I55/K)+(r_dom-q+sigma^2/2)*U55))/(sigma*SQRT(U55)),1)*EXP(-q*U55))</f>
        <v>9960.9495211913691</v>
      </c>
      <c r="Q55" s="48">
        <f>IF(I55="","",SUM($D$37:D55))</f>
        <v>-9960.9495211913691</v>
      </c>
      <c r="R55" s="48">
        <f t="shared" si="12"/>
        <v>0</v>
      </c>
      <c r="S55" s="4"/>
      <c r="T55" s="4"/>
      <c r="U55" s="12">
        <f t="shared" si="8"/>
        <v>1.0958904109589041E-2</v>
      </c>
      <c r="V55" s="4"/>
      <c r="W55" s="4"/>
      <c r="X55" s="4"/>
      <c r="Y55" s="4"/>
      <c r="Z55" s="4"/>
    </row>
    <row r="56" spans="1:26">
      <c r="A56" s="29">
        <v>43508</v>
      </c>
      <c r="B56" s="13" t="str">
        <f t="shared" si="14"/>
        <v>Delta</v>
      </c>
      <c r="C56" s="15" t="str">
        <f t="shared" si="10"/>
        <v>UAA US Equity</v>
      </c>
      <c r="D56" s="49">
        <f t="shared" si="13"/>
        <v>-29.036647867056672</v>
      </c>
      <c r="E56" s="42">
        <f t="shared" si="15"/>
        <v>1</v>
      </c>
      <c r="F56" s="42" t="str">
        <f t="shared" si="16"/>
        <v>USD</v>
      </c>
      <c r="G56" s="30">
        <f t="shared" si="17"/>
        <v>-588.86321874390933</v>
      </c>
      <c r="H56" s="46">
        <f t="shared" si="18"/>
        <v>20.28</v>
      </c>
      <c r="I56" s="47">
        <v>24.620214426021946</v>
      </c>
      <c r="J56" s="45">
        <f t="shared" si="19"/>
        <v>126.0252779559187</v>
      </c>
      <c r="K56" s="30">
        <f t="shared" si="20"/>
        <v>-588.86321874390933</v>
      </c>
      <c r="L56" s="30">
        <f t="shared" si="21"/>
        <v>0</v>
      </c>
      <c r="M56" s="30">
        <f t="shared" si="22"/>
        <v>0</v>
      </c>
      <c r="N56" s="30">
        <f t="shared" si="23"/>
        <v>0</v>
      </c>
      <c r="O56" s="4"/>
      <c r="P56" s="48">
        <f>IF(I56="","",Amount*Mult*_xlfn.NORM.S.DIST(((LN(I56/K)+(r_dom-q+sigma^2/2)*U56))/(sigma*SQRT(U56)),1)*EXP(-q*U56))</f>
        <v>9989.9861690584257</v>
      </c>
      <c r="Q56" s="48">
        <f>IF(I56="","",SUM($D$37:D56))</f>
        <v>-9989.9861690584257</v>
      </c>
      <c r="R56" s="48">
        <f t="shared" si="12"/>
        <v>0</v>
      </c>
      <c r="S56" s="4"/>
      <c r="T56" s="4"/>
      <c r="U56" s="12">
        <f t="shared" si="8"/>
        <v>8.21917808219178E-3</v>
      </c>
      <c r="V56" s="4"/>
      <c r="W56" s="4"/>
      <c r="X56" s="4"/>
      <c r="Y56" s="4"/>
      <c r="Z56" s="4"/>
    </row>
    <row r="57" spans="1:26">
      <c r="A57" s="29">
        <v>43509</v>
      </c>
      <c r="B57" s="13" t="str">
        <f t="shared" si="14"/>
        <v>Delta</v>
      </c>
      <c r="C57" s="15" t="str">
        <f t="shared" si="10"/>
        <v>UAA US Equity</v>
      </c>
      <c r="D57" s="49">
        <f t="shared" si="13"/>
        <v>22.200938360492728</v>
      </c>
      <c r="E57" s="42">
        <f t="shared" si="15"/>
        <v>1</v>
      </c>
      <c r="F57" s="42" t="str">
        <f t="shared" si="16"/>
        <v>USD</v>
      </c>
      <c r="G57" s="30">
        <f t="shared" si="17"/>
        <v>450.23502995079252</v>
      </c>
      <c r="H57" s="46">
        <f t="shared" si="18"/>
        <v>20.28</v>
      </c>
      <c r="I57" s="47">
        <v>23.369142278097065</v>
      </c>
      <c r="J57" s="45">
        <f t="shared" si="19"/>
        <v>-68.581857302825014</v>
      </c>
      <c r="K57" s="30">
        <f t="shared" si="20"/>
        <v>450.23502995079252</v>
      </c>
      <c r="L57" s="30">
        <f t="shared" si="21"/>
        <v>0</v>
      </c>
      <c r="M57" s="30">
        <f t="shared" si="22"/>
        <v>0</v>
      </c>
      <c r="N57" s="30">
        <f t="shared" si="23"/>
        <v>0</v>
      </c>
      <c r="O57" s="4"/>
      <c r="P57" s="48">
        <f>IF(I57="","",Amount*Mult*_xlfn.NORM.S.DIST(((LN(I57/K)+(r_dom-q+sigma^2/2)*U57))/(sigma*SQRT(U57)),1)*EXP(-q*U57))</f>
        <v>9967.785230697933</v>
      </c>
      <c r="Q57" s="48">
        <f>IF(I57="","",SUM($D$37:D57))</f>
        <v>-9967.785230697933</v>
      </c>
      <c r="R57" s="48">
        <f t="shared" si="12"/>
        <v>0</v>
      </c>
      <c r="S57" s="4"/>
      <c r="T57" s="4"/>
      <c r="U57" s="12">
        <f t="shared" si="8"/>
        <v>5.4794520547945206E-3</v>
      </c>
      <c r="V57" s="4"/>
      <c r="W57" s="4"/>
      <c r="X57" s="4"/>
      <c r="Y57" s="4"/>
      <c r="Z57" s="4"/>
    </row>
    <row r="58" spans="1:26">
      <c r="A58" s="29">
        <v>43510</v>
      </c>
      <c r="B58" s="13" t="str">
        <f t="shared" si="14"/>
        <v>Delta</v>
      </c>
      <c r="C58" s="15" t="str">
        <f t="shared" si="10"/>
        <v>UAA US Equity</v>
      </c>
      <c r="D58" s="49">
        <f t="shared" si="13"/>
        <v>-31.894226494299801</v>
      </c>
      <c r="E58" s="42">
        <f t="shared" si="15"/>
        <v>1</v>
      </c>
      <c r="F58" s="42" t="str">
        <f t="shared" si="16"/>
        <v>USD</v>
      </c>
      <c r="G58" s="30">
        <f t="shared" si="17"/>
        <v>-646.81491330439997</v>
      </c>
      <c r="H58" s="46">
        <f t="shared" si="18"/>
        <v>20.28</v>
      </c>
      <c r="I58" s="47">
        <v>26.690961833607339</v>
      </c>
      <c r="J58" s="45">
        <f t="shared" si="19"/>
        <v>204.47266876738399</v>
      </c>
      <c r="K58" s="30">
        <f t="shared" si="20"/>
        <v>-646.81491330439997</v>
      </c>
      <c r="L58" s="30">
        <f t="shared" si="21"/>
        <v>0</v>
      </c>
      <c r="M58" s="30">
        <f t="shared" si="22"/>
        <v>0</v>
      </c>
      <c r="N58" s="30">
        <f t="shared" si="23"/>
        <v>0</v>
      </c>
      <c r="O58" s="4"/>
      <c r="P58" s="48">
        <f>IF(I58="","",Amount*Mult*_xlfn.NORM.S.DIST(((LN(I58/K)+(r_dom-q+sigma^2/2)*U58))/(sigma*SQRT(U58)),1)*EXP(-q*U58))</f>
        <v>9999.6794571922328</v>
      </c>
      <c r="Q58" s="48">
        <f>IF(I58="","",SUM($D$37:D58))</f>
        <v>-9999.6794571922328</v>
      </c>
      <c r="R58" s="48">
        <f t="shared" si="12"/>
        <v>0</v>
      </c>
      <c r="S58" s="4"/>
      <c r="T58" s="4"/>
      <c r="U58" s="12">
        <f t="shared" si="8"/>
        <v>2.7397260273972603E-3</v>
      </c>
      <c r="V58" s="4"/>
      <c r="W58" s="4"/>
      <c r="X58" s="4"/>
      <c r="Y58" s="4"/>
      <c r="Z58" s="4"/>
    </row>
    <row r="59" spans="1:26">
      <c r="A59" s="29"/>
      <c r="B59" s="13" t="str">
        <f t="shared" si="14"/>
        <v/>
      </c>
      <c r="C59" s="15" t="str">
        <f t="shared" si="10"/>
        <v/>
      </c>
      <c r="D59" s="49" t="str">
        <f t="shared" si="13"/>
        <v/>
      </c>
      <c r="E59" s="42" t="str">
        <f t="shared" si="15"/>
        <v/>
      </c>
      <c r="F59" s="42" t="str">
        <f t="shared" si="16"/>
        <v/>
      </c>
      <c r="G59" s="30" t="str">
        <f t="shared" si="17"/>
        <v/>
      </c>
      <c r="H59" s="46" t="str">
        <f t="shared" si="18"/>
        <v/>
      </c>
      <c r="I59" s="47"/>
      <c r="J59" s="45" t="str">
        <f t="shared" si="19"/>
        <v/>
      </c>
      <c r="K59" s="30" t="str">
        <f t="shared" si="20"/>
        <v/>
      </c>
      <c r="L59" s="30" t="str">
        <f t="shared" si="21"/>
        <v/>
      </c>
      <c r="M59" s="30" t="str">
        <f t="shared" si="22"/>
        <v/>
      </c>
      <c r="N59" s="30" t="str">
        <f t="shared" si="23"/>
        <v/>
      </c>
      <c r="O59" s="4"/>
      <c r="P59" s="48" t="str">
        <f>IF(I59="","",Amount*Mult*_xlfn.NORM.S.DIST(((LN(I59/K)+(r_dom-q+sigma^2/2)*U59))/(sigma*SQRT(U59)),1)*EXP(-q*U59))</f>
        <v/>
      </c>
      <c r="Q59" s="48" t="str">
        <f>IF(I59="","",SUM($D$37:D59))</f>
        <v/>
      </c>
      <c r="R59" s="48" t="str">
        <f t="shared" ref="R59:R122" si="24">IF(I59="","",P59+Q59)</f>
        <v/>
      </c>
      <c r="S59" s="4"/>
      <c r="T59" s="4"/>
      <c r="U59" s="12">
        <f>IF(OR(A59="",$D$2&lt;=A59),0,($D$2-A59)/365)</f>
        <v>0</v>
      </c>
      <c r="V59" s="4"/>
      <c r="W59" s="4"/>
      <c r="X59" s="4"/>
      <c r="Y59" s="4"/>
      <c r="Z59" s="4"/>
    </row>
    <row r="60" spans="1:26">
      <c r="A60" s="29"/>
      <c r="B60" s="13" t="str">
        <f t="shared" si="14"/>
        <v/>
      </c>
      <c r="C60" s="15" t="str">
        <f t="shared" si="10"/>
        <v/>
      </c>
      <c r="D60" s="49" t="str">
        <f t="shared" si="13"/>
        <v/>
      </c>
      <c r="E60" s="42" t="str">
        <f t="shared" si="15"/>
        <v/>
      </c>
      <c r="F60" s="42" t="str">
        <f t="shared" si="16"/>
        <v/>
      </c>
      <c r="G60" s="30" t="str">
        <f t="shared" si="17"/>
        <v/>
      </c>
      <c r="H60" s="46" t="str">
        <f t="shared" si="18"/>
        <v/>
      </c>
      <c r="I60" s="47"/>
      <c r="J60" s="45" t="str">
        <f t="shared" si="19"/>
        <v/>
      </c>
      <c r="K60" s="30" t="str">
        <f t="shared" si="20"/>
        <v/>
      </c>
      <c r="L60" s="30" t="str">
        <f t="shared" si="21"/>
        <v/>
      </c>
      <c r="M60" s="30" t="str">
        <f t="shared" si="22"/>
        <v/>
      </c>
      <c r="N60" s="30" t="str">
        <f t="shared" si="23"/>
        <v/>
      </c>
      <c r="O60" s="4"/>
      <c r="P60" s="48" t="str">
        <f>IF(I60="","",Amount*Mult*_xlfn.NORM.S.DIST(((LN(I60/K)+(r_dom-q+sigma^2/2)*U60))/(sigma*SQRT(U60)),1)*EXP(-q*U60))</f>
        <v/>
      </c>
      <c r="Q60" s="48" t="str">
        <f>IF(I60="","",SUM($D$37:D60))</f>
        <v/>
      </c>
      <c r="R60" s="48" t="str">
        <f t="shared" si="24"/>
        <v/>
      </c>
      <c r="S60" s="4"/>
      <c r="T60" s="4"/>
      <c r="U60" s="12">
        <f t="shared" ref="U60:U123" si="25">IF(OR(A60="",$D$2&lt;=A60),0,($D$2-A60)/365)</f>
        <v>0</v>
      </c>
      <c r="V60" s="4"/>
      <c r="W60" s="4"/>
      <c r="X60" s="4"/>
      <c r="Y60" s="4"/>
      <c r="Z60" s="4"/>
    </row>
    <row r="61" spans="1:26">
      <c r="A61" s="29"/>
      <c r="B61" s="13" t="str">
        <f t="shared" si="14"/>
        <v/>
      </c>
      <c r="C61" s="15" t="str">
        <f t="shared" si="10"/>
        <v/>
      </c>
      <c r="D61" s="49" t="str">
        <f t="shared" si="13"/>
        <v/>
      </c>
      <c r="E61" s="42" t="str">
        <f t="shared" si="15"/>
        <v/>
      </c>
      <c r="F61" s="42" t="str">
        <f t="shared" si="16"/>
        <v/>
      </c>
      <c r="G61" s="30" t="str">
        <f t="shared" si="17"/>
        <v/>
      </c>
      <c r="H61" s="46" t="str">
        <f t="shared" si="18"/>
        <v/>
      </c>
      <c r="I61" s="47"/>
      <c r="J61" s="45" t="str">
        <f t="shared" si="19"/>
        <v/>
      </c>
      <c r="K61" s="30" t="str">
        <f t="shared" si="20"/>
        <v/>
      </c>
      <c r="L61" s="30" t="str">
        <f t="shared" si="21"/>
        <v/>
      </c>
      <c r="M61" s="30" t="str">
        <f t="shared" si="22"/>
        <v/>
      </c>
      <c r="N61" s="30" t="str">
        <f t="shared" si="23"/>
        <v/>
      </c>
      <c r="O61" s="4"/>
      <c r="P61" s="48" t="str">
        <f>IF(I61="","",Amount*Mult*_xlfn.NORM.S.DIST(((LN(I61/K)+(r_dom-q+sigma^2/2)*U61))/(sigma*SQRT(U61)),1)*EXP(-q*U61))</f>
        <v/>
      </c>
      <c r="Q61" s="48" t="str">
        <f>IF(I61="","",SUM($D$37:D61))</f>
        <v/>
      </c>
      <c r="R61" s="48" t="str">
        <f t="shared" si="24"/>
        <v/>
      </c>
      <c r="S61" s="4"/>
      <c r="T61" s="4"/>
      <c r="U61" s="12">
        <f t="shared" si="25"/>
        <v>0</v>
      </c>
      <c r="V61" s="4"/>
      <c r="W61" s="4"/>
      <c r="X61" s="4"/>
      <c r="Y61" s="4"/>
      <c r="Z61" s="4"/>
    </row>
    <row r="62" spans="1:26">
      <c r="A62" s="29"/>
      <c r="B62" s="13" t="str">
        <f t="shared" si="14"/>
        <v/>
      </c>
      <c r="C62" s="15" t="str">
        <f t="shared" si="10"/>
        <v/>
      </c>
      <c r="D62" s="49" t="str">
        <f t="shared" si="13"/>
        <v/>
      </c>
      <c r="E62" s="42" t="str">
        <f t="shared" si="15"/>
        <v/>
      </c>
      <c r="F62" s="42" t="str">
        <f t="shared" si="16"/>
        <v/>
      </c>
      <c r="G62" s="30" t="str">
        <f t="shared" si="17"/>
        <v/>
      </c>
      <c r="H62" s="46" t="str">
        <f t="shared" si="18"/>
        <v/>
      </c>
      <c r="I62" s="47"/>
      <c r="J62" s="45" t="str">
        <f t="shared" si="19"/>
        <v/>
      </c>
      <c r="K62" s="30" t="str">
        <f t="shared" si="20"/>
        <v/>
      </c>
      <c r="L62" s="30" t="str">
        <f t="shared" si="21"/>
        <v/>
      </c>
      <c r="M62" s="30" t="str">
        <f t="shared" si="22"/>
        <v/>
      </c>
      <c r="N62" s="30" t="str">
        <f t="shared" si="23"/>
        <v/>
      </c>
      <c r="O62" s="4"/>
      <c r="P62" s="48" t="str">
        <f>IF(I62="","",Amount*Mult*_xlfn.NORM.S.DIST(((LN(I62/K)+(r_dom-q+sigma^2/2)*U62))/(sigma*SQRT(U62)),1)*EXP(-q*U62))</f>
        <v/>
      </c>
      <c r="Q62" s="48" t="str">
        <f>IF(I62="","",SUM($D$37:D62))</f>
        <v/>
      </c>
      <c r="R62" s="48" t="str">
        <f t="shared" si="24"/>
        <v/>
      </c>
      <c r="S62" s="4"/>
      <c r="T62" s="4"/>
      <c r="U62" s="12">
        <f t="shared" si="25"/>
        <v>0</v>
      </c>
      <c r="V62" s="4"/>
      <c r="W62" s="4"/>
      <c r="X62" s="4"/>
      <c r="Y62" s="4"/>
      <c r="Z62" s="4"/>
    </row>
    <row r="63" spans="1:26">
      <c r="A63" s="29"/>
      <c r="B63" s="13" t="str">
        <f t="shared" si="14"/>
        <v/>
      </c>
      <c r="C63" s="15" t="str">
        <f t="shared" si="10"/>
        <v/>
      </c>
      <c r="D63" s="49" t="str">
        <f t="shared" si="13"/>
        <v/>
      </c>
      <c r="E63" s="42" t="str">
        <f t="shared" si="15"/>
        <v/>
      </c>
      <c r="F63" s="42" t="str">
        <f t="shared" si="16"/>
        <v/>
      </c>
      <c r="G63" s="30" t="str">
        <f t="shared" si="17"/>
        <v/>
      </c>
      <c r="H63" s="46" t="str">
        <f t="shared" si="18"/>
        <v/>
      </c>
      <c r="I63" s="47"/>
      <c r="J63" s="45" t="str">
        <f t="shared" si="19"/>
        <v/>
      </c>
      <c r="K63" s="30" t="str">
        <f t="shared" si="20"/>
        <v/>
      </c>
      <c r="L63" s="30" t="str">
        <f t="shared" si="21"/>
        <v/>
      </c>
      <c r="M63" s="30" t="str">
        <f t="shared" si="22"/>
        <v/>
      </c>
      <c r="N63" s="30" t="str">
        <f t="shared" si="23"/>
        <v/>
      </c>
      <c r="O63" s="4"/>
      <c r="P63" s="48" t="str">
        <f>IF(I63="","",Amount*Mult*_xlfn.NORM.S.DIST(((LN(I63/K)+(r_dom-q+sigma^2/2)*U63))/(sigma*SQRT(U63)),1)*EXP(-q*U63))</f>
        <v/>
      </c>
      <c r="Q63" s="48" t="str">
        <f>IF(I63="","",SUM($D$37:D63))</f>
        <v/>
      </c>
      <c r="R63" s="48" t="str">
        <f t="shared" si="24"/>
        <v/>
      </c>
      <c r="S63" s="4"/>
      <c r="T63" s="4"/>
      <c r="U63" s="12">
        <f t="shared" si="25"/>
        <v>0</v>
      </c>
      <c r="V63" s="4"/>
      <c r="W63" s="4"/>
      <c r="X63" s="4"/>
      <c r="Y63" s="4"/>
      <c r="Z63" s="4"/>
    </row>
    <row r="64" spans="1:26">
      <c r="A64" s="4"/>
      <c r="B64" s="13" t="str">
        <f t="shared" si="14"/>
        <v/>
      </c>
      <c r="C64" s="15" t="str">
        <f t="shared" si="10"/>
        <v/>
      </c>
      <c r="D64" s="49" t="str">
        <f t="shared" si="13"/>
        <v/>
      </c>
      <c r="E64" s="42" t="str">
        <f t="shared" si="15"/>
        <v/>
      </c>
      <c r="F64" s="42" t="str">
        <f t="shared" si="16"/>
        <v/>
      </c>
      <c r="G64" s="30" t="str">
        <f t="shared" si="17"/>
        <v/>
      </c>
      <c r="H64" s="46" t="str">
        <f t="shared" si="18"/>
        <v/>
      </c>
      <c r="I64" s="47"/>
      <c r="J64" s="45" t="str">
        <f t="shared" si="19"/>
        <v/>
      </c>
      <c r="K64" s="30" t="str">
        <f t="shared" si="20"/>
        <v/>
      </c>
      <c r="L64" s="30" t="str">
        <f t="shared" si="21"/>
        <v/>
      </c>
      <c r="M64" s="30" t="str">
        <f t="shared" si="22"/>
        <v/>
      </c>
      <c r="N64" s="30" t="str">
        <f t="shared" si="23"/>
        <v/>
      </c>
      <c r="O64" s="4"/>
      <c r="P64" s="48" t="str">
        <f>IF(I64="","",Amount*Mult*_xlfn.NORM.S.DIST(((LN(I64/K)+(r_dom-q+sigma^2/2)*U64))/(sigma*SQRT(U64)),1)*EXP(-q*U64))</f>
        <v/>
      </c>
      <c r="Q64" s="48" t="str">
        <f>IF(I64="","",SUM($D$37:D64))</f>
        <v/>
      </c>
      <c r="R64" s="48" t="str">
        <f t="shared" si="24"/>
        <v/>
      </c>
      <c r="S64" s="4"/>
      <c r="T64" s="4"/>
      <c r="U64" s="12">
        <f t="shared" si="25"/>
        <v>0</v>
      </c>
      <c r="V64" s="4"/>
      <c r="W64" s="4"/>
      <c r="X64" s="4"/>
      <c r="Y64" s="4"/>
      <c r="Z64" s="4"/>
    </row>
    <row r="65" spans="1:26">
      <c r="A65" s="29"/>
      <c r="B65" s="13" t="str">
        <f t="shared" si="14"/>
        <v/>
      </c>
      <c r="C65" s="15" t="str">
        <f t="shared" si="10"/>
        <v/>
      </c>
      <c r="D65" s="49" t="str">
        <f t="shared" si="13"/>
        <v/>
      </c>
      <c r="E65" s="42" t="str">
        <f t="shared" si="15"/>
        <v/>
      </c>
      <c r="F65" s="42" t="str">
        <f t="shared" si="16"/>
        <v/>
      </c>
      <c r="G65" s="30" t="str">
        <f t="shared" si="17"/>
        <v/>
      </c>
      <c r="H65" s="46" t="str">
        <f t="shared" si="18"/>
        <v/>
      </c>
      <c r="I65" s="47"/>
      <c r="J65" s="45" t="str">
        <f t="shared" si="19"/>
        <v/>
      </c>
      <c r="K65" s="30" t="str">
        <f t="shared" si="20"/>
        <v/>
      </c>
      <c r="L65" s="30" t="str">
        <f t="shared" si="21"/>
        <v/>
      </c>
      <c r="M65" s="30" t="str">
        <f t="shared" si="22"/>
        <v/>
      </c>
      <c r="N65" s="30" t="str">
        <f t="shared" si="23"/>
        <v/>
      </c>
      <c r="O65" s="4"/>
      <c r="P65" s="48" t="str">
        <f>IF(I65="","",Amount*Mult*_xlfn.NORM.S.DIST(((LN(I65/K)+(r_dom-q+sigma^2/2)*U65))/(sigma*SQRT(U65)),1)*EXP(-q*U65))</f>
        <v/>
      </c>
      <c r="Q65" s="48" t="str">
        <f>IF(I65="","",SUM($D$37:D65))</f>
        <v/>
      </c>
      <c r="R65" s="48" t="str">
        <f t="shared" si="24"/>
        <v/>
      </c>
      <c r="S65" s="4"/>
      <c r="T65" s="4"/>
      <c r="U65" s="12">
        <f t="shared" si="25"/>
        <v>0</v>
      </c>
      <c r="V65" s="4"/>
      <c r="W65" s="4"/>
      <c r="X65" s="4"/>
      <c r="Y65" s="4"/>
      <c r="Z65" s="4"/>
    </row>
    <row r="66" spans="1:26">
      <c r="A66" s="29"/>
      <c r="B66" s="13" t="str">
        <f t="shared" si="14"/>
        <v/>
      </c>
      <c r="C66" s="15" t="str">
        <f t="shared" si="10"/>
        <v/>
      </c>
      <c r="D66" s="49" t="str">
        <f t="shared" si="13"/>
        <v/>
      </c>
      <c r="E66" s="42" t="str">
        <f t="shared" si="15"/>
        <v/>
      </c>
      <c r="F66" s="42" t="str">
        <f t="shared" si="16"/>
        <v/>
      </c>
      <c r="G66" s="30" t="str">
        <f t="shared" si="17"/>
        <v/>
      </c>
      <c r="H66" s="52" t="s">
        <v>68</v>
      </c>
      <c r="I66" s="47"/>
      <c r="J66" s="45" t="str">
        <f t="shared" si="19"/>
        <v/>
      </c>
      <c r="K66" s="30" t="str">
        <f t="shared" si="20"/>
        <v/>
      </c>
      <c r="L66" s="30" t="str">
        <f t="shared" si="21"/>
        <v/>
      </c>
      <c r="M66" s="30" t="str">
        <f t="shared" si="22"/>
        <v/>
      </c>
      <c r="N66" s="30" t="str">
        <f t="shared" si="23"/>
        <v/>
      </c>
      <c r="O66" s="4"/>
      <c r="P66" s="48" t="str">
        <f>IF(I66="","",Amount*Mult*_xlfn.NORM.S.DIST(((LN(I66/K)+(r_dom-q+sigma^2/2)*U66))/(sigma*SQRT(U66)),1)*EXP(-q*U66))</f>
        <v/>
      </c>
      <c r="Q66" s="48" t="str">
        <f>IF(I66="","",SUM($D$37:D66))</f>
        <v/>
      </c>
      <c r="R66" s="48" t="str">
        <f t="shared" si="24"/>
        <v/>
      </c>
      <c r="S66" s="4"/>
      <c r="T66" s="4"/>
      <c r="U66" s="12">
        <f t="shared" si="25"/>
        <v>0</v>
      </c>
      <c r="V66" s="4"/>
      <c r="W66" s="4"/>
      <c r="X66" s="4"/>
      <c r="Y66" s="4"/>
      <c r="Z66" s="4"/>
    </row>
    <row r="67" spans="1:26">
      <c r="A67" s="29"/>
      <c r="B67" s="13" t="str">
        <f t="shared" si="14"/>
        <v/>
      </c>
      <c r="C67" s="15" t="str">
        <f t="shared" si="10"/>
        <v/>
      </c>
      <c r="D67" s="49" t="str">
        <f t="shared" si="13"/>
        <v/>
      </c>
      <c r="E67" s="42" t="str">
        <f t="shared" si="15"/>
        <v/>
      </c>
      <c r="F67" s="42" t="str">
        <f t="shared" si="16"/>
        <v/>
      </c>
      <c r="G67" s="30" t="str">
        <f t="shared" si="17"/>
        <v/>
      </c>
      <c r="H67" s="46" t="str">
        <f t="shared" si="18"/>
        <v/>
      </c>
      <c r="I67" s="47"/>
      <c r="J67" s="45" t="str">
        <f t="shared" si="19"/>
        <v/>
      </c>
      <c r="K67" s="30" t="str">
        <f t="shared" si="20"/>
        <v/>
      </c>
      <c r="L67" s="30" t="str">
        <f t="shared" si="21"/>
        <v/>
      </c>
      <c r="M67" s="30" t="str">
        <f t="shared" si="22"/>
        <v/>
      </c>
      <c r="N67" s="30" t="str">
        <f t="shared" si="23"/>
        <v/>
      </c>
      <c r="O67" s="4"/>
      <c r="P67" s="48" t="str">
        <f>IF(I67="","",Amount*Mult*_xlfn.NORM.S.DIST(((LN(I67/K)+(r_dom-q+sigma^2/2)*U67))/(sigma*SQRT(U67)),1)*EXP(-q*U67))</f>
        <v/>
      </c>
      <c r="Q67" s="48" t="str">
        <f>IF(I67="","",SUM($D$37:D67))</f>
        <v/>
      </c>
      <c r="R67" s="48" t="str">
        <f t="shared" si="24"/>
        <v/>
      </c>
      <c r="S67" s="4"/>
      <c r="T67" s="4"/>
      <c r="U67" s="12">
        <f t="shared" si="25"/>
        <v>0</v>
      </c>
      <c r="V67" s="4"/>
      <c r="W67" s="4"/>
      <c r="X67" s="4"/>
      <c r="Y67" s="4"/>
      <c r="Z67" s="4"/>
    </row>
    <row r="68" spans="1:26">
      <c r="A68" s="29"/>
      <c r="B68" s="13" t="str">
        <f t="shared" si="14"/>
        <v/>
      </c>
      <c r="C68" s="15" t="str">
        <f t="shared" si="10"/>
        <v/>
      </c>
      <c r="D68" s="49" t="str">
        <f t="shared" si="13"/>
        <v/>
      </c>
      <c r="E68" s="42" t="str">
        <f t="shared" si="15"/>
        <v/>
      </c>
      <c r="F68" s="42" t="str">
        <f t="shared" si="16"/>
        <v/>
      </c>
      <c r="G68" s="30" t="str">
        <f t="shared" si="17"/>
        <v/>
      </c>
      <c r="H68" s="46" t="str">
        <f t="shared" si="18"/>
        <v/>
      </c>
      <c r="I68" s="47"/>
      <c r="J68" s="45" t="str">
        <f t="shared" si="19"/>
        <v/>
      </c>
      <c r="K68" s="30" t="str">
        <f t="shared" si="20"/>
        <v/>
      </c>
      <c r="L68" s="30" t="str">
        <f t="shared" si="21"/>
        <v/>
      </c>
      <c r="M68" s="30" t="str">
        <f t="shared" si="22"/>
        <v/>
      </c>
      <c r="N68" s="30" t="str">
        <f t="shared" si="23"/>
        <v/>
      </c>
      <c r="O68" s="4"/>
      <c r="P68" s="48" t="str">
        <f>IF(I68="","",Amount*Mult*_xlfn.NORM.S.DIST(((LN(I68/K)+(r_dom-q+sigma^2/2)*U68))/(sigma*SQRT(U68)),1)*EXP(-q*U68))</f>
        <v/>
      </c>
      <c r="Q68" s="48" t="str">
        <f>IF(I68="","",SUM($D$37:D68))</f>
        <v/>
      </c>
      <c r="R68" s="48" t="str">
        <f t="shared" si="24"/>
        <v/>
      </c>
      <c r="S68" s="4"/>
      <c r="T68" s="4"/>
      <c r="U68" s="12">
        <f t="shared" si="25"/>
        <v>0</v>
      </c>
      <c r="V68" s="4"/>
      <c r="W68" s="4"/>
      <c r="X68" s="4"/>
      <c r="Y68" s="4"/>
      <c r="Z68" s="4"/>
    </row>
    <row r="69" spans="1:26">
      <c r="A69" s="29"/>
      <c r="B69" s="13" t="str">
        <f t="shared" si="14"/>
        <v/>
      </c>
      <c r="C69" s="15" t="str">
        <f t="shared" si="10"/>
        <v/>
      </c>
      <c r="D69" s="49" t="str">
        <f t="shared" si="13"/>
        <v/>
      </c>
      <c r="E69" s="42" t="str">
        <f t="shared" si="15"/>
        <v/>
      </c>
      <c r="F69" s="42" t="str">
        <f t="shared" si="16"/>
        <v/>
      </c>
      <c r="G69" s="30" t="str">
        <f t="shared" si="17"/>
        <v/>
      </c>
      <c r="H69" s="46" t="str">
        <f t="shared" si="18"/>
        <v/>
      </c>
      <c r="I69" s="47"/>
      <c r="J69" s="45" t="str">
        <f t="shared" si="19"/>
        <v/>
      </c>
      <c r="K69" s="30" t="str">
        <f t="shared" si="20"/>
        <v/>
      </c>
      <c r="L69" s="30" t="str">
        <f t="shared" si="21"/>
        <v/>
      </c>
      <c r="M69" s="30" t="str">
        <f t="shared" si="22"/>
        <v/>
      </c>
      <c r="N69" s="30" t="str">
        <f t="shared" si="23"/>
        <v/>
      </c>
      <c r="O69" s="4"/>
      <c r="P69" s="48" t="str">
        <f>IF(I69="","",Amount*Mult*_xlfn.NORM.S.DIST(((LN(I69/K)+(r_dom-q+sigma^2/2)*U69))/(sigma*SQRT(U69)),1)*EXP(-q*U69))</f>
        <v/>
      </c>
      <c r="Q69" s="48" t="str">
        <f>IF(I69="","",SUM($D$37:D69))</f>
        <v/>
      </c>
      <c r="R69" s="48" t="str">
        <f t="shared" si="24"/>
        <v/>
      </c>
      <c r="S69" s="4"/>
      <c r="T69" s="4"/>
      <c r="U69" s="12">
        <f t="shared" si="25"/>
        <v>0</v>
      </c>
      <c r="V69" s="4"/>
      <c r="W69" s="4"/>
      <c r="X69" s="4"/>
      <c r="Y69" s="4"/>
      <c r="Z69" s="4"/>
    </row>
    <row r="70" spans="1:26">
      <c r="A70" s="29"/>
      <c r="B70" s="13" t="str">
        <f t="shared" si="14"/>
        <v/>
      </c>
      <c r="C70" s="15" t="str">
        <f t="shared" si="10"/>
        <v/>
      </c>
      <c r="D70" s="49" t="str">
        <f t="shared" si="13"/>
        <v/>
      </c>
      <c r="E70" s="42" t="str">
        <f t="shared" si="15"/>
        <v/>
      </c>
      <c r="F70" s="42" t="str">
        <f t="shared" si="16"/>
        <v/>
      </c>
      <c r="G70" s="30" t="str">
        <f t="shared" si="17"/>
        <v/>
      </c>
      <c r="H70" s="46" t="str">
        <f t="shared" si="18"/>
        <v/>
      </c>
      <c r="I70" s="47"/>
      <c r="J70" s="45" t="str">
        <f t="shared" si="19"/>
        <v/>
      </c>
      <c r="K70" s="30" t="str">
        <f t="shared" si="20"/>
        <v/>
      </c>
      <c r="L70" s="30" t="str">
        <f t="shared" si="21"/>
        <v/>
      </c>
      <c r="M70" s="30" t="str">
        <f t="shared" si="22"/>
        <v/>
      </c>
      <c r="N70" s="30" t="str">
        <f t="shared" si="23"/>
        <v/>
      </c>
      <c r="O70" s="4"/>
      <c r="P70" s="48" t="str">
        <f>IF(I70="","",Amount*Mult*_xlfn.NORM.S.DIST(((LN(I70/K)+(r_dom-q+sigma^2/2)*U70))/(sigma*SQRT(U70)),1)*EXP(-q*U70))</f>
        <v/>
      </c>
      <c r="Q70" s="48" t="str">
        <f>IF(I70="","",SUM($D$37:D70))</f>
        <v/>
      </c>
      <c r="R70" s="48" t="str">
        <f t="shared" si="24"/>
        <v/>
      </c>
      <c r="S70" s="4"/>
      <c r="T70" s="4"/>
      <c r="U70" s="12">
        <f t="shared" si="25"/>
        <v>0</v>
      </c>
      <c r="V70" s="4"/>
      <c r="W70" s="4"/>
      <c r="X70" s="4"/>
      <c r="Y70" s="4"/>
      <c r="Z70" s="4"/>
    </row>
    <row r="71" spans="1:26">
      <c r="A71" s="29"/>
      <c r="B71" s="13" t="str">
        <f t="shared" si="14"/>
        <v/>
      </c>
      <c r="C71" s="15" t="str">
        <f t="shared" si="10"/>
        <v/>
      </c>
      <c r="D71" s="49" t="str">
        <f t="shared" si="13"/>
        <v/>
      </c>
      <c r="E71" s="42" t="str">
        <f t="shared" si="15"/>
        <v/>
      </c>
      <c r="F71" s="42" t="str">
        <f t="shared" si="16"/>
        <v/>
      </c>
      <c r="G71" s="30" t="str">
        <f t="shared" si="17"/>
        <v/>
      </c>
      <c r="H71" s="46" t="str">
        <f t="shared" si="18"/>
        <v/>
      </c>
      <c r="I71" s="47"/>
      <c r="J71" s="45" t="str">
        <f t="shared" si="19"/>
        <v/>
      </c>
      <c r="K71" s="30" t="str">
        <f t="shared" si="20"/>
        <v/>
      </c>
      <c r="L71" s="30" t="str">
        <f t="shared" si="21"/>
        <v/>
      </c>
      <c r="M71" s="30" t="str">
        <f t="shared" si="22"/>
        <v/>
      </c>
      <c r="N71" s="30" t="str">
        <f t="shared" si="23"/>
        <v/>
      </c>
      <c r="O71" s="4"/>
      <c r="P71" s="48" t="str">
        <f>IF(I71="","",Amount*Mult*_xlfn.NORM.S.DIST(((LN(I71/K)+(r_dom-q+sigma^2/2)*U71))/(sigma*SQRT(U71)),1)*EXP(-q*U71))</f>
        <v/>
      </c>
      <c r="Q71" s="48" t="str">
        <f>IF(I71="","",SUM($D$37:D71))</f>
        <v/>
      </c>
      <c r="R71" s="48" t="str">
        <f t="shared" si="24"/>
        <v/>
      </c>
      <c r="S71" s="4"/>
      <c r="T71" s="4"/>
      <c r="U71" s="12">
        <f t="shared" si="25"/>
        <v>0</v>
      </c>
      <c r="V71" s="4"/>
      <c r="W71" s="4"/>
      <c r="X71" s="4"/>
      <c r="Y71" s="4"/>
      <c r="Z71" s="4"/>
    </row>
    <row r="72" spans="1:26">
      <c r="A72" s="29"/>
      <c r="B72" s="13" t="str">
        <f t="shared" si="14"/>
        <v/>
      </c>
      <c r="C72" s="15" t="str">
        <f t="shared" si="10"/>
        <v/>
      </c>
      <c r="D72" s="49" t="str">
        <f t="shared" si="13"/>
        <v/>
      </c>
      <c r="E72" s="42" t="str">
        <f t="shared" si="15"/>
        <v/>
      </c>
      <c r="F72" s="42" t="str">
        <f t="shared" si="16"/>
        <v/>
      </c>
      <c r="G72" s="30" t="str">
        <f t="shared" si="17"/>
        <v/>
      </c>
      <c r="H72" s="46" t="str">
        <f t="shared" si="18"/>
        <v/>
      </c>
      <c r="I72" s="47"/>
      <c r="J72" s="45" t="str">
        <f t="shared" si="19"/>
        <v/>
      </c>
      <c r="K72" s="30" t="str">
        <f t="shared" si="20"/>
        <v/>
      </c>
      <c r="L72" s="30" t="str">
        <f t="shared" si="21"/>
        <v/>
      </c>
      <c r="M72" s="30" t="str">
        <f t="shared" si="22"/>
        <v/>
      </c>
      <c r="N72" s="30" t="str">
        <f t="shared" si="23"/>
        <v/>
      </c>
      <c r="O72" s="4"/>
      <c r="P72" s="48" t="str">
        <f>IF(I72="","",Amount*Mult*_xlfn.NORM.S.DIST(((LN(I72/K)+(r_dom-q+sigma^2/2)*U72))/(sigma*SQRT(U72)),1)*EXP(-q*U72))</f>
        <v/>
      </c>
      <c r="Q72" s="48" t="str">
        <f>IF(I72="","",SUM($D$37:D72))</f>
        <v/>
      </c>
      <c r="R72" s="48" t="str">
        <f t="shared" si="24"/>
        <v/>
      </c>
      <c r="S72" s="4"/>
      <c r="T72" s="4"/>
      <c r="U72" s="12">
        <f t="shared" si="25"/>
        <v>0</v>
      </c>
      <c r="V72" s="4"/>
      <c r="W72" s="4"/>
      <c r="X72" s="4"/>
      <c r="Y72" s="4"/>
      <c r="Z72" s="4"/>
    </row>
    <row r="73" spans="1:26">
      <c r="A73" s="29"/>
      <c r="B73" s="13" t="str">
        <f t="shared" si="14"/>
        <v/>
      </c>
      <c r="C73" s="15" t="str">
        <f t="shared" si="10"/>
        <v/>
      </c>
      <c r="D73" s="49" t="str">
        <f t="shared" si="13"/>
        <v/>
      </c>
      <c r="E73" s="42" t="str">
        <f t="shared" si="15"/>
        <v/>
      </c>
      <c r="F73" s="42" t="str">
        <f t="shared" si="16"/>
        <v/>
      </c>
      <c r="G73" s="30" t="str">
        <f t="shared" si="17"/>
        <v/>
      </c>
      <c r="H73" s="46" t="str">
        <f t="shared" si="18"/>
        <v/>
      </c>
      <c r="I73" s="47"/>
      <c r="J73" s="45" t="str">
        <f t="shared" si="19"/>
        <v/>
      </c>
      <c r="K73" s="30" t="str">
        <f t="shared" si="20"/>
        <v/>
      </c>
      <c r="L73" s="30" t="str">
        <f t="shared" si="21"/>
        <v/>
      </c>
      <c r="M73" s="30" t="str">
        <f t="shared" si="22"/>
        <v/>
      </c>
      <c r="N73" s="30" t="str">
        <f t="shared" si="23"/>
        <v/>
      </c>
      <c r="O73" s="4"/>
      <c r="P73" s="48" t="str">
        <f>IF(I73="","",Amount*Mult*_xlfn.NORM.S.DIST(((LN(I73/K)+(r_dom-q+sigma^2/2)*U73))/(sigma*SQRT(U73)),1)*EXP(-q*U73))</f>
        <v/>
      </c>
      <c r="Q73" s="48" t="str">
        <f>IF(I73="","",SUM($D$37:D73))</f>
        <v/>
      </c>
      <c r="R73" s="48" t="str">
        <f t="shared" si="24"/>
        <v/>
      </c>
      <c r="S73" s="4"/>
      <c r="T73" s="4"/>
      <c r="U73" s="12">
        <f t="shared" si="25"/>
        <v>0</v>
      </c>
      <c r="V73" s="4"/>
      <c r="W73" s="4"/>
      <c r="X73" s="4"/>
      <c r="Y73" s="4"/>
      <c r="Z73" s="4"/>
    </row>
    <row r="74" spans="1:26">
      <c r="A74" s="29"/>
      <c r="B74" s="13" t="str">
        <f t="shared" si="14"/>
        <v/>
      </c>
      <c r="C74" s="15" t="str">
        <f t="shared" si="10"/>
        <v/>
      </c>
      <c r="D74" s="49" t="str">
        <f t="shared" si="13"/>
        <v/>
      </c>
      <c r="E74" s="42" t="str">
        <f t="shared" si="15"/>
        <v/>
      </c>
      <c r="F74" s="42" t="str">
        <f t="shared" si="16"/>
        <v/>
      </c>
      <c r="G74" s="30" t="str">
        <f t="shared" si="17"/>
        <v/>
      </c>
      <c r="H74" s="46" t="str">
        <f t="shared" si="18"/>
        <v/>
      </c>
      <c r="I74" s="47"/>
      <c r="J74" s="45" t="str">
        <f t="shared" si="19"/>
        <v/>
      </c>
      <c r="K74" s="30" t="str">
        <f t="shared" si="20"/>
        <v/>
      </c>
      <c r="L74" s="30" t="str">
        <f t="shared" si="21"/>
        <v/>
      </c>
      <c r="M74" s="30" t="str">
        <f t="shared" si="22"/>
        <v/>
      </c>
      <c r="N74" s="30" t="str">
        <f t="shared" si="23"/>
        <v/>
      </c>
      <c r="O74" s="4"/>
      <c r="P74" s="48" t="str">
        <f>IF(I74="","",Amount*Mult*_xlfn.NORM.S.DIST(((LN(I74/K)+(r_dom-q+sigma^2/2)*U74))/(sigma*SQRT(U74)),1)*EXP(-q*U74))</f>
        <v/>
      </c>
      <c r="Q74" s="48" t="str">
        <f>IF(I74="","",SUM($D$37:D74))</f>
        <v/>
      </c>
      <c r="R74" s="48" t="str">
        <f t="shared" si="24"/>
        <v/>
      </c>
      <c r="S74" s="4"/>
      <c r="T74" s="4"/>
      <c r="U74" s="12">
        <f t="shared" si="25"/>
        <v>0</v>
      </c>
      <c r="V74" s="4"/>
      <c r="W74" s="4"/>
      <c r="X74" s="4"/>
      <c r="Y74" s="4"/>
      <c r="Z74" s="4"/>
    </row>
    <row r="75" spans="1:26">
      <c r="A75" s="29"/>
      <c r="B75" s="13" t="str">
        <f t="shared" si="14"/>
        <v/>
      </c>
      <c r="C75" s="15" t="str">
        <f t="shared" si="10"/>
        <v/>
      </c>
      <c r="D75" s="49" t="str">
        <f t="shared" si="13"/>
        <v/>
      </c>
      <c r="E75" s="42" t="str">
        <f t="shared" si="15"/>
        <v/>
      </c>
      <c r="F75" s="42" t="str">
        <f t="shared" si="16"/>
        <v/>
      </c>
      <c r="G75" s="30" t="str">
        <f t="shared" si="17"/>
        <v/>
      </c>
      <c r="H75" s="46" t="str">
        <f t="shared" si="18"/>
        <v/>
      </c>
      <c r="I75" s="47"/>
      <c r="J75" s="45" t="str">
        <f t="shared" si="19"/>
        <v/>
      </c>
      <c r="K75" s="30" t="str">
        <f t="shared" si="20"/>
        <v/>
      </c>
      <c r="L75" s="30" t="str">
        <f t="shared" si="21"/>
        <v/>
      </c>
      <c r="M75" s="30" t="str">
        <f t="shared" si="22"/>
        <v/>
      </c>
      <c r="N75" s="30" t="str">
        <f t="shared" si="23"/>
        <v/>
      </c>
      <c r="O75" s="4"/>
      <c r="P75" s="48" t="str">
        <f>IF(I75="","",Amount*Mult*_xlfn.NORM.S.DIST(((LN(I75/K)+(r_dom-q+sigma^2/2)*U75))/(sigma*SQRT(U75)),1)*EXP(-q*U75))</f>
        <v/>
      </c>
      <c r="Q75" s="48" t="str">
        <f>IF(I75="","",SUM($D$37:D75))</f>
        <v/>
      </c>
      <c r="R75" s="48" t="str">
        <f t="shared" si="24"/>
        <v/>
      </c>
      <c r="S75" s="4"/>
      <c r="T75" s="4"/>
      <c r="U75" s="12">
        <f t="shared" si="25"/>
        <v>0</v>
      </c>
      <c r="V75" s="4"/>
      <c r="W75" s="4"/>
      <c r="X75" s="4"/>
      <c r="Y75" s="4"/>
      <c r="Z75" s="4"/>
    </row>
    <row r="76" spans="1:26">
      <c r="A76" s="29"/>
      <c r="B76" s="13" t="str">
        <f t="shared" si="14"/>
        <v/>
      </c>
      <c r="C76" s="15" t="str">
        <f t="shared" si="10"/>
        <v/>
      </c>
      <c r="D76" s="49" t="str">
        <f t="shared" si="13"/>
        <v/>
      </c>
      <c r="E76" s="42" t="str">
        <f t="shared" si="15"/>
        <v/>
      </c>
      <c r="F76" s="42" t="str">
        <f t="shared" si="16"/>
        <v/>
      </c>
      <c r="G76" s="30" t="str">
        <f t="shared" si="17"/>
        <v/>
      </c>
      <c r="H76" s="46" t="str">
        <f t="shared" si="18"/>
        <v/>
      </c>
      <c r="I76" s="47"/>
      <c r="J76" s="45" t="str">
        <f t="shared" si="19"/>
        <v/>
      </c>
      <c r="K76" s="30" t="str">
        <f t="shared" si="20"/>
        <v/>
      </c>
      <c r="L76" s="30" t="str">
        <f t="shared" si="21"/>
        <v/>
      </c>
      <c r="M76" s="30" t="str">
        <f t="shared" si="22"/>
        <v/>
      </c>
      <c r="N76" s="30" t="str">
        <f t="shared" si="23"/>
        <v/>
      </c>
      <c r="O76" s="4"/>
      <c r="P76" s="48" t="str">
        <f>IF(I76="","",Amount*Mult*_xlfn.NORM.S.DIST(((LN(I76/K)+(r_dom-q+sigma^2/2)*U76))/(sigma*SQRT(U76)),1)*EXP(-q*U76))</f>
        <v/>
      </c>
      <c r="Q76" s="48" t="str">
        <f>IF(I76="","",SUM($D$37:D76))</f>
        <v/>
      </c>
      <c r="R76" s="48" t="str">
        <f t="shared" si="24"/>
        <v/>
      </c>
      <c r="S76" s="4"/>
      <c r="T76" s="4"/>
      <c r="U76" s="12">
        <f t="shared" si="25"/>
        <v>0</v>
      </c>
      <c r="V76" s="4"/>
      <c r="W76" s="4"/>
      <c r="X76" s="4"/>
      <c r="Y76" s="4"/>
      <c r="Z76" s="4"/>
    </row>
    <row r="77" spans="1:26">
      <c r="A77" s="29"/>
      <c r="B77" s="13" t="str">
        <f t="shared" si="14"/>
        <v/>
      </c>
      <c r="C77" s="15" t="str">
        <f t="shared" si="10"/>
        <v/>
      </c>
      <c r="D77" s="49" t="str">
        <f t="shared" si="13"/>
        <v/>
      </c>
      <c r="E77" s="42" t="str">
        <f t="shared" si="15"/>
        <v/>
      </c>
      <c r="F77" s="42" t="str">
        <f t="shared" si="16"/>
        <v/>
      </c>
      <c r="G77" s="30" t="str">
        <f t="shared" si="17"/>
        <v/>
      </c>
      <c r="H77" s="46" t="str">
        <f t="shared" si="18"/>
        <v/>
      </c>
      <c r="I77" s="47"/>
      <c r="J77" s="45" t="str">
        <f t="shared" si="19"/>
        <v/>
      </c>
      <c r="K77" s="30" t="str">
        <f t="shared" si="20"/>
        <v/>
      </c>
      <c r="L77" s="30" t="str">
        <f t="shared" si="21"/>
        <v/>
      </c>
      <c r="M77" s="30" t="str">
        <f t="shared" si="22"/>
        <v/>
      </c>
      <c r="N77" s="30" t="str">
        <f t="shared" si="23"/>
        <v/>
      </c>
      <c r="O77" s="4"/>
      <c r="P77" s="48" t="str">
        <f>IF(I77="","",Amount*Mult*_xlfn.NORM.S.DIST(((LN(I77/K)+(r_dom-q+sigma^2/2)*U77))/(sigma*SQRT(U77)),1)*EXP(-q*U77))</f>
        <v/>
      </c>
      <c r="Q77" s="48" t="str">
        <f>IF(I77="","",SUM($D$37:D77))</f>
        <v/>
      </c>
      <c r="R77" s="48" t="str">
        <f t="shared" si="24"/>
        <v/>
      </c>
      <c r="S77" s="4"/>
      <c r="T77" s="4"/>
      <c r="U77" s="12">
        <f t="shared" si="25"/>
        <v>0</v>
      </c>
      <c r="V77" s="4"/>
      <c r="W77" s="4"/>
      <c r="X77" s="4"/>
      <c r="Y77" s="4"/>
      <c r="Z77" s="4"/>
    </row>
    <row r="78" spans="1:26">
      <c r="A78" s="29"/>
      <c r="B78" s="13" t="str">
        <f t="shared" si="14"/>
        <v/>
      </c>
      <c r="C78" s="15" t="str">
        <f t="shared" si="10"/>
        <v/>
      </c>
      <c r="D78" s="49" t="str">
        <f t="shared" si="13"/>
        <v/>
      </c>
      <c r="E78" s="42" t="str">
        <f t="shared" si="15"/>
        <v/>
      </c>
      <c r="F78" s="42" t="str">
        <f t="shared" si="16"/>
        <v/>
      </c>
      <c r="G78" s="30" t="str">
        <f t="shared" si="17"/>
        <v/>
      </c>
      <c r="H78" s="46" t="str">
        <f t="shared" si="18"/>
        <v/>
      </c>
      <c r="I78" s="47"/>
      <c r="J78" s="45" t="str">
        <f t="shared" si="19"/>
        <v/>
      </c>
      <c r="K78" s="30" t="str">
        <f t="shared" si="20"/>
        <v/>
      </c>
      <c r="L78" s="30" t="str">
        <f t="shared" si="21"/>
        <v/>
      </c>
      <c r="M78" s="30" t="str">
        <f t="shared" si="22"/>
        <v/>
      </c>
      <c r="N78" s="30" t="str">
        <f t="shared" si="23"/>
        <v/>
      </c>
      <c r="O78" s="4"/>
      <c r="P78" s="48" t="str">
        <f>IF(I78="","",Amount*Mult*_xlfn.NORM.S.DIST(((LN(I78/K)+(r_dom-q+sigma^2/2)*U78))/(sigma*SQRT(U78)),1)*EXP(-q*U78))</f>
        <v/>
      </c>
      <c r="Q78" s="48" t="str">
        <f>IF(I78="","",SUM($D$37:D78))</f>
        <v/>
      </c>
      <c r="R78" s="48" t="str">
        <f t="shared" si="24"/>
        <v/>
      </c>
      <c r="S78" s="4"/>
      <c r="T78" s="4"/>
      <c r="U78" s="12">
        <f t="shared" si="25"/>
        <v>0</v>
      </c>
      <c r="V78" s="4"/>
      <c r="W78" s="4"/>
      <c r="X78" s="4"/>
      <c r="Y78" s="4"/>
      <c r="Z78" s="4"/>
    </row>
    <row r="79" spans="1:26">
      <c r="A79" s="29"/>
      <c r="B79" s="13" t="str">
        <f t="shared" si="14"/>
        <v/>
      </c>
      <c r="C79" s="15" t="str">
        <f t="shared" si="10"/>
        <v/>
      </c>
      <c r="D79" s="49" t="str">
        <f t="shared" si="13"/>
        <v/>
      </c>
      <c r="E79" s="42" t="str">
        <f t="shared" si="15"/>
        <v/>
      </c>
      <c r="F79" s="42" t="str">
        <f t="shared" si="16"/>
        <v/>
      </c>
      <c r="G79" s="30" t="str">
        <f t="shared" si="17"/>
        <v/>
      </c>
      <c r="H79" s="46" t="str">
        <f t="shared" si="18"/>
        <v/>
      </c>
      <c r="I79" s="47"/>
      <c r="J79" s="45" t="str">
        <f t="shared" si="19"/>
        <v/>
      </c>
      <c r="K79" s="30" t="str">
        <f t="shared" si="20"/>
        <v/>
      </c>
      <c r="L79" s="30" t="str">
        <f t="shared" si="21"/>
        <v/>
      </c>
      <c r="M79" s="30" t="str">
        <f t="shared" si="22"/>
        <v/>
      </c>
      <c r="N79" s="30" t="str">
        <f t="shared" si="23"/>
        <v/>
      </c>
      <c r="O79" s="4"/>
      <c r="P79" s="48" t="str">
        <f>IF(I79="","",Amount*Mult*_xlfn.NORM.S.DIST(((LN(I79/K)+(r_dom-q+sigma^2/2)*U79))/(sigma*SQRT(U79)),1)*EXP(-q*U79))</f>
        <v/>
      </c>
      <c r="Q79" s="48" t="str">
        <f>IF(I79="","",SUM($D$37:D79))</f>
        <v/>
      </c>
      <c r="R79" s="48" t="str">
        <f t="shared" si="24"/>
        <v/>
      </c>
      <c r="S79" s="4"/>
      <c r="T79" s="4"/>
      <c r="U79" s="12">
        <f t="shared" si="25"/>
        <v>0</v>
      </c>
      <c r="V79" s="4"/>
      <c r="W79" s="4"/>
      <c r="X79" s="4"/>
      <c r="Y79" s="4"/>
      <c r="Z79" s="4"/>
    </row>
    <row r="80" spans="1:26">
      <c r="A80" s="29"/>
      <c r="B80" s="13" t="str">
        <f t="shared" si="14"/>
        <v/>
      </c>
      <c r="C80" s="15" t="str">
        <f t="shared" si="10"/>
        <v/>
      </c>
      <c r="D80" s="49" t="str">
        <f t="shared" si="13"/>
        <v/>
      </c>
      <c r="E80" s="42" t="str">
        <f t="shared" si="15"/>
        <v/>
      </c>
      <c r="F80" s="42" t="str">
        <f t="shared" si="16"/>
        <v/>
      </c>
      <c r="G80" s="30" t="str">
        <f t="shared" si="17"/>
        <v/>
      </c>
      <c r="H80" s="46" t="str">
        <f t="shared" si="18"/>
        <v/>
      </c>
      <c r="I80" s="47"/>
      <c r="J80" s="45" t="str">
        <f t="shared" si="19"/>
        <v/>
      </c>
      <c r="K80" s="30" t="str">
        <f t="shared" si="20"/>
        <v/>
      </c>
      <c r="L80" s="30" t="str">
        <f t="shared" si="21"/>
        <v/>
      </c>
      <c r="M80" s="30" t="str">
        <f t="shared" si="22"/>
        <v/>
      </c>
      <c r="N80" s="30" t="str">
        <f t="shared" si="23"/>
        <v/>
      </c>
      <c r="O80" s="4"/>
      <c r="P80" s="48" t="str">
        <f>IF(I80="","",Amount*Mult*_xlfn.NORM.S.DIST(((LN(I80/K)+(r_dom-q+sigma^2/2)*U80))/(sigma*SQRT(U80)),1)*EXP(-q*U80))</f>
        <v/>
      </c>
      <c r="Q80" s="48" t="str">
        <f>IF(I80="","",SUM($D$37:D80))</f>
        <v/>
      </c>
      <c r="R80" s="48" t="str">
        <f t="shared" si="24"/>
        <v/>
      </c>
      <c r="S80" s="4"/>
      <c r="T80" s="4"/>
      <c r="U80" s="12">
        <f t="shared" si="25"/>
        <v>0</v>
      </c>
      <c r="V80" s="4"/>
      <c r="W80" s="4"/>
      <c r="X80" s="4"/>
      <c r="Y80" s="4"/>
      <c r="Z80" s="4"/>
    </row>
    <row r="81" spans="1:26">
      <c r="A81" s="29"/>
      <c r="B81" s="13" t="str">
        <f t="shared" si="14"/>
        <v/>
      </c>
      <c r="C81" s="15" t="str">
        <f t="shared" si="10"/>
        <v/>
      </c>
      <c r="D81" s="49" t="str">
        <f t="shared" si="13"/>
        <v/>
      </c>
      <c r="E81" s="42" t="str">
        <f t="shared" si="15"/>
        <v/>
      </c>
      <c r="F81" s="42" t="str">
        <f t="shared" si="16"/>
        <v/>
      </c>
      <c r="G81" s="30" t="str">
        <f t="shared" si="17"/>
        <v/>
      </c>
      <c r="H81" s="46" t="str">
        <f t="shared" si="18"/>
        <v/>
      </c>
      <c r="I81" s="47"/>
      <c r="J81" s="45" t="str">
        <f t="shared" si="19"/>
        <v/>
      </c>
      <c r="K81" s="30" t="str">
        <f t="shared" si="20"/>
        <v/>
      </c>
      <c r="L81" s="30" t="str">
        <f t="shared" si="21"/>
        <v/>
      </c>
      <c r="M81" s="30" t="str">
        <f t="shared" si="22"/>
        <v/>
      </c>
      <c r="N81" s="30" t="str">
        <f t="shared" si="23"/>
        <v/>
      </c>
      <c r="O81" s="4"/>
      <c r="P81" s="48" t="str">
        <f>IF(I81="","",Amount*Mult*_xlfn.NORM.S.DIST(((LN(I81/K)+(r_dom-q+sigma^2/2)*U81))/(sigma*SQRT(U81)),1)*EXP(-q*U81))</f>
        <v/>
      </c>
      <c r="Q81" s="48" t="str">
        <f>IF(I81="","",SUM($D$37:D81))</f>
        <v/>
      </c>
      <c r="R81" s="48" t="str">
        <f t="shared" si="24"/>
        <v/>
      </c>
      <c r="S81" s="4"/>
      <c r="T81" s="4"/>
      <c r="U81" s="12">
        <f t="shared" si="25"/>
        <v>0</v>
      </c>
      <c r="V81" s="4"/>
      <c r="W81" s="4"/>
      <c r="X81" s="4"/>
      <c r="Y81" s="4"/>
      <c r="Z81" s="4"/>
    </row>
    <row r="82" spans="1:26">
      <c r="A82" s="29"/>
      <c r="B82" s="13" t="str">
        <f t="shared" si="14"/>
        <v/>
      </c>
      <c r="C82" s="15" t="str">
        <f t="shared" si="10"/>
        <v/>
      </c>
      <c r="D82" s="49" t="str">
        <f t="shared" si="13"/>
        <v/>
      </c>
      <c r="E82" s="42" t="str">
        <f t="shared" si="15"/>
        <v/>
      </c>
      <c r="F82" s="42" t="str">
        <f t="shared" si="16"/>
        <v/>
      </c>
      <c r="G82" s="30" t="str">
        <f t="shared" si="17"/>
        <v/>
      </c>
      <c r="H82" s="46" t="str">
        <f t="shared" si="18"/>
        <v/>
      </c>
      <c r="I82" s="47"/>
      <c r="J82" s="45" t="str">
        <f t="shared" si="19"/>
        <v/>
      </c>
      <c r="K82" s="30" t="str">
        <f t="shared" si="20"/>
        <v/>
      </c>
      <c r="L82" s="30" t="str">
        <f t="shared" si="21"/>
        <v/>
      </c>
      <c r="M82" s="30" t="str">
        <f t="shared" si="22"/>
        <v/>
      </c>
      <c r="N82" s="30" t="str">
        <f t="shared" si="23"/>
        <v/>
      </c>
      <c r="O82" s="4"/>
      <c r="P82" s="48" t="str">
        <f>IF(I82="","",Amount*Mult*_xlfn.NORM.S.DIST(((LN(I82/K)+(r_dom-q+sigma^2/2)*U82))/(sigma*SQRT(U82)),1)*EXP(-q*U82))</f>
        <v/>
      </c>
      <c r="Q82" s="48" t="str">
        <f>IF(I82="","",SUM($D$37:D82))</f>
        <v/>
      </c>
      <c r="R82" s="48" t="str">
        <f t="shared" si="24"/>
        <v/>
      </c>
      <c r="S82" s="4"/>
      <c r="T82" s="4"/>
      <c r="U82" s="12">
        <f t="shared" si="25"/>
        <v>0</v>
      </c>
      <c r="V82" s="4"/>
      <c r="W82" s="4"/>
      <c r="X82" s="4"/>
      <c r="Y82" s="4"/>
      <c r="Z82" s="4"/>
    </row>
    <row r="83" spans="1:26">
      <c r="A83" s="29"/>
      <c r="B83" s="13" t="str">
        <f t="shared" si="14"/>
        <v/>
      </c>
      <c r="C83" s="15" t="str">
        <f t="shared" si="10"/>
        <v/>
      </c>
      <c r="D83" s="49" t="str">
        <f t="shared" si="13"/>
        <v/>
      </c>
      <c r="E83" s="42" t="str">
        <f t="shared" si="15"/>
        <v/>
      </c>
      <c r="F83" s="42" t="str">
        <f t="shared" si="16"/>
        <v/>
      </c>
      <c r="G83" s="30" t="str">
        <f t="shared" si="17"/>
        <v/>
      </c>
      <c r="H83" s="46" t="str">
        <f t="shared" si="18"/>
        <v/>
      </c>
      <c r="I83" s="47"/>
      <c r="J83" s="45" t="str">
        <f t="shared" si="19"/>
        <v/>
      </c>
      <c r="K83" s="30" t="str">
        <f t="shared" si="20"/>
        <v/>
      </c>
      <c r="L83" s="30" t="str">
        <f t="shared" si="21"/>
        <v/>
      </c>
      <c r="M83" s="30" t="str">
        <f t="shared" si="22"/>
        <v/>
      </c>
      <c r="N83" s="30" t="str">
        <f t="shared" si="23"/>
        <v/>
      </c>
      <c r="O83" s="4"/>
      <c r="P83" s="48" t="str">
        <f>IF(I83="","",Amount*Mult*_xlfn.NORM.S.DIST(((LN(I83/K)+(r_dom-q+sigma^2/2)*U83))/(sigma*SQRT(U83)),1)*EXP(-q*U83))</f>
        <v/>
      </c>
      <c r="Q83" s="48" t="str">
        <f>IF(I83="","",SUM($D$37:D83))</f>
        <v/>
      </c>
      <c r="R83" s="48" t="str">
        <f t="shared" si="24"/>
        <v/>
      </c>
      <c r="S83" s="4"/>
      <c r="T83" s="4"/>
      <c r="U83" s="12">
        <f t="shared" si="25"/>
        <v>0</v>
      </c>
      <c r="V83" s="4"/>
      <c r="W83" s="4"/>
      <c r="X83" s="4"/>
      <c r="Y83" s="4"/>
      <c r="Z83" s="4"/>
    </row>
    <row r="84" spans="1:26">
      <c r="A84" s="29"/>
      <c r="B84" s="13" t="str">
        <f t="shared" si="14"/>
        <v/>
      </c>
      <c r="C84" s="15" t="str">
        <f t="shared" si="10"/>
        <v/>
      </c>
      <c r="D84" s="49" t="str">
        <f t="shared" si="13"/>
        <v/>
      </c>
      <c r="E84" s="42" t="str">
        <f t="shared" si="15"/>
        <v/>
      </c>
      <c r="F84" s="42" t="str">
        <f t="shared" si="16"/>
        <v/>
      </c>
      <c r="G84" s="30" t="str">
        <f t="shared" si="17"/>
        <v/>
      </c>
      <c r="H84" s="46" t="str">
        <f t="shared" si="18"/>
        <v/>
      </c>
      <c r="I84" s="47"/>
      <c r="J84" s="45" t="str">
        <f t="shared" si="19"/>
        <v/>
      </c>
      <c r="K84" s="30" t="str">
        <f t="shared" si="20"/>
        <v/>
      </c>
      <c r="L84" s="30" t="str">
        <f t="shared" si="21"/>
        <v/>
      </c>
      <c r="M84" s="30" t="str">
        <f t="shared" si="22"/>
        <v/>
      </c>
      <c r="N84" s="30" t="str">
        <f t="shared" si="23"/>
        <v/>
      </c>
      <c r="O84" s="4"/>
      <c r="P84" s="48" t="str">
        <f>IF(I84="","",Amount*Mult*_xlfn.NORM.S.DIST(((LN(I84/K)+(r_dom-q+sigma^2/2)*U84))/(sigma*SQRT(U84)),1)*EXP(-q*U84))</f>
        <v/>
      </c>
      <c r="Q84" s="48" t="str">
        <f>IF(I84="","",SUM($D$37:D84))</f>
        <v/>
      </c>
      <c r="R84" s="48" t="str">
        <f t="shared" si="24"/>
        <v/>
      </c>
      <c r="S84" s="4"/>
      <c r="T84" s="4"/>
      <c r="U84" s="12">
        <f t="shared" si="25"/>
        <v>0</v>
      </c>
      <c r="V84" s="4"/>
      <c r="W84" s="4"/>
      <c r="X84" s="4"/>
      <c r="Y84" s="4"/>
      <c r="Z84" s="4"/>
    </row>
    <row r="85" spans="1:26">
      <c r="A85" s="29"/>
      <c r="B85" s="13" t="str">
        <f t="shared" si="14"/>
        <v/>
      </c>
      <c r="C85" s="15" t="str">
        <f t="shared" si="10"/>
        <v/>
      </c>
      <c r="D85" s="49" t="str">
        <f t="shared" si="13"/>
        <v/>
      </c>
      <c r="E85" s="42" t="str">
        <f t="shared" si="15"/>
        <v/>
      </c>
      <c r="F85" s="42" t="str">
        <f t="shared" si="16"/>
        <v/>
      </c>
      <c r="G85" s="30" t="str">
        <f t="shared" si="17"/>
        <v/>
      </c>
      <c r="H85" s="46" t="str">
        <f t="shared" si="18"/>
        <v/>
      </c>
      <c r="I85" s="47"/>
      <c r="J85" s="45" t="str">
        <f t="shared" si="19"/>
        <v/>
      </c>
      <c r="K85" s="30" t="str">
        <f t="shared" si="20"/>
        <v/>
      </c>
      <c r="L85" s="30" t="str">
        <f t="shared" si="21"/>
        <v/>
      </c>
      <c r="M85" s="30" t="str">
        <f t="shared" si="22"/>
        <v/>
      </c>
      <c r="N85" s="30" t="str">
        <f t="shared" si="23"/>
        <v/>
      </c>
      <c r="O85" s="4"/>
      <c r="P85" s="48" t="str">
        <f>IF(I85="","",Amount*Mult*_xlfn.NORM.S.DIST(((LN(I85/K)+(r_dom-q+sigma^2/2)*U85))/(sigma*SQRT(U85)),1)*EXP(-q*U85))</f>
        <v/>
      </c>
      <c r="Q85" s="48" t="str">
        <f>IF(I85="","",SUM($D$37:D85))</f>
        <v/>
      </c>
      <c r="R85" s="48" t="str">
        <f t="shared" si="24"/>
        <v/>
      </c>
      <c r="S85" s="4"/>
      <c r="T85" s="4"/>
      <c r="U85" s="12">
        <f t="shared" si="25"/>
        <v>0</v>
      </c>
      <c r="V85" s="4"/>
      <c r="W85" s="4"/>
      <c r="X85" s="4"/>
      <c r="Y85" s="4"/>
      <c r="Z85" s="4"/>
    </row>
    <row r="86" spans="1:26">
      <c r="A86" s="4"/>
      <c r="B86" s="13" t="str">
        <f t="shared" si="14"/>
        <v/>
      </c>
      <c r="C86" s="15" t="str">
        <f t="shared" si="10"/>
        <v/>
      </c>
      <c r="D86" s="49" t="str">
        <f t="shared" si="13"/>
        <v/>
      </c>
      <c r="E86" s="42" t="str">
        <f t="shared" si="15"/>
        <v/>
      </c>
      <c r="F86" s="42" t="str">
        <f t="shared" si="16"/>
        <v/>
      </c>
      <c r="G86" s="30" t="str">
        <f t="shared" si="17"/>
        <v/>
      </c>
      <c r="H86" s="46" t="str">
        <f t="shared" si="18"/>
        <v/>
      </c>
      <c r="I86" s="47"/>
      <c r="J86" s="45" t="str">
        <f t="shared" si="19"/>
        <v/>
      </c>
      <c r="K86" s="30" t="str">
        <f t="shared" si="20"/>
        <v/>
      </c>
      <c r="L86" s="30" t="str">
        <f t="shared" si="21"/>
        <v/>
      </c>
      <c r="M86" s="30" t="str">
        <f t="shared" si="22"/>
        <v/>
      </c>
      <c r="N86" s="30" t="str">
        <f t="shared" si="23"/>
        <v/>
      </c>
      <c r="O86" s="4"/>
      <c r="P86" s="48" t="str">
        <f>IF(I86="","",Amount*Mult*_xlfn.NORM.S.DIST(((LN(I86/K)+(r_dom-q+sigma^2/2)*U86))/(sigma*SQRT(U86)),1)*EXP(-q*U86))</f>
        <v/>
      </c>
      <c r="Q86" s="48" t="str">
        <f>IF(I86="","",SUM($D$37:D86))</f>
        <v/>
      </c>
      <c r="R86" s="48" t="str">
        <f t="shared" si="24"/>
        <v/>
      </c>
      <c r="S86" s="4"/>
      <c r="T86" s="4"/>
      <c r="U86" s="12">
        <f t="shared" si="25"/>
        <v>0</v>
      </c>
      <c r="V86" s="4"/>
      <c r="W86" s="4"/>
      <c r="X86" s="4"/>
      <c r="Y86" s="4"/>
      <c r="Z86" s="4"/>
    </row>
    <row r="87" spans="1:26">
      <c r="A87" s="4"/>
      <c r="B87" s="13" t="str">
        <f t="shared" si="14"/>
        <v/>
      </c>
      <c r="C87" s="15" t="str">
        <f t="shared" si="10"/>
        <v/>
      </c>
      <c r="D87" s="49" t="str">
        <f t="shared" si="13"/>
        <v/>
      </c>
      <c r="E87" s="42" t="str">
        <f t="shared" si="15"/>
        <v/>
      </c>
      <c r="F87" s="42" t="str">
        <f t="shared" si="16"/>
        <v/>
      </c>
      <c r="G87" s="30" t="str">
        <f t="shared" si="17"/>
        <v/>
      </c>
      <c r="H87" s="46" t="str">
        <f t="shared" si="18"/>
        <v/>
      </c>
      <c r="I87" s="47"/>
      <c r="J87" s="45" t="str">
        <f t="shared" si="19"/>
        <v/>
      </c>
      <c r="K87" s="30" t="str">
        <f t="shared" si="20"/>
        <v/>
      </c>
      <c r="L87" s="30" t="str">
        <f t="shared" si="21"/>
        <v/>
      </c>
      <c r="M87" s="30" t="str">
        <f t="shared" si="22"/>
        <v/>
      </c>
      <c r="N87" s="30" t="str">
        <f t="shared" si="23"/>
        <v/>
      </c>
      <c r="O87" s="4"/>
      <c r="P87" s="48" t="str">
        <f>IF(I87="","",Amount*Mult*_xlfn.NORM.S.DIST(((LN(I87/K)+(r_dom-q+sigma^2/2)*U87))/(sigma*SQRT(U87)),1)*EXP(-q*U87))</f>
        <v/>
      </c>
      <c r="Q87" s="48" t="str">
        <f>IF(I87="","",SUM($D$37:D87))</f>
        <v/>
      </c>
      <c r="R87" s="48" t="str">
        <f t="shared" si="24"/>
        <v/>
      </c>
      <c r="S87" s="4"/>
      <c r="T87" s="4"/>
      <c r="U87" s="12">
        <f t="shared" si="25"/>
        <v>0</v>
      </c>
      <c r="V87" s="4"/>
      <c r="W87" s="4"/>
      <c r="X87" s="4"/>
      <c r="Y87" s="4"/>
      <c r="Z87" s="4"/>
    </row>
    <row r="88" spans="1:26">
      <c r="A88" s="4"/>
      <c r="B88" s="13" t="str">
        <f t="shared" si="14"/>
        <v/>
      </c>
      <c r="C88" s="15" t="str">
        <f t="shared" si="10"/>
        <v/>
      </c>
      <c r="D88" s="49" t="str">
        <f t="shared" si="13"/>
        <v/>
      </c>
      <c r="E88" s="42" t="str">
        <f t="shared" si="15"/>
        <v/>
      </c>
      <c r="F88" s="42" t="str">
        <f t="shared" si="16"/>
        <v/>
      </c>
      <c r="G88" s="30" t="str">
        <f t="shared" si="17"/>
        <v/>
      </c>
      <c r="H88" s="46" t="str">
        <f t="shared" si="18"/>
        <v/>
      </c>
      <c r="I88" s="47"/>
      <c r="J88" s="45" t="str">
        <f t="shared" si="19"/>
        <v/>
      </c>
      <c r="K88" s="30" t="str">
        <f t="shared" si="20"/>
        <v/>
      </c>
      <c r="L88" s="30" t="str">
        <f t="shared" si="21"/>
        <v/>
      </c>
      <c r="M88" s="30" t="str">
        <f t="shared" si="22"/>
        <v/>
      </c>
      <c r="N88" s="30" t="str">
        <f t="shared" si="23"/>
        <v/>
      </c>
      <c r="O88" s="4"/>
      <c r="P88" s="48" t="str">
        <f>IF(I88="","",Amount*Mult*_xlfn.NORM.S.DIST(((LN(I88/K)+(r_dom-q+sigma^2/2)*U88))/(sigma*SQRT(U88)),1)*EXP(-q*U88))</f>
        <v/>
      </c>
      <c r="Q88" s="48" t="str">
        <f>IF(I88="","",SUM($D$37:D88))</f>
        <v/>
      </c>
      <c r="R88" s="48" t="str">
        <f t="shared" si="24"/>
        <v/>
      </c>
      <c r="S88" s="4"/>
      <c r="T88" s="4"/>
      <c r="U88" s="12">
        <f t="shared" si="25"/>
        <v>0</v>
      </c>
      <c r="V88" s="4"/>
      <c r="W88" s="4"/>
      <c r="X88" s="4"/>
      <c r="Y88" s="4"/>
      <c r="Z88" s="4"/>
    </row>
    <row r="89" spans="1:26">
      <c r="A89" s="4"/>
      <c r="B89" s="13" t="str">
        <f t="shared" si="14"/>
        <v/>
      </c>
      <c r="C89" s="15" t="str">
        <f t="shared" si="10"/>
        <v/>
      </c>
      <c r="D89" s="49" t="str">
        <f t="shared" si="13"/>
        <v/>
      </c>
      <c r="E89" s="42" t="str">
        <f t="shared" si="15"/>
        <v/>
      </c>
      <c r="F89" s="42" t="str">
        <f t="shared" si="16"/>
        <v/>
      </c>
      <c r="G89" s="30" t="str">
        <f t="shared" si="17"/>
        <v/>
      </c>
      <c r="H89" s="46" t="str">
        <f t="shared" si="18"/>
        <v/>
      </c>
      <c r="I89" s="47"/>
      <c r="J89" s="45" t="str">
        <f t="shared" si="19"/>
        <v/>
      </c>
      <c r="K89" s="30" t="str">
        <f t="shared" si="20"/>
        <v/>
      </c>
      <c r="L89" s="30" t="str">
        <f t="shared" si="21"/>
        <v/>
      </c>
      <c r="M89" s="30" t="str">
        <f t="shared" si="22"/>
        <v/>
      </c>
      <c r="N89" s="30" t="str">
        <f t="shared" si="23"/>
        <v/>
      </c>
      <c r="O89" s="4"/>
      <c r="P89" s="48" t="str">
        <f>IF(I89="","",Amount*Mult*_xlfn.NORM.S.DIST(((LN(I89/K)+(r_dom-q+sigma^2/2)*U89))/(sigma*SQRT(U89)),1)*EXP(-q*U89))</f>
        <v/>
      </c>
      <c r="Q89" s="48" t="str">
        <f>IF(I89="","",SUM($D$37:D89))</f>
        <v/>
      </c>
      <c r="R89" s="48" t="str">
        <f t="shared" si="24"/>
        <v/>
      </c>
      <c r="S89" s="4"/>
      <c r="T89" s="4"/>
      <c r="U89" s="12">
        <f t="shared" si="25"/>
        <v>0</v>
      </c>
      <c r="V89" s="4"/>
      <c r="W89" s="4"/>
      <c r="X89" s="4"/>
      <c r="Y89" s="4"/>
      <c r="Z89" s="4"/>
    </row>
    <row r="90" spans="1:26">
      <c r="A90" s="4"/>
      <c r="B90" s="13" t="str">
        <f t="shared" si="14"/>
        <v/>
      </c>
      <c r="C90" s="15" t="str">
        <f t="shared" si="10"/>
        <v/>
      </c>
      <c r="D90" s="49" t="str">
        <f t="shared" si="13"/>
        <v/>
      </c>
      <c r="E90" s="42" t="str">
        <f t="shared" si="15"/>
        <v/>
      </c>
      <c r="F90" s="42" t="str">
        <f t="shared" si="16"/>
        <v/>
      </c>
      <c r="G90" s="30" t="str">
        <f t="shared" si="17"/>
        <v/>
      </c>
      <c r="H90" s="46" t="str">
        <f t="shared" si="18"/>
        <v/>
      </c>
      <c r="I90" s="47"/>
      <c r="J90" s="45" t="str">
        <f t="shared" si="19"/>
        <v/>
      </c>
      <c r="K90" s="30" t="str">
        <f t="shared" si="20"/>
        <v/>
      </c>
      <c r="L90" s="30" t="str">
        <f t="shared" si="21"/>
        <v/>
      </c>
      <c r="M90" s="30" t="str">
        <f t="shared" si="22"/>
        <v/>
      </c>
      <c r="N90" s="30" t="str">
        <f t="shared" si="23"/>
        <v/>
      </c>
      <c r="O90" s="4"/>
      <c r="P90" s="48" t="str">
        <f>IF(I90="","",Amount*Mult*_xlfn.NORM.S.DIST(((LN(I90/K)+(r_dom-q+sigma^2/2)*U90))/(sigma*SQRT(U90)),1)*EXP(-q*U90))</f>
        <v/>
      </c>
      <c r="Q90" s="48" t="str">
        <f>IF(I90="","",SUM($D$37:D90))</f>
        <v/>
      </c>
      <c r="R90" s="48" t="str">
        <f t="shared" si="24"/>
        <v/>
      </c>
      <c r="S90" s="4"/>
      <c r="T90" s="4"/>
      <c r="U90" s="12">
        <f t="shared" si="25"/>
        <v>0</v>
      </c>
      <c r="V90" s="4"/>
      <c r="W90" s="4"/>
      <c r="X90" s="4"/>
      <c r="Y90" s="4"/>
      <c r="Z90" s="4"/>
    </row>
    <row r="91" spans="1:26">
      <c r="A91" s="4"/>
      <c r="B91" s="13" t="str">
        <f t="shared" si="14"/>
        <v/>
      </c>
      <c r="C91" s="15" t="str">
        <f t="shared" si="10"/>
        <v/>
      </c>
      <c r="D91" s="49" t="str">
        <f t="shared" si="13"/>
        <v/>
      </c>
      <c r="E91" s="42" t="str">
        <f t="shared" si="15"/>
        <v/>
      </c>
      <c r="F91" s="42" t="str">
        <f t="shared" si="16"/>
        <v/>
      </c>
      <c r="G91" s="30" t="str">
        <f t="shared" si="17"/>
        <v/>
      </c>
      <c r="H91" s="46" t="str">
        <f t="shared" si="18"/>
        <v/>
      </c>
      <c r="I91" s="47"/>
      <c r="J91" s="45" t="str">
        <f t="shared" si="19"/>
        <v/>
      </c>
      <c r="K91" s="30" t="str">
        <f t="shared" si="20"/>
        <v/>
      </c>
      <c r="L91" s="30" t="str">
        <f t="shared" si="21"/>
        <v/>
      </c>
      <c r="M91" s="30" t="str">
        <f t="shared" si="22"/>
        <v/>
      </c>
      <c r="N91" s="30" t="str">
        <f t="shared" si="23"/>
        <v/>
      </c>
      <c r="O91" s="4"/>
      <c r="P91" s="48" t="str">
        <f>IF(I91="","",Amount*Mult*_xlfn.NORM.S.DIST(((LN(I91/K)+(r_dom-q+sigma^2/2)*U91))/(sigma*SQRT(U91)),1)*EXP(-q*U91))</f>
        <v/>
      </c>
      <c r="Q91" s="48" t="str">
        <f>IF(I91="","",SUM($D$37:D91))</f>
        <v/>
      </c>
      <c r="R91" s="48" t="str">
        <f t="shared" si="24"/>
        <v/>
      </c>
      <c r="S91" s="4"/>
      <c r="T91" s="4"/>
      <c r="U91" s="12">
        <f t="shared" si="25"/>
        <v>0</v>
      </c>
      <c r="V91" s="4"/>
      <c r="W91" s="4"/>
      <c r="X91" s="4"/>
      <c r="Y91" s="4"/>
      <c r="Z91" s="4"/>
    </row>
    <row r="92" spans="1:26">
      <c r="A92" s="4"/>
      <c r="B92" s="13" t="str">
        <f t="shared" si="14"/>
        <v/>
      </c>
      <c r="C92" s="15" t="str">
        <f t="shared" si="10"/>
        <v/>
      </c>
      <c r="D92" s="49" t="str">
        <f t="shared" si="13"/>
        <v/>
      </c>
      <c r="E92" s="42" t="str">
        <f t="shared" si="15"/>
        <v/>
      </c>
      <c r="F92" s="42" t="str">
        <f t="shared" si="16"/>
        <v/>
      </c>
      <c r="G92" s="30" t="str">
        <f t="shared" si="17"/>
        <v/>
      </c>
      <c r="H92" s="46" t="str">
        <f t="shared" si="18"/>
        <v/>
      </c>
      <c r="I92" s="47"/>
      <c r="J92" s="45" t="str">
        <f t="shared" si="19"/>
        <v/>
      </c>
      <c r="K92" s="30" t="str">
        <f t="shared" si="20"/>
        <v/>
      </c>
      <c r="L92" s="30" t="str">
        <f t="shared" si="21"/>
        <v/>
      </c>
      <c r="M92" s="30" t="str">
        <f t="shared" si="22"/>
        <v/>
      </c>
      <c r="N92" s="30" t="str">
        <f t="shared" si="23"/>
        <v/>
      </c>
      <c r="O92" s="4"/>
      <c r="P92" s="48" t="str">
        <f>IF(I92="","",Amount*Mult*_xlfn.NORM.S.DIST(((LN(I92/K)+(r_dom-q+sigma^2/2)*U92))/(sigma*SQRT(U92)),1)*EXP(-q*U92))</f>
        <v/>
      </c>
      <c r="Q92" s="48" t="str">
        <f>IF(I92="","",SUM($D$37:D92))</f>
        <v/>
      </c>
      <c r="R92" s="48" t="str">
        <f t="shared" si="24"/>
        <v/>
      </c>
      <c r="S92" s="4"/>
      <c r="T92" s="4"/>
      <c r="U92" s="12">
        <f t="shared" si="25"/>
        <v>0</v>
      </c>
      <c r="V92" s="4"/>
      <c r="W92" s="4"/>
      <c r="X92" s="4"/>
      <c r="Y92" s="4"/>
      <c r="Z92" s="4"/>
    </row>
    <row r="93" spans="1:26">
      <c r="A93" s="4"/>
      <c r="B93" s="13" t="str">
        <f t="shared" si="14"/>
        <v/>
      </c>
      <c r="C93" s="15" t="str">
        <f t="shared" si="10"/>
        <v/>
      </c>
      <c r="D93" s="49" t="str">
        <f t="shared" si="13"/>
        <v/>
      </c>
      <c r="E93" s="42" t="str">
        <f t="shared" si="15"/>
        <v/>
      </c>
      <c r="F93" s="42" t="str">
        <f t="shared" si="16"/>
        <v/>
      </c>
      <c r="G93" s="30" t="str">
        <f t="shared" si="17"/>
        <v/>
      </c>
      <c r="H93" s="46" t="str">
        <f t="shared" si="18"/>
        <v/>
      </c>
      <c r="I93" s="47"/>
      <c r="J93" s="45" t="str">
        <f t="shared" si="19"/>
        <v/>
      </c>
      <c r="K93" s="30" t="str">
        <f t="shared" si="20"/>
        <v/>
      </c>
      <c r="L93" s="30" t="str">
        <f t="shared" si="21"/>
        <v/>
      </c>
      <c r="M93" s="30" t="str">
        <f t="shared" si="22"/>
        <v/>
      </c>
      <c r="N93" s="30" t="str">
        <f t="shared" si="23"/>
        <v/>
      </c>
      <c r="O93" s="4"/>
      <c r="P93" s="48" t="str">
        <f>IF(I93="","",Amount*Mult*_xlfn.NORM.S.DIST(((LN(I93/K)+(r_dom-q+sigma^2/2)*U93))/(sigma*SQRT(U93)),1)*EXP(-q*U93))</f>
        <v/>
      </c>
      <c r="Q93" s="48" t="str">
        <f>IF(I93="","",SUM($D$37:D93))</f>
        <v/>
      </c>
      <c r="R93" s="48" t="str">
        <f t="shared" si="24"/>
        <v/>
      </c>
      <c r="S93" s="4"/>
      <c r="T93" s="4"/>
      <c r="U93" s="12">
        <f t="shared" si="25"/>
        <v>0</v>
      </c>
      <c r="V93" s="4"/>
      <c r="W93" s="4"/>
      <c r="X93" s="4"/>
      <c r="Y93" s="4"/>
      <c r="Z93" s="4"/>
    </row>
    <row r="94" spans="1:26">
      <c r="A94" s="4"/>
      <c r="B94" s="13" t="str">
        <f t="shared" si="14"/>
        <v/>
      </c>
      <c r="C94" s="15" t="str">
        <f t="shared" si="10"/>
        <v/>
      </c>
      <c r="D94" s="49" t="str">
        <f t="shared" si="13"/>
        <v/>
      </c>
      <c r="E94" s="42" t="str">
        <f t="shared" si="15"/>
        <v/>
      </c>
      <c r="F94" s="42" t="str">
        <f t="shared" si="16"/>
        <v/>
      </c>
      <c r="G94" s="30" t="str">
        <f t="shared" si="17"/>
        <v/>
      </c>
      <c r="H94" s="46" t="str">
        <f t="shared" si="18"/>
        <v/>
      </c>
      <c r="I94" s="47"/>
      <c r="J94" s="45" t="str">
        <f t="shared" si="19"/>
        <v/>
      </c>
      <c r="K94" s="30" t="str">
        <f t="shared" si="20"/>
        <v/>
      </c>
      <c r="L94" s="30" t="str">
        <f t="shared" si="21"/>
        <v/>
      </c>
      <c r="M94" s="30" t="str">
        <f t="shared" si="22"/>
        <v/>
      </c>
      <c r="N94" s="30" t="str">
        <f t="shared" si="23"/>
        <v/>
      </c>
      <c r="O94" s="4"/>
      <c r="P94" s="48" t="str">
        <f>IF(I94="","",Amount*Mult*_xlfn.NORM.S.DIST(((LN(I94/K)+(r_dom-q+sigma^2/2)*U94))/(sigma*SQRT(U94)),1)*EXP(-q*U94))</f>
        <v/>
      </c>
      <c r="Q94" s="48" t="str">
        <f>IF(I94="","",SUM($D$37:D94))</f>
        <v/>
      </c>
      <c r="R94" s="48" t="str">
        <f t="shared" si="24"/>
        <v/>
      </c>
      <c r="S94" s="4"/>
      <c r="T94" s="4"/>
      <c r="U94" s="12">
        <f t="shared" si="25"/>
        <v>0</v>
      </c>
      <c r="V94" s="4"/>
      <c r="W94" s="4"/>
      <c r="X94" s="4"/>
      <c r="Y94" s="4"/>
      <c r="Z94" s="4"/>
    </row>
    <row r="95" spans="1:26">
      <c r="A95" s="4"/>
      <c r="B95" s="13" t="str">
        <f t="shared" si="14"/>
        <v/>
      </c>
      <c r="C95" s="15" t="str">
        <f t="shared" si="10"/>
        <v/>
      </c>
      <c r="D95" s="49" t="str">
        <f t="shared" si="13"/>
        <v/>
      </c>
      <c r="E95" s="42" t="str">
        <f t="shared" si="15"/>
        <v/>
      </c>
      <c r="F95" s="42" t="str">
        <f t="shared" si="16"/>
        <v/>
      </c>
      <c r="G95" s="30" t="str">
        <f t="shared" si="17"/>
        <v/>
      </c>
      <c r="H95" s="46" t="str">
        <f t="shared" si="18"/>
        <v/>
      </c>
      <c r="I95" s="47"/>
      <c r="J95" s="45" t="str">
        <f t="shared" si="19"/>
        <v/>
      </c>
      <c r="K95" s="30" t="str">
        <f t="shared" si="20"/>
        <v/>
      </c>
      <c r="L95" s="30" t="str">
        <f t="shared" si="21"/>
        <v/>
      </c>
      <c r="M95" s="30" t="str">
        <f t="shared" si="22"/>
        <v/>
      </c>
      <c r="N95" s="30" t="str">
        <f t="shared" si="23"/>
        <v/>
      </c>
      <c r="O95" s="4"/>
      <c r="P95" s="48" t="str">
        <f>IF(I95="","",Amount*Mult*_xlfn.NORM.S.DIST(((LN(I95/K)+(r_dom-q+sigma^2/2)*U95))/(sigma*SQRT(U95)),1)*EXP(-q*U95))</f>
        <v/>
      </c>
      <c r="Q95" s="48" t="str">
        <f>IF(I95="","",SUM($D$37:D95))</f>
        <v/>
      </c>
      <c r="R95" s="48" t="str">
        <f t="shared" si="24"/>
        <v/>
      </c>
      <c r="S95" s="4"/>
      <c r="T95" s="4"/>
      <c r="U95" s="12">
        <f t="shared" si="25"/>
        <v>0</v>
      </c>
      <c r="V95" s="4"/>
      <c r="W95" s="4"/>
      <c r="X95" s="4"/>
      <c r="Y95" s="4"/>
      <c r="Z95" s="4"/>
    </row>
    <row r="96" spans="1:26">
      <c r="A96" s="4"/>
      <c r="B96" s="13" t="str">
        <f t="shared" si="14"/>
        <v/>
      </c>
      <c r="C96" s="15" t="str">
        <f t="shared" si="10"/>
        <v/>
      </c>
      <c r="D96" s="49" t="str">
        <f t="shared" si="13"/>
        <v/>
      </c>
      <c r="E96" s="42" t="str">
        <f t="shared" si="15"/>
        <v/>
      </c>
      <c r="F96" s="42" t="str">
        <f t="shared" si="16"/>
        <v/>
      </c>
      <c r="G96" s="30" t="str">
        <f t="shared" si="17"/>
        <v/>
      </c>
      <c r="H96" s="46" t="str">
        <f t="shared" si="18"/>
        <v/>
      </c>
      <c r="I96" s="47"/>
      <c r="J96" s="45" t="str">
        <f t="shared" si="19"/>
        <v/>
      </c>
      <c r="K96" s="30" t="str">
        <f t="shared" si="20"/>
        <v/>
      </c>
      <c r="L96" s="30" t="str">
        <f t="shared" si="21"/>
        <v/>
      </c>
      <c r="M96" s="30" t="str">
        <f t="shared" si="22"/>
        <v/>
      </c>
      <c r="N96" s="30" t="str">
        <f t="shared" si="23"/>
        <v/>
      </c>
      <c r="O96" s="4"/>
      <c r="P96" s="48" t="str">
        <f>IF(I96="","",Amount*Mult*_xlfn.NORM.S.DIST(((LN(I96/K)+(r_dom-q+sigma^2/2)*U96))/(sigma*SQRT(U96)),1)*EXP(-q*U96))</f>
        <v/>
      </c>
      <c r="Q96" s="48" t="str">
        <f>IF(I96="","",SUM($D$37:D96))</f>
        <v/>
      </c>
      <c r="R96" s="48" t="str">
        <f t="shared" si="24"/>
        <v/>
      </c>
      <c r="S96" s="4"/>
      <c r="T96" s="4"/>
      <c r="U96" s="12">
        <f t="shared" si="25"/>
        <v>0</v>
      </c>
      <c r="V96" s="4"/>
      <c r="W96" s="4"/>
      <c r="X96" s="4"/>
      <c r="Y96" s="4"/>
      <c r="Z96" s="4"/>
    </row>
    <row r="97" spans="1:26">
      <c r="A97" s="4"/>
      <c r="B97" s="13" t="str">
        <f t="shared" si="14"/>
        <v/>
      </c>
      <c r="C97" s="15" t="str">
        <f t="shared" si="10"/>
        <v/>
      </c>
      <c r="D97" s="49" t="str">
        <f t="shared" si="13"/>
        <v/>
      </c>
      <c r="E97" s="42" t="str">
        <f t="shared" si="15"/>
        <v/>
      </c>
      <c r="F97" s="42" t="str">
        <f t="shared" si="16"/>
        <v/>
      </c>
      <c r="G97" s="30" t="str">
        <f t="shared" si="17"/>
        <v/>
      </c>
      <c r="H97" s="46" t="str">
        <f t="shared" si="18"/>
        <v/>
      </c>
      <c r="I97" s="47"/>
      <c r="J97" s="45" t="str">
        <f t="shared" si="19"/>
        <v/>
      </c>
      <c r="K97" s="30" t="str">
        <f t="shared" si="20"/>
        <v/>
      </c>
      <c r="L97" s="30" t="str">
        <f t="shared" si="21"/>
        <v/>
      </c>
      <c r="M97" s="30" t="str">
        <f t="shared" si="22"/>
        <v/>
      </c>
      <c r="N97" s="30" t="str">
        <f t="shared" si="23"/>
        <v/>
      </c>
      <c r="O97" s="4"/>
      <c r="P97" s="48" t="str">
        <f>IF(I97="","",Amount*Mult*_xlfn.NORM.S.DIST(((LN(I97/K)+(r_dom-q+sigma^2/2)*U97))/(sigma*SQRT(U97)),1)*EXP(-q*U97))</f>
        <v/>
      </c>
      <c r="Q97" s="48" t="str">
        <f>IF(I97="","",SUM($D$37:D97))</f>
        <v/>
      </c>
      <c r="R97" s="48" t="str">
        <f t="shared" si="24"/>
        <v/>
      </c>
      <c r="S97" s="4"/>
      <c r="T97" s="4"/>
      <c r="U97" s="12">
        <f t="shared" si="25"/>
        <v>0</v>
      </c>
      <c r="V97" s="4"/>
      <c r="W97" s="4"/>
      <c r="X97" s="4"/>
      <c r="Y97" s="4"/>
      <c r="Z97" s="4"/>
    </row>
    <row r="98" spans="1:26">
      <c r="A98" s="4"/>
      <c r="B98" s="13" t="str">
        <f t="shared" si="14"/>
        <v/>
      </c>
      <c r="C98" s="15" t="str">
        <f t="shared" si="10"/>
        <v/>
      </c>
      <c r="D98" s="49" t="str">
        <f t="shared" si="13"/>
        <v/>
      </c>
      <c r="E98" s="42" t="str">
        <f t="shared" si="15"/>
        <v/>
      </c>
      <c r="F98" s="42" t="str">
        <f t="shared" si="16"/>
        <v/>
      </c>
      <c r="G98" s="30" t="str">
        <f t="shared" si="17"/>
        <v/>
      </c>
      <c r="H98" s="46" t="str">
        <f t="shared" si="18"/>
        <v/>
      </c>
      <c r="I98" s="47"/>
      <c r="J98" s="45" t="str">
        <f t="shared" si="19"/>
        <v/>
      </c>
      <c r="K98" s="30" t="str">
        <f t="shared" si="20"/>
        <v/>
      </c>
      <c r="L98" s="30" t="str">
        <f t="shared" si="21"/>
        <v/>
      </c>
      <c r="M98" s="30" t="str">
        <f t="shared" si="22"/>
        <v/>
      </c>
      <c r="N98" s="30" t="str">
        <f t="shared" si="23"/>
        <v/>
      </c>
      <c r="O98" s="4"/>
      <c r="P98" s="48" t="str">
        <f>IF(I98="","",Amount*Mult*_xlfn.NORM.S.DIST(((LN(I98/K)+(r_dom-q+sigma^2/2)*U98))/(sigma*SQRT(U98)),1)*EXP(-q*U98))</f>
        <v/>
      </c>
      <c r="Q98" s="48" t="str">
        <f>IF(I98="","",SUM($D$37:D98))</f>
        <v/>
      </c>
      <c r="R98" s="48" t="str">
        <f t="shared" si="24"/>
        <v/>
      </c>
      <c r="S98" s="4"/>
      <c r="T98" s="4"/>
      <c r="U98" s="12">
        <f t="shared" si="25"/>
        <v>0</v>
      </c>
      <c r="V98" s="4"/>
      <c r="W98" s="4"/>
      <c r="X98" s="4"/>
      <c r="Y98" s="4"/>
      <c r="Z98" s="4"/>
    </row>
    <row r="99" spans="1:26">
      <c r="A99" s="4"/>
      <c r="B99" s="13" t="str">
        <f t="shared" si="14"/>
        <v/>
      </c>
      <c r="C99" s="15" t="str">
        <f t="shared" si="10"/>
        <v/>
      </c>
      <c r="D99" s="49" t="str">
        <f t="shared" si="13"/>
        <v/>
      </c>
      <c r="E99" s="42" t="str">
        <f t="shared" si="15"/>
        <v/>
      </c>
      <c r="F99" s="42" t="str">
        <f t="shared" si="16"/>
        <v/>
      </c>
      <c r="G99" s="30" t="str">
        <f t="shared" si="17"/>
        <v/>
      </c>
      <c r="H99" s="46" t="str">
        <f t="shared" si="18"/>
        <v/>
      </c>
      <c r="I99" s="47"/>
      <c r="J99" s="45" t="str">
        <f t="shared" si="19"/>
        <v/>
      </c>
      <c r="K99" s="30" t="str">
        <f t="shared" si="20"/>
        <v/>
      </c>
      <c r="L99" s="30" t="str">
        <f t="shared" si="21"/>
        <v/>
      </c>
      <c r="M99" s="30" t="str">
        <f t="shared" si="22"/>
        <v/>
      </c>
      <c r="N99" s="30" t="str">
        <f t="shared" si="23"/>
        <v/>
      </c>
      <c r="O99" s="4"/>
      <c r="P99" s="48" t="str">
        <f>IF(I99="","",Amount*Mult*_xlfn.NORM.S.DIST(((LN(I99/K)+(r_dom-q+sigma^2/2)*U99))/(sigma*SQRT(U99)),1)*EXP(-q*U99))</f>
        <v/>
      </c>
      <c r="Q99" s="48" t="str">
        <f>IF(I99="","",SUM($D$37:D99))</f>
        <v/>
      </c>
      <c r="R99" s="48" t="str">
        <f t="shared" si="24"/>
        <v/>
      </c>
      <c r="S99" s="4"/>
      <c r="T99" s="4"/>
      <c r="U99" s="12">
        <f t="shared" si="25"/>
        <v>0</v>
      </c>
      <c r="V99" s="4"/>
      <c r="W99" s="4"/>
      <c r="X99" s="4"/>
      <c r="Y99" s="4"/>
      <c r="Z99" s="4"/>
    </row>
    <row r="100" spans="1:26">
      <c r="A100" s="4"/>
      <c r="B100" s="13" t="str">
        <f t="shared" si="14"/>
        <v/>
      </c>
      <c r="C100" s="15" t="str">
        <f t="shared" si="10"/>
        <v/>
      </c>
      <c r="D100" s="49" t="str">
        <f t="shared" si="13"/>
        <v/>
      </c>
      <c r="E100" s="42" t="str">
        <f t="shared" si="15"/>
        <v/>
      </c>
      <c r="F100" s="42" t="str">
        <f t="shared" si="16"/>
        <v/>
      </c>
      <c r="G100" s="30" t="str">
        <f t="shared" si="17"/>
        <v/>
      </c>
      <c r="H100" s="46" t="str">
        <f t="shared" si="18"/>
        <v/>
      </c>
      <c r="I100" s="47"/>
      <c r="J100" s="45" t="str">
        <f t="shared" si="19"/>
        <v/>
      </c>
      <c r="K100" s="30" t="str">
        <f t="shared" si="20"/>
        <v/>
      </c>
      <c r="L100" s="30" t="str">
        <f t="shared" si="21"/>
        <v/>
      </c>
      <c r="M100" s="30" t="str">
        <f t="shared" si="22"/>
        <v/>
      </c>
      <c r="N100" s="30" t="str">
        <f t="shared" si="23"/>
        <v/>
      </c>
      <c r="O100" s="4"/>
      <c r="P100" s="48" t="str">
        <f>IF(I100="","",Amount*Mult*_xlfn.NORM.S.DIST(((LN(I100/K)+(r_dom-q+sigma^2/2)*U100))/(sigma*SQRT(U100)),1)*EXP(-q*U100))</f>
        <v/>
      </c>
      <c r="Q100" s="48" t="str">
        <f>IF(I100="","",SUM($D$37:D100))</f>
        <v/>
      </c>
      <c r="R100" s="48" t="str">
        <f t="shared" si="24"/>
        <v/>
      </c>
      <c r="S100" s="4"/>
      <c r="T100" s="4"/>
      <c r="U100" s="12">
        <f t="shared" si="25"/>
        <v>0</v>
      </c>
      <c r="V100" s="4"/>
      <c r="W100" s="4"/>
      <c r="X100" s="4"/>
      <c r="Y100" s="4"/>
      <c r="Z100" s="4"/>
    </row>
    <row r="101" spans="1:26">
      <c r="A101" s="4"/>
      <c r="B101" s="13" t="str">
        <f t="shared" si="14"/>
        <v/>
      </c>
      <c r="C101" s="15" t="str">
        <f t="shared" si="10"/>
        <v/>
      </c>
      <c r="D101" s="49" t="str">
        <f t="shared" si="13"/>
        <v/>
      </c>
      <c r="E101" s="42" t="str">
        <f t="shared" si="15"/>
        <v/>
      </c>
      <c r="F101" s="42" t="str">
        <f t="shared" si="16"/>
        <v/>
      </c>
      <c r="G101" s="30" t="str">
        <f t="shared" si="17"/>
        <v/>
      </c>
      <c r="H101" s="46" t="str">
        <f t="shared" si="18"/>
        <v/>
      </c>
      <c r="I101" s="47"/>
      <c r="J101" s="45" t="str">
        <f t="shared" si="19"/>
        <v/>
      </c>
      <c r="K101" s="30" t="str">
        <f t="shared" si="20"/>
        <v/>
      </c>
      <c r="L101" s="30" t="str">
        <f t="shared" si="21"/>
        <v/>
      </c>
      <c r="M101" s="30" t="str">
        <f t="shared" si="22"/>
        <v/>
      </c>
      <c r="N101" s="30" t="str">
        <f t="shared" si="23"/>
        <v/>
      </c>
      <c r="O101" s="4"/>
      <c r="P101" s="48" t="str">
        <f>IF(I101="","",Amount*Mult*_xlfn.NORM.S.DIST(((LN(I101/K)+(r_dom-q+sigma^2/2)*U101))/(sigma*SQRT(U101)),1)*EXP(-q*U101))</f>
        <v/>
      </c>
      <c r="Q101" s="48" t="str">
        <f>IF(I101="","",SUM($D$37:D101))</f>
        <v/>
      </c>
      <c r="R101" s="48" t="str">
        <f t="shared" si="24"/>
        <v/>
      </c>
      <c r="S101" s="4"/>
      <c r="T101" s="4"/>
      <c r="U101" s="12">
        <f t="shared" si="25"/>
        <v>0</v>
      </c>
      <c r="V101" s="4"/>
      <c r="W101" s="4"/>
      <c r="X101" s="4"/>
      <c r="Y101" s="4"/>
      <c r="Z101" s="4"/>
    </row>
    <row r="102" spans="1:26">
      <c r="A102" s="4"/>
      <c r="B102" s="13" t="str">
        <f t="shared" si="14"/>
        <v/>
      </c>
      <c r="C102" s="15" t="str">
        <f t="shared" ref="C102:C165" si="26">IF($B102="Delta",$B$1&amp;" US Equity", "")</f>
        <v/>
      </c>
      <c r="D102" s="49" t="str">
        <f t="shared" si="13"/>
        <v/>
      </c>
      <c r="E102" s="42" t="str">
        <f t="shared" si="15"/>
        <v/>
      </c>
      <c r="F102" s="42" t="str">
        <f t="shared" si="16"/>
        <v/>
      </c>
      <c r="G102" s="30" t="str">
        <f t="shared" si="17"/>
        <v/>
      </c>
      <c r="H102" s="46" t="str">
        <f t="shared" si="18"/>
        <v/>
      </c>
      <c r="I102" s="47"/>
      <c r="J102" s="45" t="str">
        <f t="shared" si="19"/>
        <v/>
      </c>
      <c r="K102" s="30" t="str">
        <f t="shared" si="20"/>
        <v/>
      </c>
      <c r="L102" s="30" t="str">
        <f t="shared" si="21"/>
        <v/>
      </c>
      <c r="M102" s="30" t="str">
        <f t="shared" si="22"/>
        <v/>
      </c>
      <c r="N102" s="30" t="str">
        <f t="shared" si="23"/>
        <v/>
      </c>
      <c r="O102" s="4"/>
      <c r="P102" s="48" t="str">
        <f>IF(I102="","",Amount*Mult*_xlfn.NORM.S.DIST(((LN(I102/K)+(r_dom-q+sigma^2/2)*U102))/(sigma*SQRT(U102)),1)*EXP(-q*U102))</f>
        <v/>
      </c>
      <c r="Q102" s="48" t="str">
        <f>IF(I102="","",SUM($D$37:D102))</f>
        <v/>
      </c>
      <c r="R102" s="48" t="str">
        <f t="shared" si="24"/>
        <v/>
      </c>
      <c r="S102" s="4"/>
      <c r="T102" s="4"/>
      <c r="U102" s="12">
        <f t="shared" si="25"/>
        <v>0</v>
      </c>
      <c r="V102" s="4"/>
      <c r="W102" s="4"/>
      <c r="X102" s="4"/>
      <c r="Y102" s="4"/>
      <c r="Z102" s="4"/>
    </row>
    <row r="103" spans="1:26">
      <c r="A103" s="4"/>
      <c r="B103" s="13" t="str">
        <f t="shared" si="14"/>
        <v/>
      </c>
      <c r="C103" s="15" t="str">
        <f t="shared" si="26"/>
        <v/>
      </c>
      <c r="D103" s="49" t="str">
        <f t="shared" ref="D103:D166" si="27">IF(I103="","",-(P103+Q102))</f>
        <v/>
      </c>
      <c r="E103" s="42" t="str">
        <f t="shared" si="15"/>
        <v/>
      </c>
      <c r="F103" s="42" t="str">
        <f t="shared" si="16"/>
        <v/>
      </c>
      <c r="G103" s="30" t="str">
        <f t="shared" si="17"/>
        <v/>
      </c>
      <c r="H103" s="46" t="str">
        <f t="shared" si="18"/>
        <v/>
      </c>
      <c r="I103" s="47"/>
      <c r="J103" s="45" t="str">
        <f t="shared" si="19"/>
        <v/>
      </c>
      <c r="K103" s="30" t="str">
        <f t="shared" si="20"/>
        <v/>
      </c>
      <c r="L103" s="30" t="str">
        <f t="shared" si="21"/>
        <v/>
      </c>
      <c r="M103" s="30" t="str">
        <f t="shared" si="22"/>
        <v/>
      </c>
      <c r="N103" s="30" t="str">
        <f t="shared" si="23"/>
        <v/>
      </c>
      <c r="O103" s="4"/>
      <c r="P103" s="48" t="str">
        <f>IF(I103="","",Amount*Mult*_xlfn.NORM.S.DIST(((LN(I103/K)+(r_dom-q+sigma^2/2)*U103))/(sigma*SQRT(U103)),1)*EXP(-q*U103))</f>
        <v/>
      </c>
      <c r="Q103" s="48" t="str">
        <f>IF(I103="","",SUM($D$37:D103))</f>
        <v/>
      </c>
      <c r="R103" s="48" t="str">
        <f t="shared" si="24"/>
        <v/>
      </c>
      <c r="S103" s="4"/>
      <c r="T103" s="4"/>
      <c r="U103" s="12">
        <f t="shared" si="25"/>
        <v>0</v>
      </c>
      <c r="V103" s="4"/>
      <c r="W103" s="4"/>
      <c r="X103" s="4"/>
      <c r="Y103" s="4"/>
      <c r="Z103" s="4"/>
    </row>
    <row r="104" spans="1:26">
      <c r="A104" s="4"/>
      <c r="B104" s="13" t="str">
        <f t="shared" si="14"/>
        <v/>
      </c>
      <c r="C104" s="15" t="str">
        <f t="shared" si="26"/>
        <v/>
      </c>
      <c r="D104" s="49" t="str">
        <f t="shared" si="27"/>
        <v/>
      </c>
      <c r="E104" s="42" t="str">
        <f t="shared" si="15"/>
        <v/>
      </c>
      <c r="F104" s="42" t="str">
        <f t="shared" si="16"/>
        <v/>
      </c>
      <c r="G104" s="30" t="str">
        <f t="shared" si="17"/>
        <v/>
      </c>
      <c r="H104" s="46" t="str">
        <f t="shared" si="18"/>
        <v/>
      </c>
      <c r="I104" s="47"/>
      <c r="J104" s="45" t="str">
        <f t="shared" si="19"/>
        <v/>
      </c>
      <c r="K104" s="30" t="str">
        <f t="shared" si="20"/>
        <v/>
      </c>
      <c r="L104" s="30" t="str">
        <f t="shared" si="21"/>
        <v/>
      </c>
      <c r="M104" s="30" t="str">
        <f t="shared" si="22"/>
        <v/>
      </c>
      <c r="N104" s="30" t="str">
        <f t="shared" si="23"/>
        <v/>
      </c>
      <c r="O104" s="4"/>
      <c r="P104" s="48" t="str">
        <f>IF(I104="","",Amount*Mult*_xlfn.NORM.S.DIST(((LN(I104/K)+(r_dom-q+sigma^2/2)*U104))/(sigma*SQRT(U104)),1)*EXP(-q*U104))</f>
        <v/>
      </c>
      <c r="Q104" s="48" t="str">
        <f>IF(I104="","",SUM($D$37:D104))</f>
        <v/>
      </c>
      <c r="R104" s="48" t="str">
        <f t="shared" si="24"/>
        <v/>
      </c>
      <c r="S104" s="4"/>
      <c r="T104" s="4"/>
      <c r="U104" s="12">
        <f t="shared" si="25"/>
        <v>0</v>
      </c>
      <c r="V104" s="4"/>
      <c r="W104" s="4"/>
      <c r="X104" s="4"/>
      <c r="Y104" s="4"/>
      <c r="Z104" s="4"/>
    </row>
    <row r="105" spans="1:26">
      <c r="A105" s="4"/>
      <c r="B105" s="13" t="str">
        <f t="shared" si="14"/>
        <v/>
      </c>
      <c r="C105" s="15" t="str">
        <f t="shared" si="26"/>
        <v/>
      </c>
      <c r="D105" s="49" t="str">
        <f t="shared" si="27"/>
        <v/>
      </c>
      <c r="E105" s="42" t="str">
        <f t="shared" si="15"/>
        <v/>
      </c>
      <c r="F105" s="42" t="str">
        <f t="shared" si="16"/>
        <v/>
      </c>
      <c r="G105" s="30" t="str">
        <f t="shared" si="17"/>
        <v/>
      </c>
      <c r="H105" s="46" t="str">
        <f t="shared" si="18"/>
        <v/>
      </c>
      <c r="I105" s="47"/>
      <c r="J105" s="45" t="str">
        <f t="shared" si="19"/>
        <v/>
      </c>
      <c r="K105" s="30" t="str">
        <f t="shared" si="20"/>
        <v/>
      </c>
      <c r="L105" s="30" t="str">
        <f t="shared" si="21"/>
        <v/>
      </c>
      <c r="M105" s="30" t="str">
        <f t="shared" si="22"/>
        <v/>
      </c>
      <c r="N105" s="30" t="str">
        <f t="shared" si="23"/>
        <v/>
      </c>
      <c r="O105" s="4"/>
      <c r="P105" s="48" t="str">
        <f>IF(I105="","",Amount*Mult*_xlfn.NORM.S.DIST(((LN(I105/K)+(r_dom-q+sigma^2/2)*U105))/(sigma*SQRT(U105)),1)*EXP(-q*U105))</f>
        <v/>
      </c>
      <c r="Q105" s="48" t="str">
        <f>IF(I105="","",SUM($D$37:D105))</f>
        <v/>
      </c>
      <c r="R105" s="48" t="str">
        <f t="shared" si="24"/>
        <v/>
      </c>
      <c r="S105" s="4"/>
      <c r="T105" s="4"/>
      <c r="U105" s="12">
        <f t="shared" si="25"/>
        <v>0</v>
      </c>
      <c r="V105" s="4"/>
      <c r="W105" s="4"/>
      <c r="X105" s="4"/>
      <c r="Y105" s="4"/>
      <c r="Z105" s="4"/>
    </row>
    <row r="106" spans="1:26">
      <c r="A106" s="4"/>
      <c r="B106" s="13" t="str">
        <f t="shared" si="14"/>
        <v/>
      </c>
      <c r="C106" s="15" t="str">
        <f t="shared" si="26"/>
        <v/>
      </c>
      <c r="D106" s="49" t="str">
        <f t="shared" si="27"/>
        <v/>
      </c>
      <c r="E106" s="42" t="str">
        <f t="shared" si="15"/>
        <v/>
      </c>
      <c r="F106" s="42" t="str">
        <f t="shared" si="16"/>
        <v/>
      </c>
      <c r="G106" s="30" t="str">
        <f t="shared" si="17"/>
        <v/>
      </c>
      <c r="H106" s="46" t="str">
        <f t="shared" si="18"/>
        <v/>
      </c>
      <c r="I106" s="47"/>
      <c r="J106" s="45" t="str">
        <f t="shared" si="19"/>
        <v/>
      </c>
      <c r="K106" s="30" t="str">
        <f t="shared" si="20"/>
        <v/>
      </c>
      <c r="L106" s="30" t="str">
        <f t="shared" si="21"/>
        <v/>
      </c>
      <c r="M106" s="30" t="str">
        <f t="shared" si="22"/>
        <v/>
      </c>
      <c r="N106" s="30" t="str">
        <f t="shared" si="23"/>
        <v/>
      </c>
      <c r="O106" s="4"/>
      <c r="P106" s="48" t="str">
        <f>IF(I106="","",Amount*Mult*_xlfn.NORM.S.DIST(((LN(I106/K)+(r_dom-q+sigma^2/2)*U106))/(sigma*SQRT(U106)),1)*EXP(-q*U106))</f>
        <v/>
      </c>
      <c r="Q106" s="48" t="str">
        <f>IF(I106="","",SUM($D$37:D106))</f>
        <v/>
      </c>
      <c r="R106" s="48" t="str">
        <f t="shared" si="24"/>
        <v/>
      </c>
      <c r="S106" s="4"/>
      <c r="T106" s="4"/>
      <c r="U106" s="12">
        <f t="shared" si="25"/>
        <v>0</v>
      </c>
      <c r="V106" s="4"/>
      <c r="W106" s="4"/>
      <c r="X106" s="4"/>
      <c r="Y106" s="4"/>
      <c r="Z106" s="4"/>
    </row>
    <row r="107" spans="1:26">
      <c r="A107" s="4"/>
      <c r="B107" s="13" t="str">
        <f t="shared" si="14"/>
        <v/>
      </c>
      <c r="C107" s="15" t="str">
        <f t="shared" si="26"/>
        <v/>
      </c>
      <c r="D107" s="49" t="str">
        <f t="shared" si="27"/>
        <v/>
      </c>
      <c r="E107" s="42" t="str">
        <f t="shared" si="15"/>
        <v/>
      </c>
      <c r="F107" s="42" t="str">
        <f t="shared" si="16"/>
        <v/>
      </c>
      <c r="G107" s="30" t="str">
        <f t="shared" si="17"/>
        <v/>
      </c>
      <c r="H107" s="46" t="str">
        <f t="shared" si="18"/>
        <v/>
      </c>
      <c r="I107" s="47"/>
      <c r="J107" s="45" t="str">
        <f t="shared" si="19"/>
        <v/>
      </c>
      <c r="K107" s="30" t="str">
        <f t="shared" si="20"/>
        <v/>
      </c>
      <c r="L107" s="30" t="str">
        <f t="shared" si="21"/>
        <v/>
      </c>
      <c r="M107" s="30" t="str">
        <f t="shared" si="22"/>
        <v/>
      </c>
      <c r="N107" s="30" t="str">
        <f t="shared" si="23"/>
        <v/>
      </c>
      <c r="O107" s="4"/>
      <c r="P107" s="48" t="str">
        <f>IF(I107="","",Amount*Mult*_xlfn.NORM.S.DIST(((LN(I107/K)+(r_dom-q+sigma^2/2)*U107))/(sigma*SQRT(U107)),1)*EXP(-q*U107))</f>
        <v/>
      </c>
      <c r="Q107" s="48" t="str">
        <f>IF(I107="","",SUM($D$37:D107))</f>
        <v/>
      </c>
      <c r="R107" s="48" t="str">
        <f t="shared" si="24"/>
        <v/>
      </c>
      <c r="S107" s="4"/>
      <c r="T107" s="4"/>
      <c r="U107" s="12">
        <f t="shared" si="25"/>
        <v>0</v>
      </c>
      <c r="V107" s="4"/>
      <c r="W107" s="4"/>
      <c r="X107" s="4"/>
      <c r="Y107" s="4"/>
      <c r="Z107" s="4"/>
    </row>
    <row r="108" spans="1:26">
      <c r="A108" s="4"/>
      <c r="B108" s="13" t="str">
        <f t="shared" si="14"/>
        <v/>
      </c>
      <c r="C108" s="15" t="str">
        <f t="shared" si="26"/>
        <v/>
      </c>
      <c r="D108" s="49" t="str">
        <f t="shared" si="27"/>
        <v/>
      </c>
      <c r="E108" s="42" t="str">
        <f t="shared" si="15"/>
        <v/>
      </c>
      <c r="F108" s="42" t="str">
        <f t="shared" si="16"/>
        <v/>
      </c>
      <c r="G108" s="30" t="str">
        <f t="shared" si="17"/>
        <v/>
      </c>
      <c r="H108" s="46" t="str">
        <f t="shared" si="18"/>
        <v/>
      </c>
      <c r="I108" s="47"/>
      <c r="J108" s="45" t="str">
        <f t="shared" si="19"/>
        <v/>
      </c>
      <c r="K108" s="30" t="str">
        <f t="shared" si="20"/>
        <v/>
      </c>
      <c r="L108" s="30" t="str">
        <f t="shared" si="21"/>
        <v/>
      </c>
      <c r="M108" s="30" t="str">
        <f t="shared" si="22"/>
        <v/>
      </c>
      <c r="N108" s="30" t="str">
        <f t="shared" si="23"/>
        <v/>
      </c>
      <c r="O108" s="4"/>
      <c r="P108" s="48" t="str">
        <f>IF(I108="","",Amount*Mult*_xlfn.NORM.S.DIST(((LN(I108/K)+(r_dom-q+sigma^2/2)*U108))/(sigma*SQRT(U108)),1)*EXP(-q*U108))</f>
        <v/>
      </c>
      <c r="Q108" s="48" t="str">
        <f>IF(I108="","",SUM($D$37:D108))</f>
        <v/>
      </c>
      <c r="R108" s="48" t="str">
        <f t="shared" si="24"/>
        <v/>
      </c>
      <c r="S108" s="4"/>
      <c r="T108" s="4"/>
      <c r="U108" s="12">
        <f t="shared" si="25"/>
        <v>0</v>
      </c>
      <c r="V108" s="4"/>
      <c r="W108" s="4"/>
    </row>
    <row r="109" spans="1:26">
      <c r="A109" s="4"/>
      <c r="B109" s="13" t="str">
        <f t="shared" si="14"/>
        <v/>
      </c>
      <c r="C109" s="15" t="str">
        <f t="shared" si="26"/>
        <v/>
      </c>
      <c r="D109" s="49" t="str">
        <f t="shared" si="27"/>
        <v/>
      </c>
      <c r="E109" s="42" t="str">
        <f t="shared" si="15"/>
        <v/>
      </c>
      <c r="F109" s="42" t="str">
        <f t="shared" si="16"/>
        <v/>
      </c>
      <c r="G109" s="30" t="str">
        <f t="shared" si="17"/>
        <v/>
      </c>
      <c r="H109" s="46" t="str">
        <f t="shared" si="18"/>
        <v/>
      </c>
      <c r="I109" s="47"/>
      <c r="J109" s="45" t="str">
        <f t="shared" si="19"/>
        <v/>
      </c>
      <c r="K109" s="30" t="str">
        <f t="shared" si="20"/>
        <v/>
      </c>
      <c r="L109" s="30" t="str">
        <f t="shared" si="21"/>
        <v/>
      </c>
      <c r="M109" s="30" t="str">
        <f t="shared" si="22"/>
        <v/>
      </c>
      <c r="N109" s="30" t="str">
        <f t="shared" si="23"/>
        <v/>
      </c>
      <c r="O109" s="4"/>
      <c r="P109" s="48" t="str">
        <f>IF(I109="","",Amount*Mult*_xlfn.NORM.S.DIST(((LN(I109/K)+(r_dom-q+sigma^2/2)*U109))/(sigma*SQRT(U109)),1)*EXP(-q*U109))</f>
        <v/>
      </c>
      <c r="Q109" s="48" t="str">
        <f>IF(I109="","",SUM($D$37:D109))</f>
        <v/>
      </c>
      <c r="R109" s="48" t="str">
        <f t="shared" si="24"/>
        <v/>
      </c>
      <c r="S109" s="4"/>
      <c r="T109" s="4"/>
      <c r="U109" s="12">
        <f t="shared" si="25"/>
        <v>0</v>
      </c>
      <c r="V109" s="4"/>
      <c r="W109" s="4"/>
    </row>
    <row r="110" spans="1:26">
      <c r="A110" s="4"/>
      <c r="B110" s="13" t="str">
        <f t="shared" si="14"/>
        <v/>
      </c>
      <c r="C110" s="15" t="str">
        <f t="shared" si="26"/>
        <v/>
      </c>
      <c r="D110" s="49" t="str">
        <f t="shared" si="27"/>
        <v/>
      </c>
      <c r="E110" s="42" t="str">
        <f t="shared" si="15"/>
        <v/>
      </c>
      <c r="F110" s="42" t="str">
        <f t="shared" si="16"/>
        <v/>
      </c>
      <c r="G110" s="30" t="str">
        <f t="shared" si="17"/>
        <v/>
      </c>
      <c r="H110" s="46" t="str">
        <f t="shared" si="18"/>
        <v/>
      </c>
      <c r="I110" s="47"/>
      <c r="J110" s="45" t="str">
        <f t="shared" si="19"/>
        <v/>
      </c>
      <c r="K110" s="30" t="str">
        <f t="shared" si="20"/>
        <v/>
      </c>
      <c r="L110" s="30" t="str">
        <f t="shared" si="21"/>
        <v/>
      </c>
      <c r="M110" s="30" t="str">
        <f t="shared" si="22"/>
        <v/>
      </c>
      <c r="N110" s="30" t="str">
        <f t="shared" si="23"/>
        <v/>
      </c>
      <c r="O110" s="4"/>
      <c r="P110" s="48" t="str">
        <f>IF(I110="","",Amount*Mult*_xlfn.NORM.S.DIST(((LN(I110/K)+(r_dom-q+sigma^2/2)*U110))/(sigma*SQRT(U110)),1)*EXP(-q*U110))</f>
        <v/>
      </c>
      <c r="Q110" s="48" t="str">
        <f>IF(I110="","",SUM($D$37:D110))</f>
        <v/>
      </c>
      <c r="R110" s="48" t="str">
        <f t="shared" si="24"/>
        <v/>
      </c>
      <c r="S110" s="4"/>
      <c r="T110" s="4"/>
      <c r="U110" s="12">
        <f t="shared" si="25"/>
        <v>0</v>
      </c>
      <c r="V110" s="4"/>
      <c r="W110" s="4"/>
    </row>
    <row r="111" spans="1:26">
      <c r="A111" s="4"/>
      <c r="B111" s="13" t="str">
        <f t="shared" si="14"/>
        <v/>
      </c>
      <c r="C111" s="15" t="str">
        <f t="shared" si="26"/>
        <v/>
      </c>
      <c r="D111" s="49" t="str">
        <f t="shared" si="27"/>
        <v/>
      </c>
      <c r="E111" s="42" t="str">
        <f t="shared" si="15"/>
        <v/>
      </c>
      <c r="F111" s="42" t="str">
        <f t="shared" si="16"/>
        <v/>
      </c>
      <c r="G111" s="30" t="str">
        <f t="shared" si="17"/>
        <v/>
      </c>
      <c r="H111" s="46" t="str">
        <f t="shared" si="18"/>
        <v/>
      </c>
      <c r="I111" s="47"/>
      <c r="J111" s="45" t="str">
        <f t="shared" si="19"/>
        <v/>
      </c>
      <c r="K111" s="30" t="str">
        <f t="shared" si="20"/>
        <v/>
      </c>
      <c r="L111" s="30" t="str">
        <f t="shared" si="21"/>
        <v/>
      </c>
      <c r="M111" s="30" t="str">
        <f t="shared" si="22"/>
        <v/>
      </c>
      <c r="N111" s="30" t="str">
        <f t="shared" si="23"/>
        <v/>
      </c>
      <c r="O111" s="4"/>
      <c r="P111" s="48" t="str">
        <f>IF(I111="","",Amount*Mult*_xlfn.NORM.S.DIST(((LN(I111/K)+(r_dom-q+sigma^2/2)*U111))/(sigma*SQRT(U111)),1)*EXP(-q*U111))</f>
        <v/>
      </c>
      <c r="Q111" s="48" t="str">
        <f>IF(I111="","",SUM($D$37:D111))</f>
        <v/>
      </c>
      <c r="R111" s="48" t="str">
        <f t="shared" si="24"/>
        <v/>
      </c>
      <c r="S111" s="4"/>
      <c r="T111" s="4"/>
      <c r="U111" s="12">
        <f t="shared" si="25"/>
        <v>0</v>
      </c>
      <c r="V111" s="4"/>
      <c r="W111" s="4"/>
    </row>
    <row r="112" spans="1:26">
      <c r="A112" s="4"/>
      <c r="B112" s="13" t="str">
        <f t="shared" si="14"/>
        <v/>
      </c>
      <c r="C112" s="15" t="str">
        <f t="shared" si="26"/>
        <v/>
      </c>
      <c r="D112" s="49" t="str">
        <f t="shared" si="27"/>
        <v/>
      </c>
      <c r="E112" s="42" t="str">
        <f t="shared" si="15"/>
        <v/>
      </c>
      <c r="F112" s="42" t="str">
        <f t="shared" si="16"/>
        <v/>
      </c>
      <c r="G112" s="30" t="str">
        <f t="shared" si="17"/>
        <v/>
      </c>
      <c r="H112" s="46" t="str">
        <f t="shared" si="18"/>
        <v/>
      </c>
      <c r="I112" s="47"/>
      <c r="J112" s="45" t="str">
        <f t="shared" si="19"/>
        <v/>
      </c>
      <c r="K112" s="30" t="str">
        <f t="shared" si="20"/>
        <v/>
      </c>
      <c r="L112" s="30" t="str">
        <f t="shared" si="21"/>
        <v/>
      </c>
      <c r="M112" s="30" t="str">
        <f t="shared" si="22"/>
        <v/>
      </c>
      <c r="N112" s="30" t="str">
        <f t="shared" si="23"/>
        <v/>
      </c>
      <c r="O112" s="4"/>
      <c r="P112" s="48" t="str">
        <f>IF(I112="","",Amount*Mult*_xlfn.NORM.S.DIST(((LN(I112/K)+(r_dom-q+sigma^2/2)*U112))/(sigma*SQRT(U112)),1)*EXP(-q*U112))</f>
        <v/>
      </c>
      <c r="Q112" s="48" t="str">
        <f>IF(I112="","",SUM($D$37:D112))</f>
        <v/>
      </c>
      <c r="R112" s="48" t="str">
        <f t="shared" si="24"/>
        <v/>
      </c>
      <c r="S112" s="4"/>
      <c r="T112" s="4"/>
      <c r="U112" s="12">
        <f t="shared" si="25"/>
        <v>0</v>
      </c>
      <c r="V112" s="4"/>
      <c r="W112" s="4"/>
    </row>
    <row r="113" spans="1:23">
      <c r="A113" s="4"/>
      <c r="B113" s="13" t="str">
        <f t="shared" si="14"/>
        <v/>
      </c>
      <c r="C113" s="15" t="str">
        <f t="shared" si="26"/>
        <v/>
      </c>
      <c r="D113" s="49" t="str">
        <f t="shared" si="27"/>
        <v/>
      </c>
      <c r="E113" s="42" t="str">
        <f t="shared" si="15"/>
        <v/>
      </c>
      <c r="F113" s="42" t="str">
        <f t="shared" si="16"/>
        <v/>
      </c>
      <c r="G113" s="30" t="str">
        <f t="shared" si="17"/>
        <v/>
      </c>
      <c r="H113" s="46" t="str">
        <f t="shared" si="18"/>
        <v/>
      </c>
      <c r="I113" s="47"/>
      <c r="J113" s="45" t="str">
        <f t="shared" si="19"/>
        <v/>
      </c>
      <c r="K113" s="30" t="str">
        <f t="shared" si="20"/>
        <v/>
      </c>
      <c r="L113" s="30" t="str">
        <f t="shared" si="21"/>
        <v/>
      </c>
      <c r="M113" s="30" t="str">
        <f t="shared" si="22"/>
        <v/>
      </c>
      <c r="N113" s="30" t="str">
        <f t="shared" si="23"/>
        <v/>
      </c>
      <c r="O113" s="4"/>
      <c r="P113" s="48" t="str">
        <f>IF(I113="","",Amount*Mult*_xlfn.NORM.S.DIST(((LN(I113/K)+(r_dom-q+sigma^2/2)*U113))/(sigma*SQRT(U113)),1)*EXP(-q*U113))</f>
        <v/>
      </c>
      <c r="Q113" s="48" t="str">
        <f>IF(I113="","",SUM($D$37:D113))</f>
        <v/>
      </c>
      <c r="R113" s="48" t="str">
        <f t="shared" si="24"/>
        <v/>
      </c>
      <c r="S113" s="4"/>
      <c r="T113" s="4"/>
      <c r="U113" s="12">
        <f t="shared" si="25"/>
        <v>0</v>
      </c>
      <c r="V113" s="4"/>
      <c r="W113" s="4"/>
    </row>
    <row r="114" spans="1:23">
      <c r="A114" s="4"/>
      <c r="B114" s="13" t="str">
        <f t="shared" si="14"/>
        <v/>
      </c>
      <c r="C114" s="15" t="str">
        <f t="shared" si="26"/>
        <v/>
      </c>
      <c r="D114" s="49" t="str">
        <f t="shared" si="27"/>
        <v/>
      </c>
      <c r="E114" s="42" t="str">
        <f t="shared" si="15"/>
        <v/>
      </c>
      <c r="F114" s="42" t="str">
        <f t="shared" si="16"/>
        <v/>
      </c>
      <c r="G114" s="30" t="str">
        <f t="shared" si="17"/>
        <v/>
      </c>
      <c r="H114" s="46" t="str">
        <f t="shared" si="18"/>
        <v/>
      </c>
      <c r="I114" s="47"/>
      <c r="J114" s="45" t="str">
        <f t="shared" si="19"/>
        <v/>
      </c>
      <c r="K114" s="30" t="str">
        <f t="shared" si="20"/>
        <v/>
      </c>
      <c r="L114" s="30" t="str">
        <f t="shared" si="21"/>
        <v/>
      </c>
      <c r="M114" s="30" t="str">
        <f t="shared" si="22"/>
        <v/>
      </c>
      <c r="N114" s="30" t="str">
        <f t="shared" si="23"/>
        <v/>
      </c>
      <c r="O114" s="4"/>
      <c r="P114" s="48" t="str">
        <f>IF(I114="","",Amount*Mult*_xlfn.NORM.S.DIST(((LN(I114/K)+(r_dom-q+sigma^2/2)*U114))/(sigma*SQRT(U114)),1)*EXP(-q*U114))</f>
        <v/>
      </c>
      <c r="Q114" s="48" t="str">
        <f>IF(I114="","",SUM($D$37:D114))</f>
        <v/>
      </c>
      <c r="R114" s="48" t="str">
        <f t="shared" si="24"/>
        <v/>
      </c>
      <c r="S114" s="4"/>
      <c r="T114" s="4"/>
      <c r="U114" s="12">
        <f t="shared" si="25"/>
        <v>0</v>
      </c>
      <c r="V114" s="4"/>
      <c r="W114" s="4"/>
    </row>
    <row r="115" spans="1:23">
      <c r="A115" s="4"/>
      <c r="B115" s="13" t="str">
        <f t="shared" ref="B115:B178" si="28">IF(D115="","","Delta")</f>
        <v/>
      </c>
      <c r="C115" s="15" t="str">
        <f t="shared" si="26"/>
        <v/>
      </c>
      <c r="D115" s="49" t="str">
        <f t="shared" si="27"/>
        <v/>
      </c>
      <c r="E115" s="42" t="str">
        <f t="shared" ref="E115:E178" si="29">IF(B115="Delta", 1, IF(B115="Option", 100, ""))</f>
        <v/>
      </c>
      <c r="F115" s="42" t="str">
        <f t="shared" ref="F115:F178" si="30">IF(D115="","","USD")</f>
        <v/>
      </c>
      <c r="G115" s="30" t="str">
        <f t="shared" ref="G115:G178" si="31">IF(D115="","",D115*E115*H115)</f>
        <v/>
      </c>
      <c r="H115" s="46" t="str">
        <f t="shared" ref="H115:H178" si="32">IF(B115="Option",IF(B82="C",PVCall,PVPut),IF(B115="Delta",S_0,""))</f>
        <v/>
      </c>
      <c r="I115" s="47"/>
      <c r="J115" s="45" t="str">
        <f t="shared" ref="J115:J178" si="33">IF(D115="","",(H115-I115)*E115*D115)</f>
        <v/>
      </c>
      <c r="K115" s="30" t="str">
        <f t="shared" ref="K115:K178" si="34">IF(B115="Option",IF($B$3="C",D115*E115*S_0*deltaCall,D115*E115*S_0*deltaPut),IF(B115="Delta",D115*E115*S_0,""))</f>
        <v/>
      </c>
      <c r="L115" s="30" t="str">
        <f t="shared" ref="L115:L178" si="35">IF(B115="Option",IF($B$3="C",D115*E115*VegaCall,D115*E115*VegaPut),IF(B115="Delta",0,""))</f>
        <v/>
      </c>
      <c r="M115" s="30" t="str">
        <f t="shared" ref="M115:M178" si="36">IF(B115="Option",IF($B$3="C",D115*E115*S_0^2/100*GammaCall,D115*E115*S_0^2/100*GammaPut),IF(B115="Delta",0,""))</f>
        <v/>
      </c>
      <c r="N115" s="30" t="str">
        <f t="shared" ref="N115:N178" si="37">IF(B115="Option",IF($B$3="C",D115*E115*ThetaCall,D115*E115*ThetaPut),IF(B115="Delta",0,""))</f>
        <v/>
      </c>
      <c r="O115" s="4"/>
      <c r="P115" s="48" t="str">
        <f>IF(I115="","",Amount*Mult*_xlfn.NORM.S.DIST(((LN(I115/K)+(r_dom-q+sigma^2/2)*U115))/(sigma*SQRT(U115)),1)*EXP(-q*U115))</f>
        <v/>
      </c>
      <c r="Q115" s="48" t="str">
        <f>IF(I115="","",SUM($D$37:D115))</f>
        <v/>
      </c>
      <c r="R115" s="48" t="str">
        <f t="shared" si="24"/>
        <v/>
      </c>
      <c r="S115" s="4"/>
      <c r="T115" s="4"/>
      <c r="U115" s="12">
        <f t="shared" si="25"/>
        <v>0</v>
      </c>
      <c r="V115" s="4"/>
      <c r="W115" s="4"/>
    </row>
    <row r="116" spans="1:23">
      <c r="A116" s="4"/>
      <c r="B116" s="13" t="str">
        <f t="shared" si="28"/>
        <v/>
      </c>
      <c r="C116" s="15" t="str">
        <f t="shared" si="26"/>
        <v/>
      </c>
      <c r="D116" s="49" t="str">
        <f t="shared" si="27"/>
        <v/>
      </c>
      <c r="E116" s="42" t="str">
        <f t="shared" si="29"/>
        <v/>
      </c>
      <c r="F116" s="42" t="str">
        <f t="shared" si="30"/>
        <v/>
      </c>
      <c r="G116" s="30" t="str">
        <f t="shared" si="31"/>
        <v/>
      </c>
      <c r="H116" s="46" t="str">
        <f t="shared" si="32"/>
        <v/>
      </c>
      <c r="I116" s="47"/>
      <c r="J116" s="45" t="str">
        <f t="shared" si="33"/>
        <v/>
      </c>
      <c r="K116" s="30" t="str">
        <f t="shared" si="34"/>
        <v/>
      </c>
      <c r="L116" s="30" t="str">
        <f t="shared" si="35"/>
        <v/>
      </c>
      <c r="M116" s="30" t="str">
        <f t="shared" si="36"/>
        <v/>
      </c>
      <c r="N116" s="30" t="str">
        <f t="shared" si="37"/>
        <v/>
      </c>
      <c r="O116" s="4"/>
      <c r="P116" s="48" t="str">
        <f>IF(I116="","",Amount*Mult*_xlfn.NORM.S.DIST(((LN(I116/K)+(r_dom-q+sigma^2/2)*U116))/(sigma*SQRT(U116)),1)*EXP(-q*U116))</f>
        <v/>
      </c>
      <c r="Q116" s="48" t="str">
        <f>IF(I116="","",SUM($D$37:D116))</f>
        <v/>
      </c>
      <c r="R116" s="48" t="str">
        <f t="shared" si="24"/>
        <v/>
      </c>
      <c r="S116" s="4"/>
      <c r="T116" s="4"/>
      <c r="U116" s="12">
        <f t="shared" si="25"/>
        <v>0</v>
      </c>
      <c r="V116" s="4"/>
      <c r="W116" s="4"/>
    </row>
    <row r="117" spans="1:23">
      <c r="A117" s="4"/>
      <c r="B117" s="13" t="str">
        <f t="shared" si="28"/>
        <v/>
      </c>
      <c r="C117" s="15" t="str">
        <f t="shared" si="26"/>
        <v/>
      </c>
      <c r="D117" s="49" t="str">
        <f t="shared" si="27"/>
        <v/>
      </c>
      <c r="E117" s="42" t="str">
        <f t="shared" si="29"/>
        <v/>
      </c>
      <c r="F117" s="42" t="str">
        <f t="shared" si="30"/>
        <v/>
      </c>
      <c r="G117" s="30" t="str">
        <f t="shared" si="31"/>
        <v/>
      </c>
      <c r="H117" s="46" t="str">
        <f t="shared" si="32"/>
        <v/>
      </c>
      <c r="I117" s="47"/>
      <c r="J117" s="45" t="str">
        <f t="shared" si="33"/>
        <v/>
      </c>
      <c r="K117" s="30" t="str">
        <f t="shared" si="34"/>
        <v/>
      </c>
      <c r="L117" s="30" t="str">
        <f t="shared" si="35"/>
        <v/>
      </c>
      <c r="M117" s="30" t="str">
        <f t="shared" si="36"/>
        <v/>
      </c>
      <c r="N117" s="30" t="str">
        <f t="shared" si="37"/>
        <v/>
      </c>
      <c r="O117" s="4"/>
      <c r="P117" s="48" t="str">
        <f>IF(I117="","",Amount*Mult*_xlfn.NORM.S.DIST(((LN(I117/K)+(r_dom-q+sigma^2/2)*U117))/(sigma*SQRT(U117)),1)*EXP(-q*U117))</f>
        <v/>
      </c>
      <c r="Q117" s="48" t="str">
        <f>IF(I117="","",SUM($D$37:D117))</f>
        <v/>
      </c>
      <c r="R117" s="48" t="str">
        <f t="shared" si="24"/>
        <v/>
      </c>
      <c r="S117" s="4"/>
      <c r="T117" s="4"/>
      <c r="U117" s="12">
        <f t="shared" si="25"/>
        <v>0</v>
      </c>
      <c r="V117" s="4"/>
      <c r="W117" s="4"/>
    </row>
    <row r="118" spans="1:23">
      <c r="A118" s="4"/>
      <c r="B118" s="13" t="str">
        <f t="shared" si="28"/>
        <v/>
      </c>
      <c r="C118" s="15" t="str">
        <f t="shared" si="26"/>
        <v/>
      </c>
      <c r="D118" s="49" t="str">
        <f t="shared" si="27"/>
        <v/>
      </c>
      <c r="E118" s="42" t="str">
        <f t="shared" si="29"/>
        <v/>
      </c>
      <c r="F118" s="42" t="str">
        <f t="shared" si="30"/>
        <v/>
      </c>
      <c r="G118" s="30" t="str">
        <f t="shared" si="31"/>
        <v/>
      </c>
      <c r="H118" s="46" t="str">
        <f t="shared" si="32"/>
        <v/>
      </c>
      <c r="I118" s="47"/>
      <c r="J118" s="45" t="str">
        <f t="shared" si="33"/>
        <v/>
      </c>
      <c r="K118" s="30" t="str">
        <f t="shared" si="34"/>
        <v/>
      </c>
      <c r="L118" s="30" t="str">
        <f t="shared" si="35"/>
        <v/>
      </c>
      <c r="M118" s="30" t="str">
        <f t="shared" si="36"/>
        <v/>
      </c>
      <c r="N118" s="30" t="str">
        <f t="shared" si="37"/>
        <v/>
      </c>
      <c r="O118" s="4"/>
      <c r="P118" s="48" t="str">
        <f>IF(I118="","",Amount*Mult*_xlfn.NORM.S.DIST(((LN(I118/K)+(r_dom-q+sigma^2/2)*U118))/(sigma*SQRT(U118)),1)*EXP(-q*U118))</f>
        <v/>
      </c>
      <c r="Q118" s="48" t="str">
        <f>IF(I118="","",SUM($D$37:D118))</f>
        <v/>
      </c>
      <c r="R118" s="48" t="str">
        <f t="shared" si="24"/>
        <v/>
      </c>
      <c r="S118" s="4"/>
      <c r="T118" s="4"/>
      <c r="U118" s="12">
        <f t="shared" si="25"/>
        <v>0</v>
      </c>
      <c r="V118" s="4"/>
      <c r="W118" s="4"/>
    </row>
    <row r="119" spans="1:23">
      <c r="A119" s="4"/>
      <c r="B119" s="13" t="str">
        <f t="shared" si="28"/>
        <v/>
      </c>
      <c r="C119" s="15" t="str">
        <f t="shared" si="26"/>
        <v/>
      </c>
      <c r="D119" s="49" t="str">
        <f t="shared" si="27"/>
        <v/>
      </c>
      <c r="E119" s="42" t="str">
        <f t="shared" si="29"/>
        <v/>
      </c>
      <c r="F119" s="42" t="str">
        <f t="shared" si="30"/>
        <v/>
      </c>
      <c r="G119" s="30" t="str">
        <f t="shared" si="31"/>
        <v/>
      </c>
      <c r="H119" s="46" t="str">
        <f t="shared" si="32"/>
        <v/>
      </c>
      <c r="I119" s="47"/>
      <c r="J119" s="45" t="str">
        <f t="shared" si="33"/>
        <v/>
      </c>
      <c r="K119" s="30" t="str">
        <f t="shared" si="34"/>
        <v/>
      </c>
      <c r="L119" s="30" t="str">
        <f t="shared" si="35"/>
        <v/>
      </c>
      <c r="M119" s="30" t="str">
        <f t="shared" si="36"/>
        <v/>
      </c>
      <c r="N119" s="30" t="str">
        <f t="shared" si="37"/>
        <v/>
      </c>
      <c r="O119" s="4"/>
      <c r="P119" s="48" t="str">
        <f>IF(I119="","",Amount*Mult*_xlfn.NORM.S.DIST(((LN(I119/K)+(r_dom-q+sigma^2/2)*U119))/(sigma*SQRT(U119)),1)*EXP(-q*U119))</f>
        <v/>
      </c>
      <c r="Q119" s="48" t="str">
        <f>IF(I119="","",SUM($D$37:D119))</f>
        <v/>
      </c>
      <c r="R119" s="48" t="str">
        <f t="shared" si="24"/>
        <v/>
      </c>
      <c r="S119" s="4"/>
      <c r="T119" s="4"/>
      <c r="U119" s="12">
        <f t="shared" si="25"/>
        <v>0</v>
      </c>
      <c r="V119" s="4"/>
      <c r="W119" s="4"/>
    </row>
    <row r="120" spans="1:23">
      <c r="A120" s="4"/>
      <c r="B120" s="13" t="str">
        <f t="shared" si="28"/>
        <v/>
      </c>
      <c r="C120" s="15" t="str">
        <f t="shared" si="26"/>
        <v/>
      </c>
      <c r="D120" s="49" t="str">
        <f t="shared" si="27"/>
        <v/>
      </c>
      <c r="E120" s="42" t="str">
        <f t="shared" si="29"/>
        <v/>
      </c>
      <c r="F120" s="42" t="str">
        <f t="shared" si="30"/>
        <v/>
      </c>
      <c r="G120" s="30" t="str">
        <f t="shared" si="31"/>
        <v/>
      </c>
      <c r="H120" s="46" t="str">
        <f t="shared" si="32"/>
        <v/>
      </c>
      <c r="I120" s="47"/>
      <c r="J120" s="45" t="str">
        <f t="shared" si="33"/>
        <v/>
      </c>
      <c r="K120" s="30" t="str">
        <f t="shared" si="34"/>
        <v/>
      </c>
      <c r="L120" s="30" t="str">
        <f t="shared" si="35"/>
        <v/>
      </c>
      <c r="M120" s="30" t="str">
        <f t="shared" si="36"/>
        <v/>
      </c>
      <c r="N120" s="30" t="str">
        <f t="shared" si="37"/>
        <v/>
      </c>
      <c r="O120" s="4"/>
      <c r="P120" s="48" t="str">
        <f>IF(I120="","",Amount*Mult*_xlfn.NORM.S.DIST(((LN(I120/K)+(r_dom-q+sigma^2/2)*U120))/(sigma*SQRT(U120)),1)*EXP(-q*U120))</f>
        <v/>
      </c>
      <c r="Q120" s="48" t="str">
        <f>IF(I120="","",SUM($D$37:D120))</f>
        <v/>
      </c>
      <c r="R120" s="48" t="str">
        <f t="shared" si="24"/>
        <v/>
      </c>
      <c r="S120" s="4"/>
      <c r="T120" s="4"/>
      <c r="U120" s="12">
        <f t="shared" si="25"/>
        <v>0</v>
      </c>
      <c r="V120" s="4"/>
      <c r="W120" s="4"/>
    </row>
    <row r="121" spans="1:23">
      <c r="A121" s="4"/>
      <c r="B121" s="13" t="str">
        <f t="shared" si="28"/>
        <v/>
      </c>
      <c r="C121" s="15" t="str">
        <f t="shared" si="26"/>
        <v/>
      </c>
      <c r="D121" s="49" t="str">
        <f t="shared" si="27"/>
        <v/>
      </c>
      <c r="E121" s="42" t="str">
        <f t="shared" si="29"/>
        <v/>
      </c>
      <c r="F121" s="42" t="str">
        <f t="shared" si="30"/>
        <v/>
      </c>
      <c r="G121" s="30" t="str">
        <f t="shared" si="31"/>
        <v/>
      </c>
      <c r="H121" s="46" t="str">
        <f t="shared" si="32"/>
        <v/>
      </c>
      <c r="I121" s="47"/>
      <c r="J121" s="45" t="str">
        <f t="shared" si="33"/>
        <v/>
      </c>
      <c r="K121" s="30" t="str">
        <f t="shared" si="34"/>
        <v/>
      </c>
      <c r="L121" s="30" t="str">
        <f t="shared" si="35"/>
        <v/>
      </c>
      <c r="M121" s="30" t="str">
        <f t="shared" si="36"/>
        <v/>
      </c>
      <c r="N121" s="30" t="str">
        <f t="shared" si="37"/>
        <v/>
      </c>
      <c r="O121" s="4"/>
      <c r="P121" s="48" t="str">
        <f>IF(I121="","",Amount*Mult*_xlfn.NORM.S.DIST(((LN(I121/K)+(r_dom-q+sigma^2/2)*U121))/(sigma*SQRT(U121)),1)*EXP(-q*U121))</f>
        <v/>
      </c>
      <c r="Q121" s="48" t="str">
        <f>IF(I121="","",SUM($D$37:D121))</f>
        <v/>
      </c>
      <c r="R121" s="48" t="str">
        <f t="shared" si="24"/>
        <v/>
      </c>
      <c r="S121" s="4"/>
      <c r="T121" s="4"/>
      <c r="U121" s="12">
        <f t="shared" si="25"/>
        <v>0</v>
      </c>
      <c r="V121" s="4"/>
      <c r="W121" s="4"/>
    </row>
    <row r="122" spans="1:23">
      <c r="A122" s="4"/>
      <c r="B122" s="13" t="str">
        <f t="shared" si="28"/>
        <v/>
      </c>
      <c r="C122" s="15" t="str">
        <f t="shared" si="26"/>
        <v/>
      </c>
      <c r="D122" s="49" t="str">
        <f t="shared" si="27"/>
        <v/>
      </c>
      <c r="E122" s="42" t="str">
        <f t="shared" si="29"/>
        <v/>
      </c>
      <c r="F122" s="42" t="str">
        <f t="shared" si="30"/>
        <v/>
      </c>
      <c r="G122" s="30" t="str">
        <f t="shared" si="31"/>
        <v/>
      </c>
      <c r="H122" s="46" t="str">
        <f t="shared" si="32"/>
        <v/>
      </c>
      <c r="I122" s="47"/>
      <c r="J122" s="45" t="str">
        <f t="shared" si="33"/>
        <v/>
      </c>
      <c r="K122" s="30" t="str">
        <f t="shared" si="34"/>
        <v/>
      </c>
      <c r="L122" s="30" t="str">
        <f t="shared" si="35"/>
        <v/>
      </c>
      <c r="M122" s="30" t="str">
        <f t="shared" si="36"/>
        <v/>
      </c>
      <c r="N122" s="30" t="str">
        <f t="shared" si="37"/>
        <v/>
      </c>
      <c r="O122" s="4"/>
      <c r="P122" s="48" t="str">
        <f>IF(I122="","",Amount*Mult*_xlfn.NORM.S.DIST(((LN(I122/K)+(r_dom-q+sigma^2/2)*U122))/(sigma*SQRT(U122)),1)*EXP(-q*U122))</f>
        <v/>
      </c>
      <c r="Q122" s="48" t="str">
        <f>IF(I122="","",SUM($D$37:D122))</f>
        <v/>
      </c>
      <c r="R122" s="48" t="str">
        <f t="shared" si="24"/>
        <v/>
      </c>
      <c r="S122" s="4"/>
      <c r="T122" s="4"/>
      <c r="U122" s="12">
        <f t="shared" si="25"/>
        <v>0</v>
      </c>
      <c r="V122" s="4"/>
      <c r="W122" s="4"/>
    </row>
    <row r="123" spans="1:23">
      <c r="A123" s="4"/>
      <c r="B123" s="13" t="str">
        <f t="shared" si="28"/>
        <v/>
      </c>
      <c r="C123" s="15" t="str">
        <f t="shared" si="26"/>
        <v/>
      </c>
      <c r="D123" s="49" t="str">
        <f t="shared" si="27"/>
        <v/>
      </c>
      <c r="E123" s="42" t="str">
        <f t="shared" si="29"/>
        <v/>
      </c>
      <c r="F123" s="42" t="str">
        <f t="shared" si="30"/>
        <v/>
      </c>
      <c r="G123" s="30" t="str">
        <f t="shared" si="31"/>
        <v/>
      </c>
      <c r="H123" s="46" t="str">
        <f t="shared" si="32"/>
        <v/>
      </c>
      <c r="I123" s="47"/>
      <c r="J123" s="45" t="str">
        <f t="shared" si="33"/>
        <v/>
      </c>
      <c r="K123" s="30" t="str">
        <f t="shared" si="34"/>
        <v/>
      </c>
      <c r="L123" s="30" t="str">
        <f t="shared" si="35"/>
        <v/>
      </c>
      <c r="M123" s="30" t="str">
        <f t="shared" si="36"/>
        <v/>
      </c>
      <c r="N123" s="30" t="str">
        <f t="shared" si="37"/>
        <v/>
      </c>
      <c r="O123" s="4"/>
      <c r="P123" s="48" t="str">
        <f>IF(I123="","",Amount*Mult*_xlfn.NORM.S.DIST(((LN(I123/K)+(r_dom-q+sigma^2/2)*U123))/(sigma*SQRT(U123)),1)*EXP(-q*U123))</f>
        <v/>
      </c>
      <c r="Q123" s="48" t="str">
        <f>IF(I123="","",SUM($D$37:D123))</f>
        <v/>
      </c>
      <c r="R123" s="48" t="str">
        <f t="shared" ref="R123:R186" si="38">IF(I123="","",P123+Q123)</f>
        <v/>
      </c>
      <c r="S123" s="4"/>
      <c r="T123" s="4"/>
      <c r="U123" s="12">
        <f t="shared" si="25"/>
        <v>0</v>
      </c>
      <c r="V123" s="4"/>
      <c r="W123" s="4"/>
    </row>
    <row r="124" spans="1:23">
      <c r="A124" s="4"/>
      <c r="B124" s="13" t="str">
        <f t="shared" si="28"/>
        <v/>
      </c>
      <c r="C124" s="15" t="str">
        <f t="shared" si="26"/>
        <v/>
      </c>
      <c r="D124" s="49" t="str">
        <f t="shared" si="27"/>
        <v/>
      </c>
      <c r="E124" s="42" t="str">
        <f t="shared" si="29"/>
        <v/>
      </c>
      <c r="F124" s="42" t="str">
        <f t="shared" si="30"/>
        <v/>
      </c>
      <c r="G124" s="30" t="str">
        <f t="shared" si="31"/>
        <v/>
      </c>
      <c r="H124" s="46" t="str">
        <f t="shared" si="32"/>
        <v/>
      </c>
      <c r="I124" s="47"/>
      <c r="J124" s="45" t="str">
        <f t="shared" si="33"/>
        <v/>
      </c>
      <c r="K124" s="30" t="str">
        <f t="shared" si="34"/>
        <v/>
      </c>
      <c r="L124" s="30" t="str">
        <f t="shared" si="35"/>
        <v/>
      </c>
      <c r="M124" s="30" t="str">
        <f t="shared" si="36"/>
        <v/>
      </c>
      <c r="N124" s="30" t="str">
        <f t="shared" si="37"/>
        <v/>
      </c>
      <c r="O124" s="4"/>
      <c r="P124" s="48" t="str">
        <f>IF(I124="","",Amount*Mult*_xlfn.NORM.S.DIST(((LN(I124/K)+(r_dom-q+sigma^2/2)*U124))/(sigma*SQRT(U124)),1)*EXP(-q*U124))</f>
        <v/>
      </c>
      <c r="Q124" s="48" t="str">
        <f>IF(I124="","",SUM($D$37:D124))</f>
        <v/>
      </c>
      <c r="R124" s="48" t="str">
        <f t="shared" si="38"/>
        <v/>
      </c>
      <c r="S124" s="4"/>
      <c r="T124" s="4"/>
      <c r="U124" s="12">
        <f t="shared" ref="U124:U187" si="39">IF(OR(A124="",$D$2&lt;=A124),0,($D$2-A124)/365)</f>
        <v>0</v>
      </c>
      <c r="V124" s="4"/>
      <c r="W124" s="4"/>
    </row>
    <row r="125" spans="1:23">
      <c r="A125" s="4"/>
      <c r="B125" s="13" t="str">
        <f t="shared" si="28"/>
        <v/>
      </c>
      <c r="C125" s="15" t="str">
        <f t="shared" si="26"/>
        <v/>
      </c>
      <c r="D125" s="49" t="str">
        <f t="shared" si="27"/>
        <v/>
      </c>
      <c r="E125" s="42" t="str">
        <f t="shared" si="29"/>
        <v/>
      </c>
      <c r="F125" s="42" t="str">
        <f t="shared" si="30"/>
        <v/>
      </c>
      <c r="G125" s="30" t="str">
        <f t="shared" si="31"/>
        <v/>
      </c>
      <c r="H125" s="46" t="str">
        <f t="shared" si="32"/>
        <v/>
      </c>
      <c r="I125" s="47"/>
      <c r="J125" s="45" t="str">
        <f t="shared" si="33"/>
        <v/>
      </c>
      <c r="K125" s="30" t="str">
        <f t="shared" si="34"/>
        <v/>
      </c>
      <c r="L125" s="30" t="str">
        <f t="shared" si="35"/>
        <v/>
      </c>
      <c r="M125" s="30" t="str">
        <f t="shared" si="36"/>
        <v/>
      </c>
      <c r="N125" s="30" t="str">
        <f t="shared" si="37"/>
        <v/>
      </c>
      <c r="O125" s="4"/>
      <c r="P125" s="48" t="str">
        <f>IF(I125="","",Amount*Mult*_xlfn.NORM.S.DIST(((LN(I125/K)+(r_dom-q+sigma^2/2)*U125))/(sigma*SQRT(U125)),1)*EXP(-q*U125))</f>
        <v/>
      </c>
      <c r="Q125" s="48" t="str">
        <f>IF(I125="","",SUM($D$37:D125))</f>
        <v/>
      </c>
      <c r="R125" s="48" t="str">
        <f t="shared" si="38"/>
        <v/>
      </c>
      <c r="S125" s="4"/>
      <c r="T125" s="4"/>
      <c r="U125" s="12">
        <f t="shared" si="39"/>
        <v>0</v>
      </c>
      <c r="V125" s="4"/>
      <c r="W125" s="4"/>
    </row>
    <row r="126" spans="1:23">
      <c r="A126" s="4"/>
      <c r="B126" s="13" t="str">
        <f t="shared" si="28"/>
        <v/>
      </c>
      <c r="C126" s="15" t="str">
        <f t="shared" si="26"/>
        <v/>
      </c>
      <c r="D126" s="49" t="str">
        <f t="shared" si="27"/>
        <v/>
      </c>
      <c r="E126" s="42" t="str">
        <f t="shared" si="29"/>
        <v/>
      </c>
      <c r="F126" s="42" t="str">
        <f t="shared" si="30"/>
        <v/>
      </c>
      <c r="G126" s="30" t="str">
        <f t="shared" si="31"/>
        <v/>
      </c>
      <c r="H126" s="46" t="str">
        <f t="shared" si="32"/>
        <v/>
      </c>
      <c r="I126" s="47"/>
      <c r="J126" s="45" t="str">
        <f t="shared" si="33"/>
        <v/>
      </c>
      <c r="K126" s="30" t="str">
        <f t="shared" si="34"/>
        <v/>
      </c>
      <c r="L126" s="30" t="str">
        <f t="shared" si="35"/>
        <v/>
      </c>
      <c r="M126" s="30" t="str">
        <f t="shared" si="36"/>
        <v/>
      </c>
      <c r="N126" s="30" t="str">
        <f t="shared" si="37"/>
        <v/>
      </c>
      <c r="O126" s="4"/>
      <c r="P126" s="48" t="str">
        <f>IF(I126="","",Amount*Mult*_xlfn.NORM.S.DIST(((LN(I126/K)+(r_dom-q+sigma^2/2)*U126))/(sigma*SQRT(U126)),1)*EXP(-q*U126))</f>
        <v/>
      </c>
      <c r="Q126" s="48" t="str">
        <f>IF(I126="","",SUM($D$37:D126))</f>
        <v/>
      </c>
      <c r="R126" s="48" t="str">
        <f t="shared" si="38"/>
        <v/>
      </c>
      <c r="S126" s="4"/>
      <c r="T126" s="4"/>
      <c r="U126" s="12">
        <f t="shared" si="39"/>
        <v>0</v>
      </c>
      <c r="V126" s="4"/>
      <c r="W126" s="4"/>
    </row>
    <row r="127" spans="1:23">
      <c r="A127" s="4"/>
      <c r="B127" s="13" t="str">
        <f t="shared" si="28"/>
        <v/>
      </c>
      <c r="C127" s="15" t="str">
        <f t="shared" si="26"/>
        <v/>
      </c>
      <c r="D127" s="49" t="str">
        <f t="shared" si="27"/>
        <v/>
      </c>
      <c r="E127" s="42" t="str">
        <f t="shared" si="29"/>
        <v/>
      </c>
      <c r="F127" s="42" t="str">
        <f t="shared" si="30"/>
        <v/>
      </c>
      <c r="G127" s="30" t="str">
        <f t="shared" si="31"/>
        <v/>
      </c>
      <c r="H127" s="46" t="str">
        <f t="shared" si="32"/>
        <v/>
      </c>
      <c r="I127" s="47"/>
      <c r="J127" s="45" t="str">
        <f t="shared" si="33"/>
        <v/>
      </c>
      <c r="K127" s="30" t="str">
        <f t="shared" si="34"/>
        <v/>
      </c>
      <c r="L127" s="30" t="str">
        <f t="shared" si="35"/>
        <v/>
      </c>
      <c r="M127" s="30" t="str">
        <f t="shared" si="36"/>
        <v/>
      </c>
      <c r="N127" s="30" t="str">
        <f t="shared" si="37"/>
        <v/>
      </c>
      <c r="O127" s="4"/>
      <c r="P127" s="48" t="str">
        <f>IF(I127="","",Amount*Mult*_xlfn.NORM.S.DIST(((LN(I127/K)+(r_dom-q+sigma^2/2)*U127))/(sigma*SQRT(U127)),1)*EXP(-q*U127))</f>
        <v/>
      </c>
      <c r="Q127" s="48" t="str">
        <f>IF(I127="","",SUM($D$37:D127))</f>
        <v/>
      </c>
      <c r="R127" s="48" t="str">
        <f t="shared" si="38"/>
        <v/>
      </c>
      <c r="S127" s="4"/>
      <c r="T127" s="4"/>
      <c r="U127" s="12">
        <f t="shared" si="39"/>
        <v>0</v>
      </c>
      <c r="V127" s="4"/>
      <c r="W127" s="4"/>
    </row>
    <row r="128" spans="1:23">
      <c r="A128" s="4"/>
      <c r="B128" s="13" t="str">
        <f t="shared" si="28"/>
        <v/>
      </c>
      <c r="C128" s="15" t="str">
        <f t="shared" si="26"/>
        <v/>
      </c>
      <c r="D128" s="49" t="str">
        <f t="shared" si="27"/>
        <v/>
      </c>
      <c r="E128" s="42" t="str">
        <f t="shared" si="29"/>
        <v/>
      </c>
      <c r="F128" s="42" t="str">
        <f t="shared" si="30"/>
        <v/>
      </c>
      <c r="G128" s="30" t="str">
        <f t="shared" si="31"/>
        <v/>
      </c>
      <c r="H128" s="46" t="str">
        <f t="shared" si="32"/>
        <v/>
      </c>
      <c r="I128" s="47"/>
      <c r="J128" s="45" t="str">
        <f t="shared" si="33"/>
        <v/>
      </c>
      <c r="K128" s="30" t="str">
        <f t="shared" si="34"/>
        <v/>
      </c>
      <c r="L128" s="30" t="str">
        <f t="shared" si="35"/>
        <v/>
      </c>
      <c r="M128" s="30" t="str">
        <f t="shared" si="36"/>
        <v/>
      </c>
      <c r="N128" s="30" t="str">
        <f t="shared" si="37"/>
        <v/>
      </c>
      <c r="O128" s="4"/>
      <c r="P128" s="48" t="str">
        <f>IF(I128="","",Amount*Mult*_xlfn.NORM.S.DIST(((LN(I128/K)+(r_dom-q+sigma^2/2)*U128))/(sigma*SQRT(U128)),1)*EXP(-q*U128))</f>
        <v/>
      </c>
      <c r="Q128" s="48" t="str">
        <f>IF(I128="","",SUM($D$37:D128))</f>
        <v/>
      </c>
      <c r="R128" s="48" t="str">
        <f t="shared" si="38"/>
        <v/>
      </c>
      <c r="S128" s="4"/>
      <c r="T128" s="4"/>
      <c r="U128" s="12">
        <f t="shared" si="39"/>
        <v>0</v>
      </c>
      <c r="V128" s="4"/>
      <c r="W128" s="4"/>
    </row>
    <row r="129" spans="1:23">
      <c r="A129" s="4"/>
      <c r="B129" s="13" t="str">
        <f t="shared" si="28"/>
        <v/>
      </c>
      <c r="C129" s="15" t="str">
        <f t="shared" si="26"/>
        <v/>
      </c>
      <c r="D129" s="49" t="str">
        <f t="shared" si="27"/>
        <v/>
      </c>
      <c r="E129" s="42" t="str">
        <f t="shared" si="29"/>
        <v/>
      </c>
      <c r="F129" s="42" t="str">
        <f t="shared" si="30"/>
        <v/>
      </c>
      <c r="G129" s="30" t="str">
        <f t="shared" si="31"/>
        <v/>
      </c>
      <c r="H129" s="46" t="str">
        <f t="shared" si="32"/>
        <v/>
      </c>
      <c r="I129" s="47"/>
      <c r="J129" s="45" t="str">
        <f t="shared" si="33"/>
        <v/>
      </c>
      <c r="K129" s="30" t="str">
        <f t="shared" si="34"/>
        <v/>
      </c>
      <c r="L129" s="30" t="str">
        <f t="shared" si="35"/>
        <v/>
      </c>
      <c r="M129" s="30" t="str">
        <f t="shared" si="36"/>
        <v/>
      </c>
      <c r="N129" s="30" t="str">
        <f t="shared" si="37"/>
        <v/>
      </c>
      <c r="O129" s="4"/>
      <c r="P129" s="48" t="str">
        <f>IF(I129="","",Amount*Mult*_xlfn.NORM.S.DIST(((LN(I129/K)+(r_dom-q+sigma^2/2)*U129))/(sigma*SQRT(U129)),1)*EXP(-q*U129))</f>
        <v/>
      </c>
      <c r="Q129" s="48" t="str">
        <f>IF(I129="","",SUM($D$37:D129))</f>
        <v/>
      </c>
      <c r="R129" s="48" t="str">
        <f t="shared" si="38"/>
        <v/>
      </c>
      <c r="S129" s="4"/>
      <c r="T129" s="4"/>
      <c r="U129" s="12">
        <f t="shared" si="39"/>
        <v>0</v>
      </c>
      <c r="V129" s="4"/>
      <c r="W129" s="4"/>
    </row>
    <row r="130" spans="1:23">
      <c r="A130" s="4"/>
      <c r="B130" s="13" t="str">
        <f t="shared" si="28"/>
        <v/>
      </c>
      <c r="C130" s="15" t="str">
        <f t="shared" si="26"/>
        <v/>
      </c>
      <c r="D130" s="49" t="str">
        <f t="shared" si="27"/>
        <v/>
      </c>
      <c r="E130" s="42" t="str">
        <f t="shared" si="29"/>
        <v/>
      </c>
      <c r="F130" s="42" t="str">
        <f t="shared" si="30"/>
        <v/>
      </c>
      <c r="G130" s="30" t="str">
        <f t="shared" si="31"/>
        <v/>
      </c>
      <c r="H130" s="46" t="str">
        <f t="shared" si="32"/>
        <v/>
      </c>
      <c r="I130" s="47"/>
      <c r="J130" s="45" t="str">
        <f t="shared" si="33"/>
        <v/>
      </c>
      <c r="K130" s="30" t="str">
        <f t="shared" si="34"/>
        <v/>
      </c>
      <c r="L130" s="30" t="str">
        <f t="shared" si="35"/>
        <v/>
      </c>
      <c r="M130" s="30" t="str">
        <f t="shared" si="36"/>
        <v/>
      </c>
      <c r="N130" s="30" t="str">
        <f t="shared" si="37"/>
        <v/>
      </c>
      <c r="O130" s="4"/>
      <c r="P130" s="48" t="str">
        <f>IF(I130="","",Amount*Mult*_xlfn.NORM.S.DIST(((LN(I130/K)+(r_dom-q+sigma^2/2)*U130))/(sigma*SQRT(U130)),1)*EXP(-q*U130))</f>
        <v/>
      </c>
      <c r="Q130" s="48" t="str">
        <f>IF(I130="","",SUM($D$37:D130))</f>
        <v/>
      </c>
      <c r="R130" s="48" t="str">
        <f t="shared" si="38"/>
        <v/>
      </c>
      <c r="S130" s="4"/>
      <c r="T130" s="4"/>
      <c r="U130" s="12">
        <f t="shared" si="39"/>
        <v>0</v>
      </c>
      <c r="V130" s="4"/>
      <c r="W130" s="4"/>
    </row>
    <row r="131" spans="1:23">
      <c r="A131" s="4"/>
      <c r="B131" s="13" t="str">
        <f t="shared" si="28"/>
        <v/>
      </c>
      <c r="C131" s="15" t="str">
        <f t="shared" si="26"/>
        <v/>
      </c>
      <c r="D131" s="49" t="str">
        <f t="shared" si="27"/>
        <v/>
      </c>
      <c r="E131" s="42" t="str">
        <f t="shared" si="29"/>
        <v/>
      </c>
      <c r="F131" s="42" t="str">
        <f t="shared" si="30"/>
        <v/>
      </c>
      <c r="G131" s="30" t="str">
        <f t="shared" si="31"/>
        <v/>
      </c>
      <c r="H131" s="46" t="str">
        <f t="shared" si="32"/>
        <v/>
      </c>
      <c r="I131" s="47"/>
      <c r="J131" s="45" t="str">
        <f t="shared" si="33"/>
        <v/>
      </c>
      <c r="K131" s="30" t="str">
        <f t="shared" si="34"/>
        <v/>
      </c>
      <c r="L131" s="30" t="str">
        <f t="shared" si="35"/>
        <v/>
      </c>
      <c r="M131" s="30" t="str">
        <f t="shared" si="36"/>
        <v/>
      </c>
      <c r="N131" s="30" t="str">
        <f t="shared" si="37"/>
        <v/>
      </c>
      <c r="O131" s="4"/>
      <c r="P131" s="48" t="str">
        <f>IF(I131="","",Amount*Mult*_xlfn.NORM.S.DIST(((LN(I131/K)+(r_dom-q+sigma^2/2)*U131))/(sigma*SQRT(U131)),1)*EXP(-q*U131))</f>
        <v/>
      </c>
      <c r="Q131" s="48" t="str">
        <f>IF(I131="","",SUM($D$37:D131))</f>
        <v/>
      </c>
      <c r="R131" s="48" t="str">
        <f t="shared" si="38"/>
        <v/>
      </c>
      <c r="S131" s="4"/>
      <c r="T131" s="4"/>
      <c r="U131" s="12">
        <f t="shared" si="39"/>
        <v>0</v>
      </c>
      <c r="V131" s="4"/>
      <c r="W131" s="4"/>
    </row>
    <row r="132" spans="1:23">
      <c r="A132" s="4"/>
      <c r="B132" s="13" t="str">
        <f t="shared" si="28"/>
        <v/>
      </c>
      <c r="C132" s="15" t="str">
        <f t="shared" si="26"/>
        <v/>
      </c>
      <c r="D132" s="49" t="str">
        <f t="shared" si="27"/>
        <v/>
      </c>
      <c r="E132" s="42" t="str">
        <f t="shared" si="29"/>
        <v/>
      </c>
      <c r="F132" s="42" t="str">
        <f t="shared" si="30"/>
        <v/>
      </c>
      <c r="G132" s="30" t="str">
        <f t="shared" si="31"/>
        <v/>
      </c>
      <c r="H132" s="46" t="str">
        <f t="shared" si="32"/>
        <v/>
      </c>
      <c r="I132" s="47"/>
      <c r="J132" s="45" t="str">
        <f t="shared" si="33"/>
        <v/>
      </c>
      <c r="K132" s="30" t="str">
        <f t="shared" si="34"/>
        <v/>
      </c>
      <c r="L132" s="30" t="str">
        <f t="shared" si="35"/>
        <v/>
      </c>
      <c r="M132" s="30" t="str">
        <f t="shared" si="36"/>
        <v/>
      </c>
      <c r="N132" s="30" t="str">
        <f t="shared" si="37"/>
        <v/>
      </c>
      <c r="O132" s="4"/>
      <c r="P132" s="48" t="str">
        <f>IF(I132="","",Amount*Mult*_xlfn.NORM.S.DIST(((LN(I132/K)+(r_dom-q+sigma^2/2)*U132))/(sigma*SQRT(U132)),1)*EXP(-q*U132))</f>
        <v/>
      </c>
      <c r="Q132" s="48" t="str">
        <f>IF(I132="","",SUM($D$37:D132))</f>
        <v/>
      </c>
      <c r="R132" s="48" t="str">
        <f t="shared" si="38"/>
        <v/>
      </c>
      <c r="S132" s="4"/>
      <c r="T132" s="4"/>
      <c r="U132" s="12">
        <f t="shared" si="39"/>
        <v>0</v>
      </c>
      <c r="V132" s="4"/>
      <c r="W132" s="4"/>
    </row>
    <row r="133" spans="1:23">
      <c r="A133" s="4"/>
      <c r="B133" s="13" t="str">
        <f t="shared" si="28"/>
        <v/>
      </c>
      <c r="C133" s="15" t="str">
        <f t="shared" si="26"/>
        <v/>
      </c>
      <c r="D133" s="49" t="str">
        <f t="shared" si="27"/>
        <v/>
      </c>
      <c r="E133" s="42" t="str">
        <f t="shared" si="29"/>
        <v/>
      </c>
      <c r="F133" s="42" t="str">
        <f t="shared" si="30"/>
        <v/>
      </c>
      <c r="G133" s="30" t="str">
        <f t="shared" si="31"/>
        <v/>
      </c>
      <c r="H133" s="46" t="str">
        <f t="shared" si="32"/>
        <v/>
      </c>
      <c r="I133" s="47"/>
      <c r="J133" s="45" t="str">
        <f t="shared" si="33"/>
        <v/>
      </c>
      <c r="K133" s="30" t="str">
        <f t="shared" si="34"/>
        <v/>
      </c>
      <c r="L133" s="30" t="str">
        <f t="shared" si="35"/>
        <v/>
      </c>
      <c r="M133" s="30" t="str">
        <f t="shared" si="36"/>
        <v/>
      </c>
      <c r="N133" s="30" t="str">
        <f t="shared" si="37"/>
        <v/>
      </c>
      <c r="O133" s="4"/>
      <c r="P133" s="48" t="str">
        <f>IF(I133="","",Amount*Mult*_xlfn.NORM.S.DIST(((LN(I133/K)+(r_dom-q+sigma^2/2)*U133))/(sigma*SQRT(U133)),1)*EXP(-q*U133))</f>
        <v/>
      </c>
      <c r="Q133" s="48" t="str">
        <f>IF(I133="","",SUM($D$37:D133))</f>
        <v/>
      </c>
      <c r="R133" s="48" t="str">
        <f t="shared" si="38"/>
        <v/>
      </c>
      <c r="S133" s="4"/>
      <c r="T133" s="4"/>
      <c r="U133" s="12">
        <f t="shared" si="39"/>
        <v>0</v>
      </c>
      <c r="V133" s="4"/>
      <c r="W133" s="4"/>
    </row>
    <row r="134" spans="1:23">
      <c r="A134" s="4"/>
      <c r="B134" s="13" t="str">
        <f t="shared" si="28"/>
        <v/>
      </c>
      <c r="C134" s="15" t="str">
        <f t="shared" si="26"/>
        <v/>
      </c>
      <c r="D134" s="49" t="str">
        <f t="shared" si="27"/>
        <v/>
      </c>
      <c r="E134" s="42" t="str">
        <f t="shared" si="29"/>
        <v/>
      </c>
      <c r="F134" s="42" t="str">
        <f t="shared" si="30"/>
        <v/>
      </c>
      <c r="G134" s="30" t="str">
        <f t="shared" si="31"/>
        <v/>
      </c>
      <c r="H134" s="46" t="str">
        <f t="shared" si="32"/>
        <v/>
      </c>
      <c r="I134" s="47"/>
      <c r="J134" s="45" t="str">
        <f t="shared" si="33"/>
        <v/>
      </c>
      <c r="K134" s="30" t="str">
        <f t="shared" si="34"/>
        <v/>
      </c>
      <c r="L134" s="30" t="str">
        <f t="shared" si="35"/>
        <v/>
      </c>
      <c r="M134" s="30" t="str">
        <f t="shared" si="36"/>
        <v/>
      </c>
      <c r="N134" s="30" t="str">
        <f t="shared" si="37"/>
        <v/>
      </c>
      <c r="O134" s="4"/>
      <c r="P134" s="48" t="str">
        <f>IF(I134="","",Amount*Mult*_xlfn.NORM.S.DIST(((LN(I134/K)+(r_dom-q+sigma^2/2)*U134))/(sigma*SQRT(U134)),1)*EXP(-q*U134))</f>
        <v/>
      </c>
      <c r="Q134" s="48" t="str">
        <f>IF(I134="","",SUM($D$37:D134))</f>
        <v/>
      </c>
      <c r="R134" s="48" t="str">
        <f t="shared" si="38"/>
        <v/>
      </c>
      <c r="S134" s="4"/>
      <c r="T134" s="4"/>
      <c r="U134" s="12">
        <f t="shared" si="39"/>
        <v>0</v>
      </c>
      <c r="V134" s="4"/>
      <c r="W134" s="4"/>
    </row>
    <row r="135" spans="1:23">
      <c r="A135" s="4"/>
      <c r="B135" s="13" t="str">
        <f t="shared" si="28"/>
        <v/>
      </c>
      <c r="C135" s="15" t="str">
        <f t="shared" si="26"/>
        <v/>
      </c>
      <c r="D135" s="49" t="str">
        <f t="shared" si="27"/>
        <v/>
      </c>
      <c r="E135" s="42" t="str">
        <f t="shared" si="29"/>
        <v/>
      </c>
      <c r="F135" s="42" t="str">
        <f t="shared" si="30"/>
        <v/>
      </c>
      <c r="G135" s="30" t="str">
        <f t="shared" si="31"/>
        <v/>
      </c>
      <c r="H135" s="46" t="str">
        <f t="shared" si="32"/>
        <v/>
      </c>
      <c r="I135" s="47"/>
      <c r="J135" s="45" t="str">
        <f t="shared" si="33"/>
        <v/>
      </c>
      <c r="K135" s="30" t="str">
        <f t="shared" si="34"/>
        <v/>
      </c>
      <c r="L135" s="30" t="str">
        <f t="shared" si="35"/>
        <v/>
      </c>
      <c r="M135" s="30" t="str">
        <f t="shared" si="36"/>
        <v/>
      </c>
      <c r="N135" s="30" t="str">
        <f t="shared" si="37"/>
        <v/>
      </c>
      <c r="O135" s="4"/>
      <c r="P135" s="48" t="str">
        <f>IF(I135="","",Amount*Mult*_xlfn.NORM.S.DIST(((LN(I135/K)+(r_dom-q+sigma^2/2)*U135))/(sigma*SQRT(U135)),1)*EXP(-q*U135))</f>
        <v/>
      </c>
      <c r="Q135" s="48" t="str">
        <f>IF(I135="","",SUM($D$37:D135))</f>
        <v/>
      </c>
      <c r="R135" s="48" t="str">
        <f t="shared" si="38"/>
        <v/>
      </c>
      <c r="S135" s="4"/>
      <c r="T135" s="4"/>
      <c r="U135" s="12">
        <f t="shared" si="39"/>
        <v>0</v>
      </c>
      <c r="V135" s="4"/>
      <c r="W135" s="4"/>
    </row>
    <row r="136" spans="1:23">
      <c r="A136" s="4"/>
      <c r="B136" s="13" t="str">
        <f t="shared" si="28"/>
        <v/>
      </c>
      <c r="C136" s="15" t="str">
        <f t="shared" si="26"/>
        <v/>
      </c>
      <c r="D136" s="49" t="str">
        <f t="shared" si="27"/>
        <v/>
      </c>
      <c r="E136" s="42" t="str">
        <f t="shared" si="29"/>
        <v/>
      </c>
      <c r="F136" s="42" t="str">
        <f t="shared" si="30"/>
        <v/>
      </c>
      <c r="G136" s="30" t="str">
        <f t="shared" si="31"/>
        <v/>
      </c>
      <c r="H136" s="46" t="str">
        <f t="shared" si="32"/>
        <v/>
      </c>
      <c r="I136" s="47"/>
      <c r="J136" s="45" t="str">
        <f t="shared" si="33"/>
        <v/>
      </c>
      <c r="K136" s="30" t="str">
        <f t="shared" si="34"/>
        <v/>
      </c>
      <c r="L136" s="30" t="str">
        <f t="shared" si="35"/>
        <v/>
      </c>
      <c r="M136" s="30" t="str">
        <f t="shared" si="36"/>
        <v/>
      </c>
      <c r="N136" s="30" t="str">
        <f t="shared" si="37"/>
        <v/>
      </c>
      <c r="O136" s="4"/>
      <c r="P136" s="48" t="str">
        <f>IF(I136="","",Amount*Mult*_xlfn.NORM.S.DIST(((LN(I136/K)+(r_dom-q+sigma^2/2)*U136))/(sigma*SQRT(U136)),1)*EXP(-q*U136))</f>
        <v/>
      </c>
      <c r="Q136" s="48" t="str">
        <f>IF(I136="","",SUM($D$37:D136))</f>
        <v/>
      </c>
      <c r="R136" s="48" t="str">
        <f t="shared" si="38"/>
        <v/>
      </c>
      <c r="S136" s="4"/>
      <c r="T136" s="4"/>
      <c r="U136" s="12">
        <f t="shared" si="39"/>
        <v>0</v>
      </c>
      <c r="V136" s="4"/>
      <c r="W136" s="4"/>
    </row>
    <row r="137" spans="1:23">
      <c r="A137" s="4"/>
      <c r="B137" s="13" t="str">
        <f t="shared" si="28"/>
        <v/>
      </c>
      <c r="C137" s="15" t="str">
        <f t="shared" si="26"/>
        <v/>
      </c>
      <c r="D137" s="49" t="str">
        <f t="shared" si="27"/>
        <v/>
      </c>
      <c r="E137" s="42" t="str">
        <f t="shared" si="29"/>
        <v/>
      </c>
      <c r="F137" s="42" t="str">
        <f t="shared" si="30"/>
        <v/>
      </c>
      <c r="G137" s="30" t="str">
        <f t="shared" si="31"/>
        <v/>
      </c>
      <c r="H137" s="46" t="str">
        <f t="shared" si="32"/>
        <v/>
      </c>
      <c r="I137" s="47"/>
      <c r="J137" s="45" t="str">
        <f t="shared" si="33"/>
        <v/>
      </c>
      <c r="K137" s="30" t="str">
        <f t="shared" si="34"/>
        <v/>
      </c>
      <c r="L137" s="30" t="str">
        <f t="shared" si="35"/>
        <v/>
      </c>
      <c r="M137" s="30" t="str">
        <f t="shared" si="36"/>
        <v/>
      </c>
      <c r="N137" s="30" t="str">
        <f t="shared" si="37"/>
        <v/>
      </c>
      <c r="O137" s="4"/>
      <c r="P137" s="48" t="str">
        <f>IF(I137="","",Amount*Mult*_xlfn.NORM.S.DIST(((LN(I137/K)+(r_dom-q+sigma^2/2)*U137))/(sigma*SQRT(U137)),1)*EXP(-q*U137))</f>
        <v/>
      </c>
      <c r="Q137" s="48" t="str">
        <f>IF(I137="","",SUM($D$37:D137))</f>
        <v/>
      </c>
      <c r="R137" s="48" t="str">
        <f t="shared" si="38"/>
        <v/>
      </c>
      <c r="U137" s="12">
        <f t="shared" si="39"/>
        <v>0</v>
      </c>
    </row>
    <row r="138" spans="1:23">
      <c r="A138" s="4"/>
      <c r="B138" s="13" t="str">
        <f t="shared" si="28"/>
        <v/>
      </c>
      <c r="C138" s="15" t="str">
        <f t="shared" si="26"/>
        <v/>
      </c>
      <c r="D138" s="49" t="str">
        <f t="shared" si="27"/>
        <v/>
      </c>
      <c r="E138" s="42" t="str">
        <f t="shared" si="29"/>
        <v/>
      </c>
      <c r="F138" s="42" t="str">
        <f t="shared" si="30"/>
        <v/>
      </c>
      <c r="G138" s="30" t="str">
        <f t="shared" si="31"/>
        <v/>
      </c>
      <c r="H138" s="46" t="str">
        <f t="shared" si="32"/>
        <v/>
      </c>
      <c r="I138" s="47"/>
      <c r="J138" s="45" t="str">
        <f t="shared" si="33"/>
        <v/>
      </c>
      <c r="K138" s="30" t="str">
        <f t="shared" si="34"/>
        <v/>
      </c>
      <c r="L138" s="30" t="str">
        <f t="shared" si="35"/>
        <v/>
      </c>
      <c r="M138" s="30" t="str">
        <f t="shared" si="36"/>
        <v/>
      </c>
      <c r="N138" s="30" t="str">
        <f t="shared" si="37"/>
        <v/>
      </c>
      <c r="O138" s="4"/>
      <c r="P138" s="48" t="str">
        <f>IF(I138="","",Amount*Mult*_xlfn.NORM.S.DIST(((LN(I138/K)+(r_dom-q+sigma^2/2)*U138))/(sigma*SQRT(U138)),1)*EXP(-q*U138))</f>
        <v/>
      </c>
      <c r="Q138" s="48" t="str">
        <f>IF(I138="","",SUM($D$37:D138))</f>
        <v/>
      </c>
      <c r="R138" s="48" t="str">
        <f t="shared" si="38"/>
        <v/>
      </c>
      <c r="U138" s="12">
        <f t="shared" si="39"/>
        <v>0</v>
      </c>
    </row>
    <row r="139" spans="1:23">
      <c r="A139" s="4"/>
      <c r="B139" s="13" t="str">
        <f t="shared" si="28"/>
        <v/>
      </c>
      <c r="C139" s="15" t="str">
        <f t="shared" si="26"/>
        <v/>
      </c>
      <c r="D139" s="49" t="str">
        <f t="shared" si="27"/>
        <v/>
      </c>
      <c r="E139" s="42" t="str">
        <f t="shared" si="29"/>
        <v/>
      </c>
      <c r="F139" s="42" t="str">
        <f t="shared" si="30"/>
        <v/>
      </c>
      <c r="G139" s="30" t="str">
        <f t="shared" si="31"/>
        <v/>
      </c>
      <c r="H139" s="46" t="str">
        <f t="shared" si="32"/>
        <v/>
      </c>
      <c r="I139" s="47"/>
      <c r="J139" s="45" t="str">
        <f t="shared" si="33"/>
        <v/>
      </c>
      <c r="K139" s="30" t="str">
        <f t="shared" si="34"/>
        <v/>
      </c>
      <c r="L139" s="30" t="str">
        <f t="shared" si="35"/>
        <v/>
      </c>
      <c r="M139" s="30" t="str">
        <f t="shared" si="36"/>
        <v/>
      </c>
      <c r="N139" s="30" t="str">
        <f t="shared" si="37"/>
        <v/>
      </c>
      <c r="O139" s="4"/>
      <c r="P139" s="48" t="str">
        <f>IF(I139="","",Amount*Mult*_xlfn.NORM.S.DIST(((LN(I139/K)+(r_dom-q+sigma^2/2)*U139))/(sigma*SQRT(U139)),1)*EXP(-q*U139))</f>
        <v/>
      </c>
      <c r="Q139" s="48" t="str">
        <f>IF(I139="","",SUM($D$37:D139))</f>
        <v/>
      </c>
      <c r="R139" s="48" t="str">
        <f t="shared" si="38"/>
        <v/>
      </c>
      <c r="U139" s="12">
        <f t="shared" si="39"/>
        <v>0</v>
      </c>
    </row>
    <row r="140" spans="1:23">
      <c r="A140" s="4"/>
      <c r="B140" s="13" t="str">
        <f t="shared" si="28"/>
        <v/>
      </c>
      <c r="C140" s="15" t="str">
        <f t="shared" si="26"/>
        <v/>
      </c>
      <c r="D140" s="49" t="str">
        <f t="shared" si="27"/>
        <v/>
      </c>
      <c r="E140" s="42" t="str">
        <f t="shared" si="29"/>
        <v/>
      </c>
      <c r="F140" s="42" t="str">
        <f t="shared" si="30"/>
        <v/>
      </c>
      <c r="G140" s="30" t="str">
        <f t="shared" si="31"/>
        <v/>
      </c>
      <c r="H140" s="46" t="str">
        <f t="shared" si="32"/>
        <v/>
      </c>
      <c r="I140" s="47"/>
      <c r="J140" s="45" t="str">
        <f t="shared" si="33"/>
        <v/>
      </c>
      <c r="K140" s="30" t="str">
        <f t="shared" si="34"/>
        <v/>
      </c>
      <c r="L140" s="30" t="str">
        <f t="shared" si="35"/>
        <v/>
      </c>
      <c r="M140" s="30" t="str">
        <f t="shared" si="36"/>
        <v/>
      </c>
      <c r="N140" s="30" t="str">
        <f t="shared" si="37"/>
        <v/>
      </c>
      <c r="O140" s="4"/>
      <c r="P140" s="48" t="str">
        <f>IF(I140="","",Amount*Mult*_xlfn.NORM.S.DIST(((LN(I140/K)+(r_dom-q+sigma^2/2)*U140))/(sigma*SQRT(U140)),1)*EXP(-q*U140))</f>
        <v/>
      </c>
      <c r="Q140" s="48" t="str">
        <f>IF(I140="","",SUM($D$37:D140))</f>
        <v/>
      </c>
      <c r="R140" s="48" t="str">
        <f t="shared" si="38"/>
        <v/>
      </c>
      <c r="U140" s="12">
        <f t="shared" si="39"/>
        <v>0</v>
      </c>
    </row>
    <row r="141" spans="1:23">
      <c r="A141" s="4"/>
      <c r="B141" s="13" t="str">
        <f t="shared" si="28"/>
        <v/>
      </c>
      <c r="C141" s="15" t="str">
        <f t="shared" si="26"/>
        <v/>
      </c>
      <c r="D141" s="49" t="str">
        <f t="shared" si="27"/>
        <v/>
      </c>
      <c r="E141" s="42" t="str">
        <f t="shared" si="29"/>
        <v/>
      </c>
      <c r="F141" s="42" t="str">
        <f t="shared" si="30"/>
        <v/>
      </c>
      <c r="G141" s="30" t="str">
        <f t="shared" si="31"/>
        <v/>
      </c>
      <c r="H141" s="46" t="str">
        <f t="shared" si="32"/>
        <v/>
      </c>
      <c r="I141" s="47"/>
      <c r="J141" s="45" t="str">
        <f t="shared" si="33"/>
        <v/>
      </c>
      <c r="K141" s="30" t="str">
        <f t="shared" si="34"/>
        <v/>
      </c>
      <c r="L141" s="30" t="str">
        <f t="shared" si="35"/>
        <v/>
      </c>
      <c r="M141" s="30" t="str">
        <f t="shared" si="36"/>
        <v/>
      </c>
      <c r="N141" s="30" t="str">
        <f t="shared" si="37"/>
        <v/>
      </c>
      <c r="O141" s="4"/>
      <c r="P141" s="48" t="str">
        <f>IF(I141="","",Amount*Mult*_xlfn.NORM.S.DIST(((LN(I141/K)+(r_dom-q+sigma^2/2)*U141))/(sigma*SQRT(U141)),1)*EXP(-q*U141))</f>
        <v/>
      </c>
      <c r="Q141" s="48" t="str">
        <f>IF(I141="","",SUM($D$37:D141))</f>
        <v/>
      </c>
      <c r="R141" s="48" t="str">
        <f t="shared" si="38"/>
        <v/>
      </c>
      <c r="U141" s="12">
        <f t="shared" si="39"/>
        <v>0</v>
      </c>
    </row>
    <row r="142" spans="1:23">
      <c r="A142" s="4"/>
      <c r="B142" s="13" t="str">
        <f t="shared" si="28"/>
        <v/>
      </c>
      <c r="C142" s="15" t="str">
        <f t="shared" si="26"/>
        <v/>
      </c>
      <c r="D142" s="49" t="str">
        <f t="shared" si="27"/>
        <v/>
      </c>
      <c r="E142" s="42" t="str">
        <f t="shared" si="29"/>
        <v/>
      </c>
      <c r="F142" s="42" t="str">
        <f t="shared" si="30"/>
        <v/>
      </c>
      <c r="G142" s="30" t="str">
        <f t="shared" si="31"/>
        <v/>
      </c>
      <c r="H142" s="46" t="str">
        <f t="shared" si="32"/>
        <v/>
      </c>
      <c r="I142" s="47"/>
      <c r="J142" s="45" t="str">
        <f t="shared" si="33"/>
        <v/>
      </c>
      <c r="K142" s="30" t="str">
        <f t="shared" si="34"/>
        <v/>
      </c>
      <c r="L142" s="30" t="str">
        <f t="shared" si="35"/>
        <v/>
      </c>
      <c r="M142" s="30" t="str">
        <f t="shared" si="36"/>
        <v/>
      </c>
      <c r="N142" s="30" t="str">
        <f t="shared" si="37"/>
        <v/>
      </c>
      <c r="O142" s="4"/>
      <c r="P142" s="48" t="str">
        <f>IF(I142="","",Amount*Mult*_xlfn.NORM.S.DIST(((LN(I142/K)+(r_dom-q+sigma^2/2)*U142))/(sigma*SQRT(U142)),1)*EXP(-q*U142))</f>
        <v/>
      </c>
      <c r="Q142" s="48" t="str">
        <f>IF(I142="","",SUM($D$37:D142))</f>
        <v/>
      </c>
      <c r="R142" s="48" t="str">
        <f t="shared" si="38"/>
        <v/>
      </c>
      <c r="U142" s="12">
        <f t="shared" si="39"/>
        <v>0</v>
      </c>
    </row>
    <row r="143" spans="1:23">
      <c r="A143" s="4"/>
      <c r="B143" s="13" t="str">
        <f t="shared" si="28"/>
        <v/>
      </c>
      <c r="C143" s="15" t="str">
        <f t="shared" si="26"/>
        <v/>
      </c>
      <c r="D143" s="49" t="str">
        <f t="shared" si="27"/>
        <v/>
      </c>
      <c r="E143" s="42" t="str">
        <f t="shared" si="29"/>
        <v/>
      </c>
      <c r="F143" s="42" t="str">
        <f t="shared" si="30"/>
        <v/>
      </c>
      <c r="G143" s="30" t="str">
        <f t="shared" si="31"/>
        <v/>
      </c>
      <c r="H143" s="46" t="str">
        <f t="shared" si="32"/>
        <v/>
      </c>
      <c r="I143" s="47"/>
      <c r="J143" s="45" t="str">
        <f t="shared" si="33"/>
        <v/>
      </c>
      <c r="K143" s="30" t="str">
        <f t="shared" si="34"/>
        <v/>
      </c>
      <c r="L143" s="30" t="str">
        <f t="shared" si="35"/>
        <v/>
      </c>
      <c r="M143" s="30" t="str">
        <f t="shared" si="36"/>
        <v/>
      </c>
      <c r="N143" s="30" t="str">
        <f t="shared" si="37"/>
        <v/>
      </c>
      <c r="O143" s="4"/>
      <c r="P143" s="48" t="str">
        <f>IF(I143="","",Amount*Mult*_xlfn.NORM.S.DIST(((LN(I143/K)+(r_dom-q+sigma^2/2)*U143))/(sigma*SQRT(U143)),1)*EXP(-q*U143))</f>
        <v/>
      </c>
      <c r="Q143" s="48" t="str">
        <f>IF(I143="","",SUM($D$37:D143))</f>
        <v/>
      </c>
      <c r="R143" s="48" t="str">
        <f t="shared" si="38"/>
        <v/>
      </c>
      <c r="U143" s="12">
        <f t="shared" si="39"/>
        <v>0</v>
      </c>
    </row>
    <row r="144" spans="1:23">
      <c r="A144" s="4"/>
      <c r="B144" s="13" t="str">
        <f t="shared" si="28"/>
        <v/>
      </c>
      <c r="C144" s="15" t="str">
        <f t="shared" si="26"/>
        <v/>
      </c>
      <c r="D144" s="49" t="str">
        <f t="shared" si="27"/>
        <v/>
      </c>
      <c r="E144" s="42" t="str">
        <f t="shared" si="29"/>
        <v/>
      </c>
      <c r="F144" s="42" t="str">
        <f t="shared" si="30"/>
        <v/>
      </c>
      <c r="G144" s="30" t="str">
        <f t="shared" si="31"/>
        <v/>
      </c>
      <c r="H144" s="46" t="str">
        <f t="shared" si="32"/>
        <v/>
      </c>
      <c r="I144" s="47"/>
      <c r="J144" s="45" t="str">
        <f t="shared" si="33"/>
        <v/>
      </c>
      <c r="K144" s="30" t="str">
        <f t="shared" si="34"/>
        <v/>
      </c>
      <c r="L144" s="30" t="str">
        <f t="shared" si="35"/>
        <v/>
      </c>
      <c r="M144" s="30" t="str">
        <f t="shared" si="36"/>
        <v/>
      </c>
      <c r="N144" s="30" t="str">
        <f t="shared" si="37"/>
        <v/>
      </c>
      <c r="O144" s="4"/>
      <c r="P144" s="48" t="str">
        <f>IF(I144="","",Amount*Mult*_xlfn.NORM.S.DIST(((LN(I144/K)+(r_dom-q+sigma^2/2)*U144))/(sigma*SQRT(U144)),1)*EXP(-q*U144))</f>
        <v/>
      </c>
      <c r="Q144" s="48" t="str">
        <f>IF(I144="","",SUM($D$37:D144))</f>
        <v/>
      </c>
      <c r="R144" s="48" t="str">
        <f t="shared" si="38"/>
        <v/>
      </c>
      <c r="U144" s="12">
        <f t="shared" si="39"/>
        <v>0</v>
      </c>
    </row>
    <row r="145" spans="1:21">
      <c r="A145" s="4"/>
      <c r="B145" s="13" t="str">
        <f t="shared" si="28"/>
        <v/>
      </c>
      <c r="C145" s="15" t="str">
        <f t="shared" si="26"/>
        <v/>
      </c>
      <c r="D145" s="49" t="str">
        <f t="shared" si="27"/>
        <v/>
      </c>
      <c r="E145" s="42" t="str">
        <f t="shared" si="29"/>
        <v/>
      </c>
      <c r="F145" s="42" t="str">
        <f t="shared" si="30"/>
        <v/>
      </c>
      <c r="G145" s="30" t="str">
        <f t="shared" si="31"/>
        <v/>
      </c>
      <c r="H145" s="46" t="str">
        <f t="shared" si="32"/>
        <v/>
      </c>
      <c r="I145" s="47"/>
      <c r="J145" s="45" t="str">
        <f t="shared" si="33"/>
        <v/>
      </c>
      <c r="K145" s="30" t="str">
        <f t="shared" si="34"/>
        <v/>
      </c>
      <c r="L145" s="30" t="str">
        <f t="shared" si="35"/>
        <v/>
      </c>
      <c r="M145" s="30" t="str">
        <f t="shared" si="36"/>
        <v/>
      </c>
      <c r="N145" s="30" t="str">
        <f t="shared" si="37"/>
        <v/>
      </c>
      <c r="O145" s="4"/>
      <c r="P145" s="48" t="str">
        <f>IF(I145="","",Amount*Mult*_xlfn.NORM.S.DIST(((LN(I145/K)+(r_dom-q+sigma^2/2)*U145))/(sigma*SQRT(U145)),1)*EXP(-q*U145))</f>
        <v/>
      </c>
      <c r="Q145" s="48" t="str">
        <f>IF(I145="","",SUM($D$37:D145))</f>
        <v/>
      </c>
      <c r="R145" s="48" t="str">
        <f t="shared" si="38"/>
        <v/>
      </c>
      <c r="U145" s="12">
        <f t="shared" si="39"/>
        <v>0</v>
      </c>
    </row>
    <row r="146" spans="1:21">
      <c r="A146" s="4"/>
      <c r="B146" s="13" t="str">
        <f t="shared" si="28"/>
        <v/>
      </c>
      <c r="C146" s="15" t="str">
        <f t="shared" si="26"/>
        <v/>
      </c>
      <c r="D146" s="49" t="str">
        <f t="shared" si="27"/>
        <v/>
      </c>
      <c r="E146" s="42" t="str">
        <f t="shared" si="29"/>
        <v/>
      </c>
      <c r="F146" s="42" t="str">
        <f t="shared" si="30"/>
        <v/>
      </c>
      <c r="G146" s="30" t="str">
        <f t="shared" si="31"/>
        <v/>
      </c>
      <c r="H146" s="46" t="str">
        <f t="shared" si="32"/>
        <v/>
      </c>
      <c r="I146" s="47"/>
      <c r="J146" s="45" t="str">
        <f t="shared" si="33"/>
        <v/>
      </c>
      <c r="K146" s="30" t="str">
        <f t="shared" si="34"/>
        <v/>
      </c>
      <c r="L146" s="30" t="str">
        <f t="shared" si="35"/>
        <v/>
      </c>
      <c r="M146" s="30" t="str">
        <f t="shared" si="36"/>
        <v/>
      </c>
      <c r="N146" s="30" t="str">
        <f t="shared" si="37"/>
        <v/>
      </c>
      <c r="O146" s="4"/>
      <c r="P146" s="48" t="str">
        <f>IF(I146="","",Amount*Mult*_xlfn.NORM.S.DIST(((LN(I146/K)+(r_dom-q+sigma^2/2)*U146))/(sigma*SQRT(U146)),1)*EXP(-q*U146))</f>
        <v/>
      </c>
      <c r="Q146" s="48" t="str">
        <f>IF(I146="","",SUM($D$37:D146))</f>
        <v/>
      </c>
      <c r="R146" s="48" t="str">
        <f t="shared" si="38"/>
        <v/>
      </c>
      <c r="U146" s="12">
        <f t="shared" si="39"/>
        <v>0</v>
      </c>
    </row>
    <row r="147" spans="1:21">
      <c r="A147" s="4"/>
      <c r="B147" s="13" t="str">
        <f t="shared" si="28"/>
        <v/>
      </c>
      <c r="C147" s="15" t="str">
        <f t="shared" si="26"/>
        <v/>
      </c>
      <c r="D147" s="49" t="str">
        <f t="shared" si="27"/>
        <v/>
      </c>
      <c r="E147" s="42" t="str">
        <f t="shared" si="29"/>
        <v/>
      </c>
      <c r="F147" s="42" t="str">
        <f t="shared" si="30"/>
        <v/>
      </c>
      <c r="G147" s="30" t="str">
        <f t="shared" si="31"/>
        <v/>
      </c>
      <c r="H147" s="46" t="str">
        <f t="shared" si="32"/>
        <v/>
      </c>
      <c r="I147" s="47"/>
      <c r="J147" s="45" t="str">
        <f t="shared" si="33"/>
        <v/>
      </c>
      <c r="K147" s="30" t="str">
        <f t="shared" si="34"/>
        <v/>
      </c>
      <c r="L147" s="30" t="str">
        <f t="shared" si="35"/>
        <v/>
      </c>
      <c r="M147" s="30" t="str">
        <f t="shared" si="36"/>
        <v/>
      </c>
      <c r="N147" s="30" t="str">
        <f t="shared" si="37"/>
        <v/>
      </c>
      <c r="O147" s="4"/>
      <c r="P147" s="48" t="str">
        <f>IF(I147="","",Amount*Mult*_xlfn.NORM.S.DIST(((LN(I147/K)+(r_dom-q+sigma^2/2)*U147))/(sigma*SQRT(U147)),1)*EXP(-q*U147))</f>
        <v/>
      </c>
      <c r="Q147" s="48" t="str">
        <f>IF(I147="","",SUM($D$37:D147))</f>
        <v/>
      </c>
      <c r="R147" s="48" t="str">
        <f t="shared" si="38"/>
        <v/>
      </c>
      <c r="U147" s="12">
        <f t="shared" si="39"/>
        <v>0</v>
      </c>
    </row>
    <row r="148" spans="1:21">
      <c r="A148" s="4"/>
      <c r="B148" s="13" t="str">
        <f t="shared" si="28"/>
        <v/>
      </c>
      <c r="C148" s="15" t="str">
        <f t="shared" si="26"/>
        <v/>
      </c>
      <c r="D148" s="49" t="str">
        <f t="shared" si="27"/>
        <v/>
      </c>
      <c r="E148" s="42" t="str">
        <f t="shared" si="29"/>
        <v/>
      </c>
      <c r="F148" s="42" t="str">
        <f t="shared" si="30"/>
        <v/>
      </c>
      <c r="G148" s="30" t="str">
        <f t="shared" si="31"/>
        <v/>
      </c>
      <c r="H148" s="46" t="str">
        <f t="shared" si="32"/>
        <v/>
      </c>
      <c r="I148" s="47"/>
      <c r="J148" s="45" t="str">
        <f t="shared" si="33"/>
        <v/>
      </c>
      <c r="K148" s="30" t="str">
        <f t="shared" si="34"/>
        <v/>
      </c>
      <c r="L148" s="30" t="str">
        <f t="shared" si="35"/>
        <v/>
      </c>
      <c r="M148" s="30" t="str">
        <f t="shared" si="36"/>
        <v/>
      </c>
      <c r="N148" s="30" t="str">
        <f t="shared" si="37"/>
        <v/>
      </c>
      <c r="O148" s="4"/>
      <c r="P148" s="48" t="str">
        <f>IF(I148="","",Amount*Mult*_xlfn.NORM.S.DIST(((LN(I148/K)+(r_dom-q+sigma^2/2)*U148))/(sigma*SQRT(U148)),1)*EXP(-q*U148))</f>
        <v/>
      </c>
      <c r="Q148" s="48" t="str">
        <f>IF(I148="","",SUM($D$37:D148))</f>
        <v/>
      </c>
      <c r="R148" s="48" t="str">
        <f t="shared" si="38"/>
        <v/>
      </c>
      <c r="U148" s="12">
        <f t="shared" si="39"/>
        <v>0</v>
      </c>
    </row>
    <row r="149" spans="1:21">
      <c r="A149" s="4"/>
      <c r="B149" s="13" t="str">
        <f t="shared" si="28"/>
        <v/>
      </c>
      <c r="C149" s="15" t="str">
        <f t="shared" si="26"/>
        <v/>
      </c>
      <c r="D149" s="49" t="str">
        <f t="shared" si="27"/>
        <v/>
      </c>
      <c r="E149" s="42" t="str">
        <f t="shared" si="29"/>
        <v/>
      </c>
      <c r="F149" s="42" t="str">
        <f t="shared" si="30"/>
        <v/>
      </c>
      <c r="G149" s="30" t="str">
        <f t="shared" si="31"/>
        <v/>
      </c>
      <c r="H149" s="46" t="str">
        <f t="shared" si="32"/>
        <v/>
      </c>
      <c r="I149" s="47"/>
      <c r="J149" s="45" t="str">
        <f t="shared" si="33"/>
        <v/>
      </c>
      <c r="K149" s="30" t="str">
        <f t="shared" si="34"/>
        <v/>
      </c>
      <c r="L149" s="30" t="str">
        <f t="shared" si="35"/>
        <v/>
      </c>
      <c r="M149" s="30" t="str">
        <f t="shared" si="36"/>
        <v/>
      </c>
      <c r="N149" s="30" t="str">
        <f t="shared" si="37"/>
        <v/>
      </c>
      <c r="O149" s="4"/>
      <c r="P149" s="48" t="str">
        <f>IF(I149="","",Amount*Mult*_xlfn.NORM.S.DIST(((LN(I149/K)+(r_dom-q+sigma^2/2)*U149))/(sigma*SQRT(U149)),1)*EXP(-q*U149))</f>
        <v/>
      </c>
      <c r="Q149" s="48" t="str">
        <f>IF(I149="","",SUM($D$37:D149))</f>
        <v/>
      </c>
      <c r="R149" s="48" t="str">
        <f t="shared" si="38"/>
        <v/>
      </c>
      <c r="U149" s="12">
        <f t="shared" si="39"/>
        <v>0</v>
      </c>
    </row>
    <row r="150" spans="1:21">
      <c r="A150" s="4"/>
      <c r="B150" s="13" t="str">
        <f t="shared" si="28"/>
        <v/>
      </c>
      <c r="C150" s="15" t="str">
        <f t="shared" si="26"/>
        <v/>
      </c>
      <c r="D150" s="49" t="str">
        <f t="shared" si="27"/>
        <v/>
      </c>
      <c r="E150" s="42" t="str">
        <f t="shared" si="29"/>
        <v/>
      </c>
      <c r="F150" s="42" t="str">
        <f t="shared" si="30"/>
        <v/>
      </c>
      <c r="G150" s="30" t="str">
        <f t="shared" si="31"/>
        <v/>
      </c>
      <c r="H150" s="46" t="str">
        <f t="shared" si="32"/>
        <v/>
      </c>
      <c r="I150" s="47"/>
      <c r="J150" s="45" t="str">
        <f t="shared" si="33"/>
        <v/>
      </c>
      <c r="K150" s="30" t="str">
        <f t="shared" si="34"/>
        <v/>
      </c>
      <c r="L150" s="30" t="str">
        <f t="shared" si="35"/>
        <v/>
      </c>
      <c r="M150" s="30" t="str">
        <f t="shared" si="36"/>
        <v/>
      </c>
      <c r="N150" s="30" t="str">
        <f t="shared" si="37"/>
        <v/>
      </c>
      <c r="O150" s="4"/>
      <c r="P150" s="48" t="str">
        <f>IF(I150="","",Amount*Mult*_xlfn.NORM.S.DIST(((LN(I150/K)+(r_dom-q+sigma^2/2)*U150))/(sigma*SQRT(U150)),1)*EXP(-q*U150))</f>
        <v/>
      </c>
      <c r="Q150" s="48" t="str">
        <f>IF(I150="","",SUM($D$37:D150))</f>
        <v/>
      </c>
      <c r="R150" s="48" t="str">
        <f t="shared" si="38"/>
        <v/>
      </c>
      <c r="U150" s="12">
        <f t="shared" si="39"/>
        <v>0</v>
      </c>
    </row>
    <row r="151" spans="1:21">
      <c r="A151" s="4"/>
      <c r="B151" s="13" t="str">
        <f t="shared" si="28"/>
        <v/>
      </c>
      <c r="C151" s="15" t="str">
        <f t="shared" si="26"/>
        <v/>
      </c>
      <c r="D151" s="49" t="str">
        <f t="shared" si="27"/>
        <v/>
      </c>
      <c r="E151" s="42" t="str">
        <f t="shared" si="29"/>
        <v/>
      </c>
      <c r="F151" s="42" t="str">
        <f t="shared" si="30"/>
        <v/>
      </c>
      <c r="G151" s="30" t="str">
        <f t="shared" si="31"/>
        <v/>
      </c>
      <c r="H151" s="46" t="str">
        <f t="shared" si="32"/>
        <v/>
      </c>
      <c r="I151" s="47"/>
      <c r="J151" s="45" t="str">
        <f t="shared" si="33"/>
        <v/>
      </c>
      <c r="K151" s="30" t="str">
        <f t="shared" si="34"/>
        <v/>
      </c>
      <c r="L151" s="30" t="str">
        <f t="shared" si="35"/>
        <v/>
      </c>
      <c r="M151" s="30" t="str">
        <f t="shared" si="36"/>
        <v/>
      </c>
      <c r="N151" s="30" t="str">
        <f t="shared" si="37"/>
        <v/>
      </c>
      <c r="O151" s="4"/>
      <c r="P151" s="48" t="str">
        <f>IF(I151="","",Amount*Mult*_xlfn.NORM.S.DIST(((LN(I151/K)+(r_dom-q+sigma^2/2)*U151))/(sigma*SQRT(U151)),1)*EXP(-q*U151))</f>
        <v/>
      </c>
      <c r="Q151" s="48" t="str">
        <f>IF(I151="","",SUM($D$37:D151))</f>
        <v/>
      </c>
      <c r="R151" s="48" t="str">
        <f t="shared" si="38"/>
        <v/>
      </c>
      <c r="U151" s="12">
        <f t="shared" si="39"/>
        <v>0</v>
      </c>
    </row>
    <row r="152" spans="1:21">
      <c r="A152" s="4"/>
      <c r="B152" s="13" t="str">
        <f t="shared" si="28"/>
        <v/>
      </c>
      <c r="C152" s="15" t="str">
        <f t="shared" si="26"/>
        <v/>
      </c>
      <c r="D152" s="49" t="str">
        <f t="shared" si="27"/>
        <v/>
      </c>
      <c r="E152" s="42" t="str">
        <f t="shared" si="29"/>
        <v/>
      </c>
      <c r="F152" s="42" t="str">
        <f t="shared" si="30"/>
        <v/>
      </c>
      <c r="G152" s="30" t="str">
        <f t="shared" si="31"/>
        <v/>
      </c>
      <c r="H152" s="46" t="str">
        <f t="shared" si="32"/>
        <v/>
      </c>
      <c r="I152" s="47"/>
      <c r="J152" s="45" t="str">
        <f t="shared" si="33"/>
        <v/>
      </c>
      <c r="K152" s="30" t="str">
        <f t="shared" si="34"/>
        <v/>
      </c>
      <c r="L152" s="30" t="str">
        <f t="shared" si="35"/>
        <v/>
      </c>
      <c r="M152" s="30" t="str">
        <f t="shared" si="36"/>
        <v/>
      </c>
      <c r="N152" s="30" t="str">
        <f t="shared" si="37"/>
        <v/>
      </c>
      <c r="O152" s="4"/>
      <c r="P152" s="48" t="str">
        <f>IF(I152="","",Amount*Mult*_xlfn.NORM.S.DIST(((LN(I152/K)+(r_dom-q+sigma^2/2)*U152))/(sigma*SQRT(U152)),1)*EXP(-q*U152))</f>
        <v/>
      </c>
      <c r="Q152" s="48" t="str">
        <f>IF(I152="","",SUM($D$37:D152))</f>
        <v/>
      </c>
      <c r="R152" s="48" t="str">
        <f t="shared" si="38"/>
        <v/>
      </c>
      <c r="U152" s="12">
        <f t="shared" si="39"/>
        <v>0</v>
      </c>
    </row>
    <row r="153" spans="1:21">
      <c r="A153" s="4"/>
      <c r="B153" s="13" t="str">
        <f t="shared" si="28"/>
        <v/>
      </c>
      <c r="C153" s="15" t="str">
        <f t="shared" si="26"/>
        <v/>
      </c>
      <c r="D153" s="49" t="str">
        <f t="shared" si="27"/>
        <v/>
      </c>
      <c r="E153" s="42" t="str">
        <f t="shared" si="29"/>
        <v/>
      </c>
      <c r="F153" s="42" t="str">
        <f t="shared" si="30"/>
        <v/>
      </c>
      <c r="G153" s="30" t="str">
        <f t="shared" si="31"/>
        <v/>
      </c>
      <c r="H153" s="46" t="str">
        <f t="shared" si="32"/>
        <v/>
      </c>
      <c r="I153" s="47"/>
      <c r="J153" s="45" t="str">
        <f t="shared" si="33"/>
        <v/>
      </c>
      <c r="K153" s="30" t="str">
        <f t="shared" si="34"/>
        <v/>
      </c>
      <c r="L153" s="30" t="str">
        <f t="shared" si="35"/>
        <v/>
      </c>
      <c r="M153" s="30" t="str">
        <f t="shared" si="36"/>
        <v/>
      </c>
      <c r="N153" s="30" t="str">
        <f t="shared" si="37"/>
        <v/>
      </c>
      <c r="O153" s="4"/>
      <c r="P153" s="48" t="str">
        <f>IF(I153="","",Amount*Mult*_xlfn.NORM.S.DIST(((LN(I153/K)+(r_dom-q+sigma^2/2)*U153))/(sigma*SQRT(U153)),1)*EXP(-q*U153))</f>
        <v/>
      </c>
      <c r="Q153" s="48" t="str">
        <f>IF(I153="","",SUM($D$37:D153))</f>
        <v/>
      </c>
      <c r="R153" s="48" t="str">
        <f t="shared" si="38"/>
        <v/>
      </c>
      <c r="U153" s="12">
        <f t="shared" si="39"/>
        <v>0</v>
      </c>
    </row>
    <row r="154" spans="1:21">
      <c r="A154" s="4"/>
      <c r="B154" s="13" t="str">
        <f t="shared" si="28"/>
        <v/>
      </c>
      <c r="C154" s="15" t="str">
        <f t="shared" si="26"/>
        <v/>
      </c>
      <c r="D154" s="49" t="str">
        <f t="shared" si="27"/>
        <v/>
      </c>
      <c r="E154" s="42" t="str">
        <f t="shared" si="29"/>
        <v/>
      </c>
      <c r="F154" s="42" t="str">
        <f t="shared" si="30"/>
        <v/>
      </c>
      <c r="G154" s="30" t="str">
        <f t="shared" si="31"/>
        <v/>
      </c>
      <c r="H154" s="46" t="str">
        <f t="shared" si="32"/>
        <v/>
      </c>
      <c r="I154" s="47"/>
      <c r="J154" s="45" t="str">
        <f t="shared" si="33"/>
        <v/>
      </c>
      <c r="K154" s="30" t="str">
        <f t="shared" si="34"/>
        <v/>
      </c>
      <c r="L154" s="30" t="str">
        <f t="shared" si="35"/>
        <v/>
      </c>
      <c r="M154" s="30" t="str">
        <f t="shared" si="36"/>
        <v/>
      </c>
      <c r="N154" s="30" t="str">
        <f t="shared" si="37"/>
        <v/>
      </c>
      <c r="O154" s="4"/>
      <c r="P154" s="48" t="str">
        <f>IF(I154="","",Amount*Mult*_xlfn.NORM.S.DIST(((LN(I154/K)+(r_dom-q+sigma^2/2)*U154))/(sigma*SQRT(U154)),1)*EXP(-q*U154))</f>
        <v/>
      </c>
      <c r="Q154" s="48" t="str">
        <f>IF(I154="","",SUM($D$37:D154))</f>
        <v/>
      </c>
      <c r="R154" s="48" t="str">
        <f t="shared" si="38"/>
        <v/>
      </c>
      <c r="U154" s="12">
        <f t="shared" si="39"/>
        <v>0</v>
      </c>
    </row>
    <row r="155" spans="1:21">
      <c r="A155" s="4"/>
      <c r="B155" s="13" t="str">
        <f t="shared" si="28"/>
        <v/>
      </c>
      <c r="C155" s="15" t="str">
        <f t="shared" si="26"/>
        <v/>
      </c>
      <c r="D155" s="49" t="str">
        <f t="shared" si="27"/>
        <v/>
      </c>
      <c r="E155" s="42" t="str">
        <f t="shared" si="29"/>
        <v/>
      </c>
      <c r="F155" s="42" t="str">
        <f t="shared" si="30"/>
        <v/>
      </c>
      <c r="G155" s="30" t="str">
        <f t="shared" si="31"/>
        <v/>
      </c>
      <c r="H155" s="46" t="str">
        <f t="shared" si="32"/>
        <v/>
      </c>
      <c r="I155" s="47"/>
      <c r="J155" s="45" t="str">
        <f t="shared" si="33"/>
        <v/>
      </c>
      <c r="K155" s="30" t="str">
        <f t="shared" si="34"/>
        <v/>
      </c>
      <c r="L155" s="30" t="str">
        <f t="shared" si="35"/>
        <v/>
      </c>
      <c r="M155" s="30" t="str">
        <f t="shared" si="36"/>
        <v/>
      </c>
      <c r="N155" s="30" t="str">
        <f t="shared" si="37"/>
        <v/>
      </c>
      <c r="O155" s="4"/>
      <c r="P155" s="48" t="str">
        <f>IF(I155="","",Amount*Mult*_xlfn.NORM.S.DIST(((LN(I155/K)+(r_dom-q+sigma^2/2)*U155))/(sigma*SQRT(U155)),1)*EXP(-q*U155))</f>
        <v/>
      </c>
      <c r="Q155" s="48" t="str">
        <f>IF(I155="","",SUM($D$37:D155))</f>
        <v/>
      </c>
      <c r="R155" s="48" t="str">
        <f t="shared" si="38"/>
        <v/>
      </c>
      <c r="U155" s="12">
        <f t="shared" si="39"/>
        <v>0</v>
      </c>
    </row>
    <row r="156" spans="1:21">
      <c r="A156" s="4"/>
      <c r="B156" s="13" t="str">
        <f t="shared" si="28"/>
        <v/>
      </c>
      <c r="C156" s="15" t="str">
        <f t="shared" si="26"/>
        <v/>
      </c>
      <c r="D156" s="49" t="str">
        <f t="shared" si="27"/>
        <v/>
      </c>
      <c r="E156" s="42" t="str">
        <f t="shared" si="29"/>
        <v/>
      </c>
      <c r="F156" s="42" t="str">
        <f t="shared" si="30"/>
        <v/>
      </c>
      <c r="G156" s="30" t="str">
        <f t="shared" si="31"/>
        <v/>
      </c>
      <c r="H156" s="46" t="str">
        <f t="shared" si="32"/>
        <v/>
      </c>
      <c r="I156" s="47"/>
      <c r="J156" s="45" t="str">
        <f t="shared" si="33"/>
        <v/>
      </c>
      <c r="K156" s="30" t="str">
        <f t="shared" si="34"/>
        <v/>
      </c>
      <c r="L156" s="30" t="str">
        <f t="shared" si="35"/>
        <v/>
      </c>
      <c r="M156" s="30" t="str">
        <f t="shared" si="36"/>
        <v/>
      </c>
      <c r="N156" s="30" t="str">
        <f t="shared" si="37"/>
        <v/>
      </c>
      <c r="O156" s="4"/>
      <c r="P156" s="48" t="str">
        <f>IF(I156="","",Amount*Mult*_xlfn.NORM.S.DIST(((LN(I156/K)+(r_dom-q+sigma^2/2)*U156))/(sigma*SQRT(U156)),1)*EXP(-q*U156))</f>
        <v/>
      </c>
      <c r="Q156" s="48" t="str">
        <f>IF(I156="","",SUM($D$37:D156))</f>
        <v/>
      </c>
      <c r="R156" s="48" t="str">
        <f t="shared" si="38"/>
        <v/>
      </c>
      <c r="U156" s="12">
        <f t="shared" si="39"/>
        <v>0</v>
      </c>
    </row>
    <row r="157" spans="1:21">
      <c r="A157" s="4"/>
      <c r="B157" s="13" t="str">
        <f t="shared" si="28"/>
        <v/>
      </c>
      <c r="C157" s="15" t="str">
        <f t="shared" si="26"/>
        <v/>
      </c>
      <c r="D157" s="49" t="str">
        <f t="shared" si="27"/>
        <v/>
      </c>
      <c r="E157" s="42" t="str">
        <f t="shared" si="29"/>
        <v/>
      </c>
      <c r="F157" s="42" t="str">
        <f t="shared" si="30"/>
        <v/>
      </c>
      <c r="G157" s="30" t="str">
        <f t="shared" si="31"/>
        <v/>
      </c>
      <c r="H157" s="46" t="str">
        <f t="shared" si="32"/>
        <v/>
      </c>
      <c r="I157" s="47"/>
      <c r="J157" s="45" t="str">
        <f t="shared" si="33"/>
        <v/>
      </c>
      <c r="K157" s="30" t="str">
        <f t="shared" si="34"/>
        <v/>
      </c>
      <c r="L157" s="30" t="str">
        <f t="shared" si="35"/>
        <v/>
      </c>
      <c r="M157" s="30" t="str">
        <f t="shared" si="36"/>
        <v/>
      </c>
      <c r="N157" s="30" t="str">
        <f t="shared" si="37"/>
        <v/>
      </c>
      <c r="O157" s="4"/>
      <c r="P157" s="48" t="str">
        <f>IF(I157="","",Amount*Mult*_xlfn.NORM.S.DIST(((LN(I157/K)+(r_dom-q+sigma^2/2)*U157))/(sigma*SQRT(U157)),1)*EXP(-q*U157))</f>
        <v/>
      </c>
      <c r="Q157" s="48" t="str">
        <f>IF(I157="","",SUM($D$37:D157))</f>
        <v/>
      </c>
      <c r="R157" s="48" t="str">
        <f t="shared" si="38"/>
        <v/>
      </c>
      <c r="U157" s="12">
        <f t="shared" si="39"/>
        <v>0</v>
      </c>
    </row>
    <row r="158" spans="1:21">
      <c r="A158" s="4"/>
      <c r="B158" s="13" t="str">
        <f t="shared" si="28"/>
        <v/>
      </c>
      <c r="C158" s="15" t="str">
        <f t="shared" si="26"/>
        <v/>
      </c>
      <c r="D158" s="49" t="str">
        <f t="shared" si="27"/>
        <v/>
      </c>
      <c r="E158" s="42" t="str">
        <f t="shared" si="29"/>
        <v/>
      </c>
      <c r="F158" s="42" t="str">
        <f t="shared" si="30"/>
        <v/>
      </c>
      <c r="G158" s="30" t="str">
        <f t="shared" si="31"/>
        <v/>
      </c>
      <c r="H158" s="46" t="str">
        <f t="shared" si="32"/>
        <v/>
      </c>
      <c r="I158" s="47"/>
      <c r="J158" s="45" t="str">
        <f t="shared" si="33"/>
        <v/>
      </c>
      <c r="K158" s="30" t="str">
        <f t="shared" si="34"/>
        <v/>
      </c>
      <c r="L158" s="30" t="str">
        <f t="shared" si="35"/>
        <v/>
      </c>
      <c r="M158" s="30" t="str">
        <f t="shared" si="36"/>
        <v/>
      </c>
      <c r="N158" s="30" t="str">
        <f t="shared" si="37"/>
        <v/>
      </c>
      <c r="O158" s="4"/>
      <c r="P158" s="48" t="str">
        <f>IF(I158="","",Amount*Mult*_xlfn.NORM.S.DIST(((LN(I158/K)+(r_dom-q+sigma^2/2)*U158))/(sigma*SQRT(U158)),1)*EXP(-q*U158))</f>
        <v/>
      </c>
      <c r="Q158" s="48" t="str">
        <f>IF(I158="","",SUM($D$37:D158))</f>
        <v/>
      </c>
      <c r="R158" s="48" t="str">
        <f t="shared" si="38"/>
        <v/>
      </c>
      <c r="U158" s="12">
        <f t="shared" si="39"/>
        <v>0</v>
      </c>
    </row>
    <row r="159" spans="1:21">
      <c r="A159" s="4"/>
      <c r="B159" s="13" t="str">
        <f t="shared" si="28"/>
        <v/>
      </c>
      <c r="C159" s="15" t="str">
        <f t="shared" si="26"/>
        <v/>
      </c>
      <c r="D159" s="49" t="str">
        <f t="shared" si="27"/>
        <v/>
      </c>
      <c r="E159" s="42" t="str">
        <f t="shared" si="29"/>
        <v/>
      </c>
      <c r="F159" s="42" t="str">
        <f t="shared" si="30"/>
        <v/>
      </c>
      <c r="G159" s="30" t="str">
        <f t="shared" si="31"/>
        <v/>
      </c>
      <c r="H159" s="46" t="str">
        <f t="shared" si="32"/>
        <v/>
      </c>
      <c r="I159" s="47"/>
      <c r="J159" s="45" t="str">
        <f t="shared" si="33"/>
        <v/>
      </c>
      <c r="K159" s="30" t="str">
        <f t="shared" si="34"/>
        <v/>
      </c>
      <c r="L159" s="30" t="str">
        <f t="shared" si="35"/>
        <v/>
      </c>
      <c r="M159" s="30" t="str">
        <f t="shared" si="36"/>
        <v/>
      </c>
      <c r="N159" s="30" t="str">
        <f t="shared" si="37"/>
        <v/>
      </c>
      <c r="O159" s="4"/>
      <c r="P159" s="48" t="str">
        <f>IF(I159="","",Amount*Mult*_xlfn.NORM.S.DIST(((LN(I159/K)+(r_dom-q+sigma^2/2)*U159))/(sigma*SQRT(U159)),1)*EXP(-q*U159))</f>
        <v/>
      </c>
      <c r="Q159" s="48" t="str">
        <f>IF(I159="","",SUM($D$37:D159))</f>
        <v/>
      </c>
      <c r="R159" s="48" t="str">
        <f t="shared" si="38"/>
        <v/>
      </c>
      <c r="U159" s="12">
        <f t="shared" si="39"/>
        <v>0</v>
      </c>
    </row>
    <row r="160" spans="1:21">
      <c r="A160" s="4"/>
      <c r="B160" s="13" t="str">
        <f t="shared" si="28"/>
        <v/>
      </c>
      <c r="C160" s="15" t="str">
        <f t="shared" si="26"/>
        <v/>
      </c>
      <c r="D160" s="49" t="str">
        <f t="shared" si="27"/>
        <v/>
      </c>
      <c r="E160" s="42" t="str">
        <f t="shared" si="29"/>
        <v/>
      </c>
      <c r="F160" s="42" t="str">
        <f t="shared" si="30"/>
        <v/>
      </c>
      <c r="G160" s="30" t="str">
        <f t="shared" si="31"/>
        <v/>
      </c>
      <c r="H160" s="46" t="str">
        <f t="shared" si="32"/>
        <v/>
      </c>
      <c r="I160" s="47"/>
      <c r="J160" s="45" t="str">
        <f t="shared" si="33"/>
        <v/>
      </c>
      <c r="K160" s="30" t="str">
        <f t="shared" si="34"/>
        <v/>
      </c>
      <c r="L160" s="30" t="str">
        <f t="shared" si="35"/>
        <v/>
      </c>
      <c r="M160" s="30" t="str">
        <f t="shared" si="36"/>
        <v/>
      </c>
      <c r="N160" s="30" t="str">
        <f t="shared" si="37"/>
        <v/>
      </c>
      <c r="O160" s="4"/>
      <c r="P160" s="48" t="str">
        <f>IF(I160="","",Amount*Mult*_xlfn.NORM.S.DIST(((LN(I160/K)+(r_dom-q+sigma^2/2)*U160))/(sigma*SQRT(U160)),1)*EXP(-q*U160))</f>
        <v/>
      </c>
      <c r="Q160" s="48" t="str">
        <f>IF(I160="","",SUM($D$37:D160))</f>
        <v/>
      </c>
      <c r="R160" s="48" t="str">
        <f t="shared" si="38"/>
        <v/>
      </c>
      <c r="U160" s="12">
        <f t="shared" si="39"/>
        <v>0</v>
      </c>
    </row>
    <row r="161" spans="1:21">
      <c r="A161" s="4"/>
      <c r="B161" s="13" t="str">
        <f t="shared" si="28"/>
        <v/>
      </c>
      <c r="C161" s="15" t="str">
        <f t="shared" si="26"/>
        <v/>
      </c>
      <c r="D161" s="49" t="str">
        <f t="shared" si="27"/>
        <v/>
      </c>
      <c r="E161" s="42" t="str">
        <f t="shared" si="29"/>
        <v/>
      </c>
      <c r="F161" s="42" t="str">
        <f t="shared" si="30"/>
        <v/>
      </c>
      <c r="G161" s="30" t="str">
        <f t="shared" si="31"/>
        <v/>
      </c>
      <c r="H161" s="46" t="str">
        <f t="shared" si="32"/>
        <v/>
      </c>
      <c r="I161" s="47"/>
      <c r="J161" s="45" t="str">
        <f t="shared" si="33"/>
        <v/>
      </c>
      <c r="K161" s="30" t="str">
        <f t="shared" si="34"/>
        <v/>
      </c>
      <c r="L161" s="30" t="str">
        <f t="shared" si="35"/>
        <v/>
      </c>
      <c r="M161" s="30" t="str">
        <f t="shared" si="36"/>
        <v/>
      </c>
      <c r="N161" s="30" t="str">
        <f t="shared" si="37"/>
        <v/>
      </c>
      <c r="O161" s="4"/>
      <c r="P161" s="48" t="str">
        <f>IF(I161="","",Amount*Mult*_xlfn.NORM.S.DIST(((LN(I161/K)+(r_dom-q+sigma^2/2)*U161))/(sigma*SQRT(U161)),1)*EXP(-q*U161))</f>
        <v/>
      </c>
      <c r="Q161" s="48" t="str">
        <f>IF(I161="","",SUM($D$37:D161))</f>
        <v/>
      </c>
      <c r="R161" s="48" t="str">
        <f t="shared" si="38"/>
        <v/>
      </c>
      <c r="U161" s="12">
        <f t="shared" si="39"/>
        <v>0</v>
      </c>
    </row>
    <row r="162" spans="1:21">
      <c r="A162" s="4"/>
      <c r="B162" s="13" t="str">
        <f t="shared" si="28"/>
        <v/>
      </c>
      <c r="C162" s="15" t="str">
        <f t="shared" si="26"/>
        <v/>
      </c>
      <c r="D162" s="49" t="str">
        <f t="shared" si="27"/>
        <v/>
      </c>
      <c r="E162" s="42" t="str">
        <f t="shared" si="29"/>
        <v/>
      </c>
      <c r="F162" s="42" t="str">
        <f t="shared" si="30"/>
        <v/>
      </c>
      <c r="G162" s="30" t="str">
        <f t="shared" si="31"/>
        <v/>
      </c>
      <c r="H162" s="46" t="str">
        <f t="shared" si="32"/>
        <v/>
      </c>
      <c r="I162" s="47"/>
      <c r="J162" s="45" t="str">
        <f t="shared" si="33"/>
        <v/>
      </c>
      <c r="K162" s="30" t="str">
        <f t="shared" si="34"/>
        <v/>
      </c>
      <c r="L162" s="30" t="str">
        <f t="shared" si="35"/>
        <v/>
      </c>
      <c r="M162" s="30" t="str">
        <f t="shared" si="36"/>
        <v/>
      </c>
      <c r="N162" s="30" t="str">
        <f t="shared" si="37"/>
        <v/>
      </c>
      <c r="O162" s="4"/>
      <c r="P162" s="48" t="str">
        <f>IF(I162="","",Amount*Mult*_xlfn.NORM.S.DIST(((LN(I162/K)+(r_dom-q+sigma^2/2)*U162))/(sigma*SQRT(U162)),1)*EXP(-q*U162))</f>
        <v/>
      </c>
      <c r="Q162" s="48" t="str">
        <f>IF(I162="","",SUM($D$37:D162))</f>
        <v/>
      </c>
      <c r="R162" s="48" t="str">
        <f t="shared" si="38"/>
        <v/>
      </c>
      <c r="U162" s="12">
        <f t="shared" si="39"/>
        <v>0</v>
      </c>
    </row>
    <row r="163" spans="1:21">
      <c r="A163" s="4"/>
      <c r="B163" s="13" t="str">
        <f t="shared" si="28"/>
        <v/>
      </c>
      <c r="C163" s="15" t="str">
        <f t="shared" si="26"/>
        <v/>
      </c>
      <c r="D163" s="49" t="str">
        <f t="shared" si="27"/>
        <v/>
      </c>
      <c r="E163" s="42" t="str">
        <f t="shared" si="29"/>
        <v/>
      </c>
      <c r="F163" s="42" t="str">
        <f t="shared" si="30"/>
        <v/>
      </c>
      <c r="G163" s="30" t="str">
        <f t="shared" si="31"/>
        <v/>
      </c>
      <c r="H163" s="46" t="str">
        <f t="shared" si="32"/>
        <v/>
      </c>
      <c r="I163" s="47"/>
      <c r="J163" s="45" t="str">
        <f t="shared" si="33"/>
        <v/>
      </c>
      <c r="K163" s="30" t="str">
        <f t="shared" si="34"/>
        <v/>
      </c>
      <c r="L163" s="30" t="str">
        <f t="shared" si="35"/>
        <v/>
      </c>
      <c r="M163" s="30" t="str">
        <f t="shared" si="36"/>
        <v/>
      </c>
      <c r="N163" s="30" t="str">
        <f t="shared" si="37"/>
        <v/>
      </c>
      <c r="O163" s="4"/>
      <c r="P163" s="48" t="str">
        <f>IF(I163="","",Amount*Mult*_xlfn.NORM.S.DIST(((LN(I163/K)+(r_dom-q+sigma^2/2)*U163))/(sigma*SQRT(U163)),1)*EXP(-q*U163))</f>
        <v/>
      </c>
      <c r="Q163" s="48" t="str">
        <f>IF(I163="","",SUM($D$37:D163))</f>
        <v/>
      </c>
      <c r="R163" s="48" t="str">
        <f t="shared" si="38"/>
        <v/>
      </c>
      <c r="U163" s="12">
        <f t="shared" si="39"/>
        <v>0</v>
      </c>
    </row>
    <row r="164" spans="1:21">
      <c r="A164" s="4"/>
      <c r="B164" s="13" t="str">
        <f t="shared" si="28"/>
        <v/>
      </c>
      <c r="C164" s="15" t="str">
        <f t="shared" si="26"/>
        <v/>
      </c>
      <c r="D164" s="49" t="str">
        <f t="shared" si="27"/>
        <v/>
      </c>
      <c r="E164" s="42" t="str">
        <f t="shared" si="29"/>
        <v/>
      </c>
      <c r="F164" s="42" t="str">
        <f t="shared" si="30"/>
        <v/>
      </c>
      <c r="G164" s="30" t="str">
        <f t="shared" si="31"/>
        <v/>
      </c>
      <c r="H164" s="46" t="str">
        <f t="shared" si="32"/>
        <v/>
      </c>
      <c r="I164" s="47"/>
      <c r="J164" s="45" t="str">
        <f t="shared" si="33"/>
        <v/>
      </c>
      <c r="K164" s="30" t="str">
        <f t="shared" si="34"/>
        <v/>
      </c>
      <c r="L164" s="30" t="str">
        <f t="shared" si="35"/>
        <v/>
      </c>
      <c r="M164" s="30" t="str">
        <f t="shared" si="36"/>
        <v/>
      </c>
      <c r="N164" s="30" t="str">
        <f t="shared" si="37"/>
        <v/>
      </c>
      <c r="O164" s="4"/>
      <c r="P164" s="48" t="str">
        <f>IF(I164="","",Amount*Mult*_xlfn.NORM.S.DIST(((LN(I164/K)+(r_dom-q+sigma^2/2)*U164))/(sigma*SQRT(U164)),1)*EXP(-q*U164))</f>
        <v/>
      </c>
      <c r="Q164" s="48" t="str">
        <f>IF(I164="","",SUM($D$37:D164))</f>
        <v/>
      </c>
      <c r="R164" s="48" t="str">
        <f t="shared" si="38"/>
        <v/>
      </c>
      <c r="U164" s="12">
        <f t="shared" si="39"/>
        <v>0</v>
      </c>
    </row>
    <row r="165" spans="1:21">
      <c r="A165" s="4"/>
      <c r="B165" s="13" t="str">
        <f t="shared" si="28"/>
        <v/>
      </c>
      <c r="C165" s="15" t="str">
        <f t="shared" si="26"/>
        <v/>
      </c>
      <c r="D165" s="49" t="str">
        <f t="shared" si="27"/>
        <v/>
      </c>
      <c r="E165" s="42" t="str">
        <f t="shared" si="29"/>
        <v/>
      </c>
      <c r="F165" s="42" t="str">
        <f t="shared" si="30"/>
        <v/>
      </c>
      <c r="G165" s="30" t="str">
        <f t="shared" si="31"/>
        <v/>
      </c>
      <c r="H165" s="46" t="str">
        <f t="shared" si="32"/>
        <v/>
      </c>
      <c r="I165" s="47"/>
      <c r="J165" s="45" t="str">
        <f t="shared" si="33"/>
        <v/>
      </c>
      <c r="K165" s="30" t="str">
        <f t="shared" si="34"/>
        <v/>
      </c>
      <c r="L165" s="30" t="str">
        <f t="shared" si="35"/>
        <v/>
      </c>
      <c r="M165" s="30" t="str">
        <f t="shared" si="36"/>
        <v/>
      </c>
      <c r="N165" s="30" t="str">
        <f t="shared" si="37"/>
        <v/>
      </c>
      <c r="O165" s="4"/>
      <c r="P165" s="48" t="str">
        <f>IF(I165="","",Amount*Mult*_xlfn.NORM.S.DIST(((LN(I165/K)+(r_dom-q+sigma^2/2)*U165))/(sigma*SQRT(U165)),1)*EXP(-q*U165))</f>
        <v/>
      </c>
      <c r="Q165" s="48" t="str">
        <f>IF(I165="","",SUM($D$37:D165))</f>
        <v/>
      </c>
      <c r="R165" s="48" t="str">
        <f t="shared" si="38"/>
        <v/>
      </c>
      <c r="U165" s="12">
        <f t="shared" si="39"/>
        <v>0</v>
      </c>
    </row>
    <row r="166" spans="1:21">
      <c r="A166" s="4"/>
      <c r="B166" s="13" t="str">
        <f t="shared" si="28"/>
        <v/>
      </c>
      <c r="C166" s="15" t="str">
        <f t="shared" ref="C166:C208" si="40">IF($B166="Delta",$B$1&amp;" US Equity", "")</f>
        <v/>
      </c>
      <c r="D166" s="49" t="str">
        <f t="shared" si="27"/>
        <v/>
      </c>
      <c r="E166" s="42" t="str">
        <f t="shared" si="29"/>
        <v/>
      </c>
      <c r="F166" s="42" t="str">
        <f t="shared" si="30"/>
        <v/>
      </c>
      <c r="G166" s="30" t="str">
        <f t="shared" si="31"/>
        <v/>
      </c>
      <c r="H166" s="46" t="str">
        <f t="shared" si="32"/>
        <v/>
      </c>
      <c r="I166" s="47"/>
      <c r="J166" s="45" t="str">
        <f t="shared" si="33"/>
        <v/>
      </c>
      <c r="K166" s="30" t="str">
        <f t="shared" si="34"/>
        <v/>
      </c>
      <c r="L166" s="30" t="str">
        <f t="shared" si="35"/>
        <v/>
      </c>
      <c r="M166" s="30" t="str">
        <f t="shared" si="36"/>
        <v/>
      </c>
      <c r="N166" s="30" t="str">
        <f t="shared" si="37"/>
        <v/>
      </c>
      <c r="O166" s="4"/>
      <c r="P166" s="48" t="str">
        <f>IF(I166="","",Amount*Mult*_xlfn.NORM.S.DIST(((LN(I166/K)+(r_dom-q+sigma^2/2)*U166))/(sigma*SQRT(U166)),1)*EXP(-q*U166))</f>
        <v/>
      </c>
      <c r="Q166" s="48" t="str">
        <f>IF(I166="","",SUM($D$37:D166))</f>
        <v/>
      </c>
      <c r="R166" s="48" t="str">
        <f t="shared" si="38"/>
        <v/>
      </c>
      <c r="U166" s="12">
        <f t="shared" si="39"/>
        <v>0</v>
      </c>
    </row>
    <row r="167" spans="1:21">
      <c r="A167" s="4"/>
      <c r="B167" s="13" t="str">
        <f t="shared" si="28"/>
        <v/>
      </c>
      <c r="C167" s="15" t="str">
        <f t="shared" si="40"/>
        <v/>
      </c>
      <c r="D167" s="49" t="str">
        <f t="shared" ref="D167:D200" si="41">IF(I167="","",-(P167+Q166))</f>
        <v/>
      </c>
      <c r="E167" s="42" t="str">
        <f t="shared" si="29"/>
        <v/>
      </c>
      <c r="F167" s="42" t="str">
        <f t="shared" si="30"/>
        <v/>
      </c>
      <c r="G167" s="30" t="str">
        <f t="shared" si="31"/>
        <v/>
      </c>
      <c r="H167" s="46" t="str">
        <f t="shared" si="32"/>
        <v/>
      </c>
      <c r="I167" s="47"/>
      <c r="J167" s="45" t="str">
        <f t="shared" si="33"/>
        <v/>
      </c>
      <c r="K167" s="30" t="str">
        <f t="shared" si="34"/>
        <v/>
      </c>
      <c r="L167" s="30" t="str">
        <f t="shared" si="35"/>
        <v/>
      </c>
      <c r="M167" s="30" t="str">
        <f t="shared" si="36"/>
        <v/>
      </c>
      <c r="N167" s="30" t="str">
        <f t="shared" si="37"/>
        <v/>
      </c>
      <c r="O167" s="4"/>
      <c r="P167" s="48" t="str">
        <f>IF(I167="","",Amount*Mult*_xlfn.NORM.S.DIST(((LN(I167/K)+(r_dom-q+sigma^2/2)*U167))/(sigma*SQRT(U167)),1)*EXP(-q*U167))</f>
        <v/>
      </c>
      <c r="Q167" s="48" t="str">
        <f>IF(I167="","",SUM($D$37:D167))</f>
        <v/>
      </c>
      <c r="R167" s="48" t="str">
        <f t="shared" si="38"/>
        <v/>
      </c>
      <c r="U167" s="12">
        <f t="shared" si="39"/>
        <v>0</v>
      </c>
    </row>
    <row r="168" spans="1:21">
      <c r="A168" s="4"/>
      <c r="B168" s="13" t="str">
        <f t="shared" si="28"/>
        <v/>
      </c>
      <c r="C168" s="15" t="str">
        <f t="shared" si="40"/>
        <v/>
      </c>
      <c r="D168" s="49" t="str">
        <f t="shared" si="41"/>
        <v/>
      </c>
      <c r="E168" s="42" t="str">
        <f t="shared" si="29"/>
        <v/>
      </c>
      <c r="F168" s="42" t="str">
        <f t="shared" si="30"/>
        <v/>
      </c>
      <c r="G168" s="30" t="str">
        <f t="shared" si="31"/>
        <v/>
      </c>
      <c r="H168" s="46" t="str">
        <f t="shared" si="32"/>
        <v/>
      </c>
      <c r="I168" s="47"/>
      <c r="J168" s="45" t="str">
        <f t="shared" si="33"/>
        <v/>
      </c>
      <c r="K168" s="30" t="str">
        <f t="shared" si="34"/>
        <v/>
      </c>
      <c r="L168" s="30" t="str">
        <f t="shared" si="35"/>
        <v/>
      </c>
      <c r="M168" s="30" t="str">
        <f t="shared" si="36"/>
        <v/>
      </c>
      <c r="N168" s="30" t="str">
        <f t="shared" si="37"/>
        <v/>
      </c>
      <c r="O168" s="4"/>
      <c r="P168" s="48" t="str">
        <f>IF(I168="","",Amount*Mult*_xlfn.NORM.S.DIST(((LN(I168/K)+(r_dom-q+sigma^2/2)*U168))/(sigma*SQRT(U168)),1)*EXP(-q*U168))</f>
        <v/>
      </c>
      <c r="Q168" s="48" t="str">
        <f>IF(I168="","",SUM($D$37:D168))</f>
        <v/>
      </c>
      <c r="R168" s="48" t="str">
        <f t="shared" si="38"/>
        <v/>
      </c>
      <c r="U168" s="12">
        <f t="shared" si="39"/>
        <v>0</v>
      </c>
    </row>
    <row r="169" spans="1:21">
      <c r="A169" s="4"/>
      <c r="B169" s="13" t="str">
        <f t="shared" si="28"/>
        <v/>
      </c>
      <c r="C169" s="15" t="str">
        <f t="shared" si="40"/>
        <v/>
      </c>
      <c r="D169" s="49" t="str">
        <f t="shared" si="41"/>
        <v/>
      </c>
      <c r="E169" s="42" t="str">
        <f t="shared" si="29"/>
        <v/>
      </c>
      <c r="F169" s="42" t="str">
        <f t="shared" si="30"/>
        <v/>
      </c>
      <c r="G169" s="30" t="str">
        <f t="shared" si="31"/>
        <v/>
      </c>
      <c r="H169" s="46" t="str">
        <f t="shared" si="32"/>
        <v/>
      </c>
      <c r="I169" s="47"/>
      <c r="J169" s="45" t="str">
        <f t="shared" si="33"/>
        <v/>
      </c>
      <c r="K169" s="30" t="str">
        <f t="shared" si="34"/>
        <v/>
      </c>
      <c r="L169" s="30" t="str">
        <f t="shared" si="35"/>
        <v/>
      </c>
      <c r="M169" s="30" t="str">
        <f t="shared" si="36"/>
        <v/>
      </c>
      <c r="N169" s="30" t="str">
        <f t="shared" si="37"/>
        <v/>
      </c>
      <c r="O169" s="4"/>
      <c r="P169" s="48" t="str">
        <f>IF(I169="","",Amount*Mult*_xlfn.NORM.S.DIST(((LN(I169/K)+(r_dom-q+sigma^2/2)*U169))/(sigma*SQRT(U169)),1)*EXP(-q*U169))</f>
        <v/>
      </c>
      <c r="Q169" s="48" t="str">
        <f>IF(I169="","",SUM($D$37:D169))</f>
        <v/>
      </c>
      <c r="R169" s="48" t="str">
        <f t="shared" si="38"/>
        <v/>
      </c>
      <c r="U169" s="12">
        <f t="shared" si="39"/>
        <v>0</v>
      </c>
    </row>
    <row r="170" spans="1:21">
      <c r="A170" s="4"/>
      <c r="B170" s="13" t="str">
        <f t="shared" si="28"/>
        <v/>
      </c>
      <c r="C170" s="15" t="str">
        <f t="shared" si="40"/>
        <v/>
      </c>
      <c r="D170" s="49" t="str">
        <f t="shared" si="41"/>
        <v/>
      </c>
      <c r="E170" s="42" t="str">
        <f t="shared" si="29"/>
        <v/>
      </c>
      <c r="F170" s="42" t="str">
        <f t="shared" si="30"/>
        <v/>
      </c>
      <c r="G170" s="30" t="str">
        <f t="shared" si="31"/>
        <v/>
      </c>
      <c r="H170" s="46" t="str">
        <f t="shared" si="32"/>
        <v/>
      </c>
      <c r="I170" s="47"/>
      <c r="J170" s="45" t="str">
        <f t="shared" si="33"/>
        <v/>
      </c>
      <c r="K170" s="30" t="str">
        <f t="shared" si="34"/>
        <v/>
      </c>
      <c r="L170" s="30" t="str">
        <f t="shared" si="35"/>
        <v/>
      </c>
      <c r="M170" s="30" t="str">
        <f t="shared" si="36"/>
        <v/>
      </c>
      <c r="N170" s="30" t="str">
        <f t="shared" si="37"/>
        <v/>
      </c>
      <c r="O170" s="4"/>
      <c r="P170" s="48" t="str">
        <f>IF(I170="","",Amount*Mult*_xlfn.NORM.S.DIST(((LN(I170/K)+(r_dom-q+sigma^2/2)*U170))/(sigma*SQRT(U170)),1)*EXP(-q*U170))</f>
        <v/>
      </c>
      <c r="Q170" s="48" t="str">
        <f>IF(I170="","",SUM($D$37:D170))</f>
        <v/>
      </c>
      <c r="R170" s="48" t="str">
        <f t="shared" si="38"/>
        <v/>
      </c>
      <c r="U170" s="12">
        <f t="shared" si="39"/>
        <v>0</v>
      </c>
    </row>
    <row r="171" spans="1:21">
      <c r="A171" s="4"/>
      <c r="B171" s="13" t="str">
        <f t="shared" si="28"/>
        <v/>
      </c>
      <c r="C171" s="15" t="str">
        <f t="shared" si="40"/>
        <v/>
      </c>
      <c r="D171" s="49" t="str">
        <f t="shared" si="41"/>
        <v/>
      </c>
      <c r="E171" s="42" t="str">
        <f t="shared" si="29"/>
        <v/>
      </c>
      <c r="F171" s="42" t="str">
        <f t="shared" si="30"/>
        <v/>
      </c>
      <c r="G171" s="30" t="str">
        <f t="shared" si="31"/>
        <v/>
      </c>
      <c r="H171" s="46" t="str">
        <f t="shared" si="32"/>
        <v/>
      </c>
      <c r="I171" s="47"/>
      <c r="J171" s="45" t="str">
        <f t="shared" si="33"/>
        <v/>
      </c>
      <c r="K171" s="30" t="str">
        <f t="shared" si="34"/>
        <v/>
      </c>
      <c r="L171" s="30" t="str">
        <f t="shared" si="35"/>
        <v/>
      </c>
      <c r="M171" s="30" t="str">
        <f t="shared" si="36"/>
        <v/>
      </c>
      <c r="N171" s="30" t="str">
        <f t="shared" si="37"/>
        <v/>
      </c>
      <c r="O171" s="4"/>
      <c r="P171" s="48" t="str">
        <f>IF(I171="","",Amount*Mult*_xlfn.NORM.S.DIST(((LN(I171/K)+(r_dom-q+sigma^2/2)*U171))/(sigma*SQRT(U171)),1)*EXP(-q*U171))</f>
        <v/>
      </c>
      <c r="Q171" s="48" t="str">
        <f>IF(I171="","",SUM($D$37:D171))</f>
        <v/>
      </c>
      <c r="R171" s="48" t="str">
        <f t="shared" si="38"/>
        <v/>
      </c>
      <c r="U171" s="12">
        <f t="shared" si="39"/>
        <v>0</v>
      </c>
    </row>
    <row r="172" spans="1:21">
      <c r="A172" s="4"/>
      <c r="B172" s="13" t="str">
        <f t="shared" si="28"/>
        <v/>
      </c>
      <c r="C172" s="15" t="str">
        <f t="shared" si="40"/>
        <v/>
      </c>
      <c r="D172" s="49" t="str">
        <f t="shared" si="41"/>
        <v/>
      </c>
      <c r="E172" s="42" t="str">
        <f t="shared" si="29"/>
        <v/>
      </c>
      <c r="F172" s="42" t="str">
        <f t="shared" si="30"/>
        <v/>
      </c>
      <c r="G172" s="30" t="str">
        <f t="shared" si="31"/>
        <v/>
      </c>
      <c r="H172" s="46" t="str">
        <f t="shared" si="32"/>
        <v/>
      </c>
      <c r="I172" s="47"/>
      <c r="J172" s="45" t="str">
        <f t="shared" si="33"/>
        <v/>
      </c>
      <c r="K172" s="30" t="str">
        <f t="shared" si="34"/>
        <v/>
      </c>
      <c r="L172" s="30" t="str">
        <f t="shared" si="35"/>
        <v/>
      </c>
      <c r="M172" s="30" t="str">
        <f t="shared" si="36"/>
        <v/>
      </c>
      <c r="N172" s="30" t="str">
        <f t="shared" si="37"/>
        <v/>
      </c>
      <c r="O172" s="4"/>
      <c r="P172" s="48" t="str">
        <f>IF(I172="","",Amount*Mult*_xlfn.NORM.S.DIST(((LN(I172/K)+(r_dom-q+sigma^2/2)*U172))/(sigma*SQRT(U172)),1)*EXP(-q*U172))</f>
        <v/>
      </c>
      <c r="Q172" s="48" t="str">
        <f>IF(I172="","",SUM($D$37:D172))</f>
        <v/>
      </c>
      <c r="R172" s="48" t="str">
        <f t="shared" si="38"/>
        <v/>
      </c>
      <c r="U172" s="12">
        <f t="shared" si="39"/>
        <v>0</v>
      </c>
    </row>
    <row r="173" spans="1:21">
      <c r="A173" s="4"/>
      <c r="B173" s="13" t="str">
        <f t="shared" si="28"/>
        <v/>
      </c>
      <c r="C173" s="15" t="str">
        <f t="shared" si="40"/>
        <v/>
      </c>
      <c r="D173" s="49" t="str">
        <f t="shared" si="41"/>
        <v/>
      </c>
      <c r="E173" s="42" t="str">
        <f t="shared" si="29"/>
        <v/>
      </c>
      <c r="F173" s="42" t="str">
        <f t="shared" si="30"/>
        <v/>
      </c>
      <c r="G173" s="30" t="str">
        <f t="shared" si="31"/>
        <v/>
      </c>
      <c r="H173" s="46" t="str">
        <f t="shared" si="32"/>
        <v/>
      </c>
      <c r="I173" s="47"/>
      <c r="J173" s="45" t="str">
        <f t="shared" si="33"/>
        <v/>
      </c>
      <c r="K173" s="30" t="str">
        <f t="shared" si="34"/>
        <v/>
      </c>
      <c r="L173" s="30" t="str">
        <f t="shared" si="35"/>
        <v/>
      </c>
      <c r="M173" s="30" t="str">
        <f t="shared" si="36"/>
        <v/>
      </c>
      <c r="N173" s="30" t="str">
        <f t="shared" si="37"/>
        <v/>
      </c>
      <c r="O173" s="4"/>
      <c r="P173" s="48" t="str">
        <f>IF(I173="","",Amount*Mult*_xlfn.NORM.S.DIST(((LN(I173/K)+(r_dom-q+sigma^2/2)*U173))/(sigma*SQRT(U173)),1)*EXP(-q*U173))</f>
        <v/>
      </c>
      <c r="Q173" s="48" t="str">
        <f>IF(I173="","",SUM($D$37:D173))</f>
        <v/>
      </c>
      <c r="R173" s="48" t="str">
        <f t="shared" si="38"/>
        <v/>
      </c>
      <c r="U173" s="12">
        <f t="shared" si="39"/>
        <v>0</v>
      </c>
    </row>
    <row r="174" spans="1:21">
      <c r="A174" s="4"/>
      <c r="B174" s="13" t="str">
        <f t="shared" si="28"/>
        <v/>
      </c>
      <c r="C174" s="15" t="str">
        <f t="shared" si="40"/>
        <v/>
      </c>
      <c r="D174" s="49" t="str">
        <f t="shared" si="41"/>
        <v/>
      </c>
      <c r="E174" s="42" t="str">
        <f t="shared" si="29"/>
        <v/>
      </c>
      <c r="F174" s="42" t="str">
        <f t="shared" si="30"/>
        <v/>
      </c>
      <c r="G174" s="30" t="str">
        <f t="shared" si="31"/>
        <v/>
      </c>
      <c r="H174" s="46" t="str">
        <f t="shared" si="32"/>
        <v/>
      </c>
      <c r="I174" s="47"/>
      <c r="J174" s="45" t="str">
        <f t="shared" si="33"/>
        <v/>
      </c>
      <c r="K174" s="30" t="str">
        <f t="shared" si="34"/>
        <v/>
      </c>
      <c r="L174" s="30" t="str">
        <f t="shared" si="35"/>
        <v/>
      </c>
      <c r="M174" s="30" t="str">
        <f t="shared" si="36"/>
        <v/>
      </c>
      <c r="N174" s="30" t="str">
        <f t="shared" si="37"/>
        <v/>
      </c>
      <c r="O174" s="4"/>
      <c r="P174" s="48" t="str">
        <f>IF(I174="","",Amount*Mult*_xlfn.NORM.S.DIST(((LN(I174/K)+(r_dom-q+sigma^2/2)*U174))/(sigma*SQRT(U174)),1)*EXP(-q*U174))</f>
        <v/>
      </c>
      <c r="Q174" s="48" t="str">
        <f>IF(I174="","",SUM($D$37:D174))</f>
        <v/>
      </c>
      <c r="R174" s="48" t="str">
        <f t="shared" si="38"/>
        <v/>
      </c>
      <c r="U174" s="12">
        <f t="shared" si="39"/>
        <v>0</v>
      </c>
    </row>
    <row r="175" spans="1:21">
      <c r="A175" s="4"/>
      <c r="B175" s="13" t="str">
        <f t="shared" si="28"/>
        <v/>
      </c>
      <c r="C175" s="15" t="str">
        <f t="shared" si="40"/>
        <v/>
      </c>
      <c r="D175" s="49" t="str">
        <f t="shared" si="41"/>
        <v/>
      </c>
      <c r="E175" s="42" t="str">
        <f t="shared" si="29"/>
        <v/>
      </c>
      <c r="F175" s="42" t="str">
        <f t="shared" si="30"/>
        <v/>
      </c>
      <c r="G175" s="30" t="str">
        <f t="shared" si="31"/>
        <v/>
      </c>
      <c r="H175" s="46" t="str">
        <f t="shared" si="32"/>
        <v/>
      </c>
      <c r="I175" s="47"/>
      <c r="J175" s="45" t="str">
        <f t="shared" si="33"/>
        <v/>
      </c>
      <c r="K175" s="30" t="str">
        <f t="shared" si="34"/>
        <v/>
      </c>
      <c r="L175" s="30" t="str">
        <f t="shared" si="35"/>
        <v/>
      </c>
      <c r="M175" s="30" t="str">
        <f t="shared" si="36"/>
        <v/>
      </c>
      <c r="N175" s="30" t="str">
        <f t="shared" si="37"/>
        <v/>
      </c>
      <c r="O175" s="4"/>
      <c r="P175" s="48" t="str">
        <f>IF(I175="","",Amount*Mult*_xlfn.NORM.S.DIST(((LN(I175/K)+(r_dom-q+sigma^2/2)*U175))/(sigma*SQRT(U175)),1)*EXP(-q*U175))</f>
        <v/>
      </c>
      <c r="Q175" s="48" t="str">
        <f>IF(I175="","",SUM($D$37:D175))</f>
        <v/>
      </c>
      <c r="R175" s="48" t="str">
        <f t="shared" si="38"/>
        <v/>
      </c>
      <c r="U175" s="12">
        <f t="shared" si="39"/>
        <v>0</v>
      </c>
    </row>
    <row r="176" spans="1:21">
      <c r="A176" s="4"/>
      <c r="B176" s="13" t="str">
        <f t="shared" si="28"/>
        <v/>
      </c>
      <c r="C176" s="15" t="str">
        <f t="shared" si="40"/>
        <v/>
      </c>
      <c r="D176" s="49" t="str">
        <f t="shared" si="41"/>
        <v/>
      </c>
      <c r="E176" s="42" t="str">
        <f t="shared" si="29"/>
        <v/>
      </c>
      <c r="F176" s="42" t="str">
        <f t="shared" si="30"/>
        <v/>
      </c>
      <c r="G176" s="30" t="str">
        <f t="shared" si="31"/>
        <v/>
      </c>
      <c r="H176" s="46" t="str">
        <f t="shared" si="32"/>
        <v/>
      </c>
      <c r="I176" s="47"/>
      <c r="J176" s="45" t="str">
        <f t="shared" si="33"/>
        <v/>
      </c>
      <c r="K176" s="30" t="str">
        <f t="shared" si="34"/>
        <v/>
      </c>
      <c r="L176" s="30" t="str">
        <f t="shared" si="35"/>
        <v/>
      </c>
      <c r="M176" s="30" t="str">
        <f t="shared" si="36"/>
        <v/>
      </c>
      <c r="N176" s="30" t="str">
        <f t="shared" si="37"/>
        <v/>
      </c>
      <c r="O176" s="4"/>
      <c r="P176" s="48" t="str">
        <f>IF(I176="","",Amount*Mult*_xlfn.NORM.S.DIST(((LN(I176/K)+(r_dom-q+sigma^2/2)*U176))/(sigma*SQRT(U176)),1)*EXP(-q*U176))</f>
        <v/>
      </c>
      <c r="Q176" s="48" t="str">
        <f>IF(I176="","",SUM($D$37:D176))</f>
        <v/>
      </c>
      <c r="R176" s="48" t="str">
        <f t="shared" si="38"/>
        <v/>
      </c>
      <c r="U176" s="12">
        <f t="shared" si="39"/>
        <v>0</v>
      </c>
    </row>
    <row r="177" spans="1:21">
      <c r="A177" s="4"/>
      <c r="B177" s="13" t="str">
        <f t="shared" si="28"/>
        <v/>
      </c>
      <c r="C177" s="15" t="str">
        <f t="shared" si="40"/>
        <v/>
      </c>
      <c r="D177" s="49" t="str">
        <f t="shared" si="41"/>
        <v/>
      </c>
      <c r="E177" s="42" t="str">
        <f t="shared" si="29"/>
        <v/>
      </c>
      <c r="F177" s="42" t="str">
        <f t="shared" si="30"/>
        <v/>
      </c>
      <c r="G177" s="30" t="str">
        <f t="shared" si="31"/>
        <v/>
      </c>
      <c r="H177" s="46" t="str">
        <f t="shared" si="32"/>
        <v/>
      </c>
      <c r="I177" s="47"/>
      <c r="J177" s="45" t="str">
        <f t="shared" si="33"/>
        <v/>
      </c>
      <c r="K177" s="30" t="str">
        <f t="shared" si="34"/>
        <v/>
      </c>
      <c r="L177" s="30" t="str">
        <f t="shared" si="35"/>
        <v/>
      </c>
      <c r="M177" s="30" t="str">
        <f t="shared" si="36"/>
        <v/>
      </c>
      <c r="N177" s="30" t="str">
        <f t="shared" si="37"/>
        <v/>
      </c>
      <c r="O177" s="4"/>
      <c r="P177" s="48" t="str">
        <f>IF(I177="","",Amount*Mult*_xlfn.NORM.S.DIST(((LN(I177/K)+(r_dom-q+sigma^2/2)*U177))/(sigma*SQRT(U177)),1)*EXP(-q*U177))</f>
        <v/>
      </c>
      <c r="Q177" s="48" t="str">
        <f>IF(I177="","",SUM($D$37:D177))</f>
        <v/>
      </c>
      <c r="R177" s="48" t="str">
        <f t="shared" si="38"/>
        <v/>
      </c>
      <c r="U177" s="12">
        <f t="shared" si="39"/>
        <v>0</v>
      </c>
    </row>
    <row r="178" spans="1:21">
      <c r="A178" s="4"/>
      <c r="B178" s="13" t="str">
        <f t="shared" si="28"/>
        <v/>
      </c>
      <c r="C178" s="15" t="str">
        <f t="shared" si="40"/>
        <v/>
      </c>
      <c r="D178" s="49" t="str">
        <f t="shared" si="41"/>
        <v/>
      </c>
      <c r="E178" s="42" t="str">
        <f t="shared" si="29"/>
        <v/>
      </c>
      <c r="F178" s="42" t="str">
        <f t="shared" si="30"/>
        <v/>
      </c>
      <c r="G178" s="30" t="str">
        <f t="shared" si="31"/>
        <v/>
      </c>
      <c r="H178" s="46" t="str">
        <f t="shared" si="32"/>
        <v/>
      </c>
      <c r="I178" s="47"/>
      <c r="J178" s="45" t="str">
        <f t="shared" si="33"/>
        <v/>
      </c>
      <c r="K178" s="30" t="str">
        <f t="shared" si="34"/>
        <v/>
      </c>
      <c r="L178" s="30" t="str">
        <f t="shared" si="35"/>
        <v/>
      </c>
      <c r="M178" s="30" t="str">
        <f t="shared" si="36"/>
        <v/>
      </c>
      <c r="N178" s="30" t="str">
        <f t="shared" si="37"/>
        <v/>
      </c>
      <c r="O178" s="4"/>
      <c r="P178" s="48" t="str">
        <f>IF(I178="","",Amount*Mult*_xlfn.NORM.S.DIST(((LN(I178/K)+(r_dom-q+sigma^2/2)*U178))/(sigma*SQRT(U178)),1)*EXP(-q*U178))</f>
        <v/>
      </c>
      <c r="Q178" s="48" t="str">
        <f>IF(I178="","",SUM($D$37:D178))</f>
        <v/>
      </c>
      <c r="R178" s="48" t="str">
        <f t="shared" si="38"/>
        <v/>
      </c>
      <c r="U178" s="12">
        <f t="shared" si="39"/>
        <v>0</v>
      </c>
    </row>
    <row r="179" spans="1:21">
      <c r="A179" s="4"/>
      <c r="B179" s="13" t="str">
        <f t="shared" ref="B179:B208" si="42">IF(D179="","","Delta")</f>
        <v/>
      </c>
      <c r="C179" s="15" t="str">
        <f t="shared" si="40"/>
        <v/>
      </c>
      <c r="D179" s="49" t="str">
        <f t="shared" si="41"/>
        <v/>
      </c>
      <c r="E179" s="42" t="str">
        <f t="shared" ref="E179:E200" si="43">IF(B179="Delta", 1, IF(B179="Option", 100, ""))</f>
        <v/>
      </c>
      <c r="F179" s="42" t="str">
        <f t="shared" ref="F179:F200" si="44">IF(D179="","","USD")</f>
        <v/>
      </c>
      <c r="G179" s="30" t="str">
        <f t="shared" ref="G179:G200" si="45">IF(D179="","",D179*E179*H179)</f>
        <v/>
      </c>
      <c r="H179" s="46" t="str">
        <f t="shared" ref="H179:H200" si="46">IF(B179="Option",IF(B146="C",PVCall,PVPut),IF(B179="Delta",S_0,""))</f>
        <v/>
      </c>
      <c r="I179" s="47"/>
      <c r="J179" s="45" t="str">
        <f t="shared" ref="J179:J200" si="47">IF(D179="","",(H179-I179)*E179*D179)</f>
        <v/>
      </c>
      <c r="K179" s="30" t="str">
        <f t="shared" ref="K179:K200" si="48">IF(B179="Option",IF($B$3="C",D179*E179*S_0*deltaCall,D179*E179*S_0*deltaPut),IF(B179="Delta",D179*E179*S_0,""))</f>
        <v/>
      </c>
      <c r="L179" s="30" t="str">
        <f t="shared" ref="L179:L200" si="49">IF(B179="Option",IF($B$3="C",D179*E179*VegaCall,D179*E179*VegaPut),IF(B179="Delta",0,""))</f>
        <v/>
      </c>
      <c r="M179" s="30" t="str">
        <f t="shared" ref="M179:M200" si="50">IF(B179="Option",IF($B$3="C",D179*E179*S_0^2/100*GammaCall,D179*E179*S_0^2/100*GammaPut),IF(B179="Delta",0,""))</f>
        <v/>
      </c>
      <c r="N179" s="30" t="str">
        <f t="shared" ref="N179:N200" si="51">IF(B179="Option",IF($B$3="C",D179*E179*ThetaCall,D179*E179*ThetaPut),IF(B179="Delta",0,""))</f>
        <v/>
      </c>
      <c r="O179" s="4"/>
      <c r="P179" s="48" t="str">
        <f>IF(I179="","",Amount*Mult*_xlfn.NORM.S.DIST(((LN(I179/K)+(r_dom-q+sigma^2/2)*U179))/(sigma*SQRT(U179)),1)*EXP(-q*U179))</f>
        <v/>
      </c>
      <c r="Q179" s="48" t="str">
        <f>IF(I179="","",SUM($D$37:D179))</f>
        <v/>
      </c>
      <c r="R179" s="48" t="str">
        <f t="shared" si="38"/>
        <v/>
      </c>
      <c r="U179" s="12">
        <f t="shared" si="39"/>
        <v>0</v>
      </c>
    </row>
    <row r="180" spans="1:21">
      <c r="A180" s="4"/>
      <c r="B180" s="13" t="str">
        <f t="shared" si="42"/>
        <v/>
      </c>
      <c r="C180" s="15" t="str">
        <f t="shared" si="40"/>
        <v/>
      </c>
      <c r="D180" s="49" t="str">
        <f t="shared" si="41"/>
        <v/>
      </c>
      <c r="E180" s="42" t="str">
        <f t="shared" si="43"/>
        <v/>
      </c>
      <c r="F180" s="42" t="str">
        <f t="shared" si="44"/>
        <v/>
      </c>
      <c r="G180" s="30" t="str">
        <f t="shared" si="45"/>
        <v/>
      </c>
      <c r="H180" s="46" t="str">
        <f t="shared" si="46"/>
        <v/>
      </c>
      <c r="I180" s="47"/>
      <c r="J180" s="45" t="str">
        <f t="shared" si="47"/>
        <v/>
      </c>
      <c r="K180" s="30" t="str">
        <f t="shared" si="48"/>
        <v/>
      </c>
      <c r="L180" s="30" t="str">
        <f t="shared" si="49"/>
        <v/>
      </c>
      <c r="M180" s="30" t="str">
        <f t="shared" si="50"/>
        <v/>
      </c>
      <c r="N180" s="30" t="str">
        <f t="shared" si="51"/>
        <v/>
      </c>
      <c r="O180" s="4"/>
      <c r="P180" s="48" t="str">
        <f>IF(I180="","",Amount*Mult*_xlfn.NORM.S.DIST(((LN(I180/K)+(r_dom-q+sigma^2/2)*U180))/(sigma*SQRT(U180)),1)*EXP(-q*U180))</f>
        <v/>
      </c>
      <c r="Q180" s="48" t="str">
        <f>IF(I180="","",SUM($D$37:D180))</f>
        <v/>
      </c>
      <c r="R180" s="48" t="str">
        <f t="shared" si="38"/>
        <v/>
      </c>
      <c r="U180" s="12">
        <f t="shared" si="39"/>
        <v>0</v>
      </c>
    </row>
    <row r="181" spans="1:21">
      <c r="A181" s="4"/>
      <c r="B181" s="13" t="str">
        <f t="shared" si="42"/>
        <v/>
      </c>
      <c r="C181" s="15" t="str">
        <f t="shared" si="40"/>
        <v/>
      </c>
      <c r="D181" s="49" t="str">
        <f t="shared" si="41"/>
        <v/>
      </c>
      <c r="E181" s="42" t="str">
        <f t="shared" si="43"/>
        <v/>
      </c>
      <c r="F181" s="42" t="str">
        <f t="shared" si="44"/>
        <v/>
      </c>
      <c r="G181" s="30" t="str">
        <f t="shared" si="45"/>
        <v/>
      </c>
      <c r="H181" s="46" t="str">
        <f t="shared" si="46"/>
        <v/>
      </c>
      <c r="I181" s="47"/>
      <c r="J181" s="45" t="str">
        <f t="shared" si="47"/>
        <v/>
      </c>
      <c r="K181" s="30" t="str">
        <f t="shared" si="48"/>
        <v/>
      </c>
      <c r="L181" s="30" t="str">
        <f t="shared" si="49"/>
        <v/>
      </c>
      <c r="M181" s="30" t="str">
        <f t="shared" si="50"/>
        <v/>
      </c>
      <c r="N181" s="30" t="str">
        <f t="shared" si="51"/>
        <v/>
      </c>
      <c r="O181" s="4"/>
      <c r="P181" s="48" t="str">
        <f>IF(I181="","",Amount*Mult*_xlfn.NORM.S.DIST(((LN(I181/K)+(r_dom-q+sigma^2/2)*U181))/(sigma*SQRT(U181)),1)*EXP(-q*U181))</f>
        <v/>
      </c>
      <c r="Q181" s="48" t="str">
        <f>IF(I181="","",SUM($D$37:D181))</f>
        <v/>
      </c>
      <c r="R181" s="48" t="str">
        <f t="shared" si="38"/>
        <v/>
      </c>
      <c r="U181" s="12">
        <f t="shared" si="39"/>
        <v>0</v>
      </c>
    </row>
    <row r="182" spans="1:21">
      <c r="A182" s="4"/>
      <c r="B182" s="13" t="str">
        <f t="shared" si="42"/>
        <v/>
      </c>
      <c r="C182" s="15" t="str">
        <f t="shared" si="40"/>
        <v/>
      </c>
      <c r="D182" s="49" t="str">
        <f t="shared" si="41"/>
        <v/>
      </c>
      <c r="E182" s="42" t="str">
        <f t="shared" si="43"/>
        <v/>
      </c>
      <c r="F182" s="42" t="str">
        <f t="shared" si="44"/>
        <v/>
      </c>
      <c r="G182" s="30" t="str">
        <f t="shared" si="45"/>
        <v/>
      </c>
      <c r="H182" s="46" t="str">
        <f t="shared" si="46"/>
        <v/>
      </c>
      <c r="I182" s="47"/>
      <c r="J182" s="45" t="str">
        <f t="shared" si="47"/>
        <v/>
      </c>
      <c r="K182" s="30" t="str">
        <f t="shared" si="48"/>
        <v/>
      </c>
      <c r="L182" s="30" t="str">
        <f t="shared" si="49"/>
        <v/>
      </c>
      <c r="M182" s="30" t="str">
        <f t="shared" si="50"/>
        <v/>
      </c>
      <c r="N182" s="30" t="str">
        <f t="shared" si="51"/>
        <v/>
      </c>
      <c r="O182" s="4"/>
      <c r="P182" s="48" t="str">
        <f>IF(I182="","",Amount*Mult*_xlfn.NORM.S.DIST(((LN(I182/K)+(r_dom-q+sigma^2/2)*U182))/(sigma*SQRT(U182)),1)*EXP(-q*U182))</f>
        <v/>
      </c>
      <c r="Q182" s="48" t="str">
        <f>IF(I182="","",SUM($D$37:D182))</f>
        <v/>
      </c>
      <c r="R182" s="48" t="str">
        <f t="shared" si="38"/>
        <v/>
      </c>
      <c r="U182" s="12">
        <f t="shared" si="39"/>
        <v>0</v>
      </c>
    </row>
    <row r="183" spans="1:21">
      <c r="A183" s="4"/>
      <c r="B183" s="13" t="str">
        <f t="shared" si="42"/>
        <v/>
      </c>
      <c r="C183" s="15" t="str">
        <f t="shared" si="40"/>
        <v/>
      </c>
      <c r="D183" s="49" t="str">
        <f t="shared" si="41"/>
        <v/>
      </c>
      <c r="E183" s="42" t="str">
        <f t="shared" si="43"/>
        <v/>
      </c>
      <c r="F183" s="42" t="str">
        <f t="shared" si="44"/>
        <v/>
      </c>
      <c r="G183" s="30" t="str">
        <f t="shared" si="45"/>
        <v/>
      </c>
      <c r="H183" s="46" t="str">
        <f t="shared" si="46"/>
        <v/>
      </c>
      <c r="I183" s="47"/>
      <c r="J183" s="45" t="str">
        <f t="shared" si="47"/>
        <v/>
      </c>
      <c r="K183" s="30" t="str">
        <f t="shared" si="48"/>
        <v/>
      </c>
      <c r="L183" s="30" t="str">
        <f t="shared" si="49"/>
        <v/>
      </c>
      <c r="M183" s="30" t="str">
        <f t="shared" si="50"/>
        <v/>
      </c>
      <c r="N183" s="30" t="str">
        <f t="shared" si="51"/>
        <v/>
      </c>
      <c r="O183" s="4"/>
      <c r="P183" s="48" t="str">
        <f>IF(I183="","",Amount*Mult*_xlfn.NORM.S.DIST(((LN(I183/K)+(r_dom-q+sigma^2/2)*U183))/(sigma*SQRT(U183)),1)*EXP(-q*U183))</f>
        <v/>
      </c>
      <c r="Q183" s="48" t="str">
        <f>IF(I183="","",SUM($D$37:D183))</f>
        <v/>
      </c>
      <c r="R183" s="48" t="str">
        <f t="shared" si="38"/>
        <v/>
      </c>
      <c r="U183" s="12">
        <f t="shared" si="39"/>
        <v>0</v>
      </c>
    </row>
    <row r="184" spans="1:21">
      <c r="A184" s="4"/>
      <c r="B184" s="13" t="str">
        <f t="shared" si="42"/>
        <v/>
      </c>
      <c r="C184" s="15" t="str">
        <f t="shared" si="40"/>
        <v/>
      </c>
      <c r="D184" s="49" t="str">
        <f t="shared" si="41"/>
        <v/>
      </c>
      <c r="E184" s="42" t="str">
        <f t="shared" si="43"/>
        <v/>
      </c>
      <c r="F184" s="42" t="str">
        <f t="shared" si="44"/>
        <v/>
      </c>
      <c r="G184" s="30" t="str">
        <f t="shared" si="45"/>
        <v/>
      </c>
      <c r="H184" s="46" t="str">
        <f t="shared" si="46"/>
        <v/>
      </c>
      <c r="I184" s="47"/>
      <c r="J184" s="45" t="str">
        <f t="shared" si="47"/>
        <v/>
      </c>
      <c r="K184" s="30" t="str">
        <f t="shared" si="48"/>
        <v/>
      </c>
      <c r="L184" s="30" t="str">
        <f t="shared" si="49"/>
        <v/>
      </c>
      <c r="M184" s="30" t="str">
        <f t="shared" si="50"/>
        <v/>
      </c>
      <c r="N184" s="30" t="str">
        <f t="shared" si="51"/>
        <v/>
      </c>
      <c r="O184" s="4"/>
      <c r="P184" s="48" t="str">
        <f>IF(I184="","",Amount*Mult*_xlfn.NORM.S.DIST(((LN(I184/K)+(r_dom-q+sigma^2/2)*U184))/(sigma*SQRT(U184)),1)*EXP(-q*U184))</f>
        <v/>
      </c>
      <c r="Q184" s="48" t="str">
        <f>IF(I184="","",SUM($D$37:D184))</f>
        <v/>
      </c>
      <c r="R184" s="48" t="str">
        <f t="shared" si="38"/>
        <v/>
      </c>
      <c r="U184" s="12">
        <f t="shared" si="39"/>
        <v>0</v>
      </c>
    </row>
    <row r="185" spans="1:21">
      <c r="A185" s="4"/>
      <c r="B185" s="13" t="str">
        <f t="shared" si="42"/>
        <v/>
      </c>
      <c r="C185" s="15" t="str">
        <f t="shared" si="40"/>
        <v/>
      </c>
      <c r="D185" s="49" t="str">
        <f t="shared" si="41"/>
        <v/>
      </c>
      <c r="E185" s="42" t="str">
        <f t="shared" si="43"/>
        <v/>
      </c>
      <c r="F185" s="42" t="str">
        <f t="shared" si="44"/>
        <v/>
      </c>
      <c r="G185" s="30" t="str">
        <f t="shared" si="45"/>
        <v/>
      </c>
      <c r="H185" s="46" t="str">
        <f t="shared" si="46"/>
        <v/>
      </c>
      <c r="I185" s="47"/>
      <c r="J185" s="45" t="str">
        <f t="shared" si="47"/>
        <v/>
      </c>
      <c r="K185" s="30" t="str">
        <f t="shared" si="48"/>
        <v/>
      </c>
      <c r="L185" s="30" t="str">
        <f t="shared" si="49"/>
        <v/>
      </c>
      <c r="M185" s="30" t="str">
        <f t="shared" si="50"/>
        <v/>
      </c>
      <c r="N185" s="30" t="str">
        <f t="shared" si="51"/>
        <v/>
      </c>
      <c r="O185" s="4"/>
      <c r="P185" s="48" t="str">
        <f>IF(I185="","",Amount*Mult*_xlfn.NORM.S.DIST(((LN(I185/K)+(r_dom-q+sigma^2/2)*U185))/(sigma*SQRT(U185)),1)*EXP(-q*U185))</f>
        <v/>
      </c>
      <c r="Q185" s="48" t="str">
        <f>IF(I185="","",SUM($D$37:D185))</f>
        <v/>
      </c>
      <c r="R185" s="48" t="str">
        <f t="shared" si="38"/>
        <v/>
      </c>
      <c r="U185" s="12">
        <f t="shared" si="39"/>
        <v>0</v>
      </c>
    </row>
    <row r="186" spans="1:21">
      <c r="A186" s="4"/>
      <c r="B186" s="13" t="str">
        <f t="shared" si="42"/>
        <v/>
      </c>
      <c r="C186" s="15" t="str">
        <f t="shared" si="40"/>
        <v/>
      </c>
      <c r="D186" s="49" t="str">
        <f t="shared" si="41"/>
        <v/>
      </c>
      <c r="E186" s="42" t="str">
        <f t="shared" si="43"/>
        <v/>
      </c>
      <c r="F186" s="42" t="str">
        <f t="shared" si="44"/>
        <v/>
      </c>
      <c r="G186" s="30" t="str">
        <f t="shared" si="45"/>
        <v/>
      </c>
      <c r="H186" s="46" t="str">
        <f t="shared" si="46"/>
        <v/>
      </c>
      <c r="I186" s="47"/>
      <c r="J186" s="45" t="str">
        <f t="shared" si="47"/>
        <v/>
      </c>
      <c r="K186" s="30" t="str">
        <f t="shared" si="48"/>
        <v/>
      </c>
      <c r="L186" s="30" t="str">
        <f t="shared" si="49"/>
        <v/>
      </c>
      <c r="M186" s="30" t="str">
        <f t="shared" si="50"/>
        <v/>
      </c>
      <c r="N186" s="30" t="str">
        <f t="shared" si="51"/>
        <v/>
      </c>
      <c r="O186" s="4"/>
      <c r="P186" s="48" t="str">
        <f>IF(I186="","",Amount*Mult*_xlfn.NORM.S.DIST(((LN(I186/K)+(r_dom-q+sigma^2/2)*U186))/(sigma*SQRT(U186)),1)*EXP(-q*U186))</f>
        <v/>
      </c>
      <c r="Q186" s="48" t="str">
        <f>IF(I186="","",SUM($D$37:D186))</f>
        <v/>
      </c>
      <c r="R186" s="48" t="str">
        <f t="shared" si="38"/>
        <v/>
      </c>
      <c r="U186" s="12">
        <f t="shared" si="39"/>
        <v>0</v>
      </c>
    </row>
    <row r="187" spans="1:21">
      <c r="A187" s="4"/>
      <c r="B187" s="13" t="str">
        <f t="shared" si="42"/>
        <v/>
      </c>
      <c r="C187" s="15" t="str">
        <f t="shared" si="40"/>
        <v/>
      </c>
      <c r="D187" s="49" t="str">
        <f t="shared" si="41"/>
        <v/>
      </c>
      <c r="E187" s="42" t="str">
        <f t="shared" si="43"/>
        <v/>
      </c>
      <c r="F187" s="42" t="str">
        <f t="shared" si="44"/>
        <v/>
      </c>
      <c r="G187" s="30" t="str">
        <f t="shared" si="45"/>
        <v/>
      </c>
      <c r="H187" s="46" t="str">
        <f t="shared" si="46"/>
        <v/>
      </c>
      <c r="I187" s="47"/>
      <c r="J187" s="45" t="str">
        <f t="shared" si="47"/>
        <v/>
      </c>
      <c r="K187" s="30" t="str">
        <f t="shared" si="48"/>
        <v/>
      </c>
      <c r="L187" s="30" t="str">
        <f t="shared" si="49"/>
        <v/>
      </c>
      <c r="M187" s="30" t="str">
        <f t="shared" si="50"/>
        <v/>
      </c>
      <c r="N187" s="30" t="str">
        <f t="shared" si="51"/>
        <v/>
      </c>
      <c r="O187" s="4"/>
      <c r="P187" s="48" t="str">
        <f>IF(I187="","",Amount*Mult*_xlfn.NORM.S.DIST(((LN(I187/K)+(r_dom-q+sigma^2/2)*U187))/(sigma*SQRT(U187)),1)*EXP(-q*U187))</f>
        <v/>
      </c>
      <c r="Q187" s="48" t="str">
        <f>IF(I187="","",SUM($D$37:D187))</f>
        <v/>
      </c>
      <c r="R187" s="48" t="str">
        <f t="shared" ref="R187:R200" si="52">IF(I187="","",P187+Q187)</f>
        <v/>
      </c>
      <c r="U187" s="12">
        <f t="shared" si="39"/>
        <v>0</v>
      </c>
    </row>
    <row r="188" spans="1:21">
      <c r="A188" s="4"/>
      <c r="B188" s="13" t="str">
        <f t="shared" si="42"/>
        <v/>
      </c>
      <c r="C188" s="15" t="str">
        <f t="shared" si="40"/>
        <v/>
      </c>
      <c r="D188" s="49" t="str">
        <f t="shared" si="41"/>
        <v/>
      </c>
      <c r="E188" s="42" t="str">
        <f t="shared" si="43"/>
        <v/>
      </c>
      <c r="F188" s="42" t="str">
        <f t="shared" si="44"/>
        <v/>
      </c>
      <c r="G188" s="30" t="str">
        <f t="shared" si="45"/>
        <v/>
      </c>
      <c r="H188" s="46" t="str">
        <f t="shared" si="46"/>
        <v/>
      </c>
      <c r="I188" s="47"/>
      <c r="J188" s="45" t="str">
        <f t="shared" si="47"/>
        <v/>
      </c>
      <c r="K188" s="30" t="str">
        <f t="shared" si="48"/>
        <v/>
      </c>
      <c r="L188" s="30" t="str">
        <f t="shared" si="49"/>
        <v/>
      </c>
      <c r="M188" s="30" t="str">
        <f t="shared" si="50"/>
        <v/>
      </c>
      <c r="N188" s="30" t="str">
        <f t="shared" si="51"/>
        <v/>
      </c>
      <c r="O188" s="4"/>
      <c r="P188" s="48" t="str">
        <f>IF(I188="","",Amount*Mult*_xlfn.NORM.S.DIST(((LN(I188/K)+(r_dom-q+sigma^2/2)*U188))/(sigma*SQRT(U188)),1)*EXP(-q*U188))</f>
        <v/>
      </c>
      <c r="Q188" s="48" t="str">
        <f>IF(I188="","",SUM($D$37:D188))</f>
        <v/>
      </c>
      <c r="R188" s="48" t="str">
        <f t="shared" si="52"/>
        <v/>
      </c>
      <c r="U188" s="12">
        <f t="shared" ref="U188:U202" si="53">IF(OR(A188="",$D$2&lt;=A188),0,($D$2-A188)/365)</f>
        <v>0</v>
      </c>
    </row>
    <row r="189" spans="1:21">
      <c r="A189" s="4"/>
      <c r="B189" s="13" t="str">
        <f t="shared" si="42"/>
        <v/>
      </c>
      <c r="C189" s="15" t="str">
        <f t="shared" si="40"/>
        <v/>
      </c>
      <c r="D189" s="49" t="str">
        <f t="shared" si="41"/>
        <v/>
      </c>
      <c r="E189" s="42" t="str">
        <f t="shared" si="43"/>
        <v/>
      </c>
      <c r="F189" s="42" t="str">
        <f t="shared" si="44"/>
        <v/>
      </c>
      <c r="G189" s="30" t="str">
        <f t="shared" si="45"/>
        <v/>
      </c>
      <c r="H189" s="46" t="str">
        <f t="shared" si="46"/>
        <v/>
      </c>
      <c r="I189" s="47"/>
      <c r="J189" s="45" t="str">
        <f t="shared" si="47"/>
        <v/>
      </c>
      <c r="K189" s="30" t="str">
        <f t="shared" si="48"/>
        <v/>
      </c>
      <c r="L189" s="30" t="str">
        <f t="shared" si="49"/>
        <v/>
      </c>
      <c r="M189" s="30" t="str">
        <f t="shared" si="50"/>
        <v/>
      </c>
      <c r="N189" s="30" t="str">
        <f t="shared" si="51"/>
        <v/>
      </c>
      <c r="O189" s="4"/>
      <c r="P189" s="48" t="str">
        <f>IF(I189="","",Amount*Mult*_xlfn.NORM.S.DIST(((LN(I189/K)+(r_dom-q+sigma^2/2)*U189))/(sigma*SQRT(U189)),1)*EXP(-q*U189))</f>
        <v/>
      </c>
      <c r="Q189" s="48" t="str">
        <f>IF(I189="","",SUM($D$37:D189))</f>
        <v/>
      </c>
      <c r="R189" s="48" t="str">
        <f t="shared" si="52"/>
        <v/>
      </c>
      <c r="U189" s="12">
        <f t="shared" si="53"/>
        <v>0</v>
      </c>
    </row>
    <row r="190" spans="1:21">
      <c r="A190" s="4"/>
      <c r="B190" s="13" t="str">
        <f t="shared" si="42"/>
        <v/>
      </c>
      <c r="C190" s="15" t="str">
        <f t="shared" si="40"/>
        <v/>
      </c>
      <c r="D190" s="49" t="str">
        <f t="shared" si="41"/>
        <v/>
      </c>
      <c r="E190" s="42" t="str">
        <f t="shared" si="43"/>
        <v/>
      </c>
      <c r="F190" s="42" t="str">
        <f t="shared" si="44"/>
        <v/>
      </c>
      <c r="G190" s="30" t="str">
        <f t="shared" si="45"/>
        <v/>
      </c>
      <c r="H190" s="46" t="str">
        <f t="shared" si="46"/>
        <v/>
      </c>
      <c r="I190" s="47"/>
      <c r="J190" s="45" t="str">
        <f t="shared" si="47"/>
        <v/>
      </c>
      <c r="K190" s="30" t="str">
        <f t="shared" si="48"/>
        <v/>
      </c>
      <c r="L190" s="30" t="str">
        <f t="shared" si="49"/>
        <v/>
      </c>
      <c r="M190" s="30" t="str">
        <f t="shared" si="50"/>
        <v/>
      </c>
      <c r="N190" s="30" t="str">
        <f t="shared" si="51"/>
        <v/>
      </c>
      <c r="O190" s="4"/>
      <c r="P190" s="48" t="str">
        <f>IF(I190="","",Amount*Mult*_xlfn.NORM.S.DIST(((LN(I190/K)+(r_dom-q+sigma^2/2)*U190))/(sigma*SQRT(U190)),1)*EXP(-q*U190))</f>
        <v/>
      </c>
      <c r="Q190" s="48" t="str">
        <f>IF(I190="","",SUM($D$37:D190))</f>
        <v/>
      </c>
      <c r="R190" s="48" t="str">
        <f t="shared" si="52"/>
        <v/>
      </c>
      <c r="U190" s="12">
        <f t="shared" si="53"/>
        <v>0</v>
      </c>
    </row>
    <row r="191" spans="1:21">
      <c r="A191" s="4"/>
      <c r="B191" s="13" t="str">
        <f t="shared" si="42"/>
        <v/>
      </c>
      <c r="C191" s="15" t="str">
        <f t="shared" si="40"/>
        <v/>
      </c>
      <c r="D191" s="49" t="str">
        <f t="shared" si="41"/>
        <v/>
      </c>
      <c r="E191" s="42" t="str">
        <f t="shared" si="43"/>
        <v/>
      </c>
      <c r="F191" s="42" t="str">
        <f t="shared" si="44"/>
        <v/>
      </c>
      <c r="G191" s="30" t="str">
        <f t="shared" si="45"/>
        <v/>
      </c>
      <c r="H191" s="46" t="str">
        <f t="shared" si="46"/>
        <v/>
      </c>
      <c r="I191" s="47"/>
      <c r="J191" s="45" t="str">
        <f t="shared" si="47"/>
        <v/>
      </c>
      <c r="K191" s="30" t="str">
        <f t="shared" si="48"/>
        <v/>
      </c>
      <c r="L191" s="30" t="str">
        <f t="shared" si="49"/>
        <v/>
      </c>
      <c r="M191" s="30" t="str">
        <f t="shared" si="50"/>
        <v/>
      </c>
      <c r="N191" s="30" t="str">
        <f t="shared" si="51"/>
        <v/>
      </c>
      <c r="O191" s="4"/>
      <c r="P191" s="48" t="str">
        <f>IF(I191="","",Amount*Mult*_xlfn.NORM.S.DIST(((LN(I191/K)+(r_dom-q+sigma^2/2)*U191))/(sigma*SQRT(U191)),1)*EXP(-q*U191))</f>
        <v/>
      </c>
      <c r="Q191" s="48" t="str">
        <f>IF(I191="","",SUM($D$37:D191))</f>
        <v/>
      </c>
      <c r="R191" s="48" t="str">
        <f t="shared" si="52"/>
        <v/>
      </c>
      <c r="U191" s="12">
        <f t="shared" si="53"/>
        <v>0</v>
      </c>
    </row>
    <row r="192" spans="1:21">
      <c r="A192" s="4"/>
      <c r="B192" s="13" t="str">
        <f t="shared" si="42"/>
        <v/>
      </c>
      <c r="C192" s="15" t="str">
        <f t="shared" si="40"/>
        <v/>
      </c>
      <c r="D192" s="49" t="str">
        <f t="shared" si="41"/>
        <v/>
      </c>
      <c r="E192" s="42" t="str">
        <f t="shared" si="43"/>
        <v/>
      </c>
      <c r="F192" s="42" t="str">
        <f t="shared" si="44"/>
        <v/>
      </c>
      <c r="G192" s="30" t="str">
        <f t="shared" si="45"/>
        <v/>
      </c>
      <c r="H192" s="46" t="str">
        <f t="shared" si="46"/>
        <v/>
      </c>
      <c r="I192" s="47"/>
      <c r="J192" s="45" t="str">
        <f t="shared" si="47"/>
        <v/>
      </c>
      <c r="K192" s="30" t="str">
        <f t="shared" si="48"/>
        <v/>
      </c>
      <c r="L192" s="30" t="str">
        <f t="shared" si="49"/>
        <v/>
      </c>
      <c r="M192" s="30" t="str">
        <f t="shared" si="50"/>
        <v/>
      </c>
      <c r="N192" s="30" t="str">
        <f t="shared" si="51"/>
        <v/>
      </c>
      <c r="O192" s="4"/>
      <c r="P192" s="48" t="str">
        <f>IF(I192="","",Amount*Mult*_xlfn.NORM.S.DIST(((LN(I192/K)+(r_dom-q+sigma^2/2)*U192))/(sigma*SQRT(U192)),1)*EXP(-q*U192))</f>
        <v/>
      </c>
      <c r="Q192" s="48" t="str">
        <f>IF(I192="","",SUM($D$37:D192))</f>
        <v/>
      </c>
      <c r="R192" s="48" t="str">
        <f t="shared" si="52"/>
        <v/>
      </c>
      <c r="U192" s="12">
        <f t="shared" si="53"/>
        <v>0</v>
      </c>
    </row>
    <row r="193" spans="1:21">
      <c r="A193" s="4"/>
      <c r="B193" s="13" t="str">
        <f t="shared" si="42"/>
        <v/>
      </c>
      <c r="C193" s="15" t="str">
        <f t="shared" si="40"/>
        <v/>
      </c>
      <c r="D193" s="49" t="str">
        <f t="shared" si="41"/>
        <v/>
      </c>
      <c r="E193" s="42" t="str">
        <f t="shared" si="43"/>
        <v/>
      </c>
      <c r="F193" s="42" t="str">
        <f t="shared" si="44"/>
        <v/>
      </c>
      <c r="G193" s="30" t="str">
        <f t="shared" si="45"/>
        <v/>
      </c>
      <c r="H193" s="46" t="str">
        <f t="shared" si="46"/>
        <v/>
      </c>
      <c r="I193" s="47"/>
      <c r="J193" s="45" t="str">
        <f t="shared" si="47"/>
        <v/>
      </c>
      <c r="K193" s="30" t="str">
        <f t="shared" si="48"/>
        <v/>
      </c>
      <c r="L193" s="30" t="str">
        <f t="shared" si="49"/>
        <v/>
      </c>
      <c r="M193" s="30" t="str">
        <f t="shared" si="50"/>
        <v/>
      </c>
      <c r="N193" s="30" t="str">
        <f t="shared" si="51"/>
        <v/>
      </c>
      <c r="O193" s="4"/>
      <c r="P193" s="48" t="str">
        <f>IF(I193="","",Amount*Mult*_xlfn.NORM.S.DIST(((LN(I193/K)+(r_dom-q+sigma^2/2)*U193))/(sigma*SQRT(U193)),1)*EXP(-q*U193))</f>
        <v/>
      </c>
      <c r="Q193" s="48" t="str">
        <f>IF(I193="","",SUM($D$37:D193))</f>
        <v/>
      </c>
      <c r="R193" s="48" t="str">
        <f t="shared" si="52"/>
        <v/>
      </c>
      <c r="U193" s="12">
        <f t="shared" si="53"/>
        <v>0</v>
      </c>
    </row>
    <row r="194" spans="1:21">
      <c r="A194" s="4"/>
      <c r="B194" s="13" t="str">
        <f t="shared" si="42"/>
        <v/>
      </c>
      <c r="C194" s="15" t="str">
        <f t="shared" si="40"/>
        <v/>
      </c>
      <c r="D194" s="49" t="str">
        <f t="shared" si="41"/>
        <v/>
      </c>
      <c r="E194" s="42" t="str">
        <f t="shared" si="43"/>
        <v/>
      </c>
      <c r="F194" s="42" t="str">
        <f t="shared" si="44"/>
        <v/>
      </c>
      <c r="G194" s="30" t="str">
        <f t="shared" si="45"/>
        <v/>
      </c>
      <c r="H194" s="46" t="str">
        <f t="shared" si="46"/>
        <v/>
      </c>
      <c r="I194" s="47"/>
      <c r="J194" s="45" t="str">
        <f t="shared" si="47"/>
        <v/>
      </c>
      <c r="K194" s="30" t="str">
        <f t="shared" si="48"/>
        <v/>
      </c>
      <c r="L194" s="30" t="str">
        <f t="shared" si="49"/>
        <v/>
      </c>
      <c r="M194" s="30" t="str">
        <f t="shared" si="50"/>
        <v/>
      </c>
      <c r="N194" s="30" t="str">
        <f t="shared" si="51"/>
        <v/>
      </c>
      <c r="O194" s="4"/>
      <c r="P194" s="48" t="str">
        <f>IF(I194="","",Amount*Mult*_xlfn.NORM.S.DIST(((LN(I194/K)+(r_dom-q+sigma^2/2)*U194))/(sigma*SQRT(U194)),1)*EXP(-q*U194))</f>
        <v/>
      </c>
      <c r="Q194" s="48" t="str">
        <f>IF(I194="","",SUM($D$37:D194))</f>
        <v/>
      </c>
      <c r="R194" s="48" t="str">
        <f t="shared" si="52"/>
        <v/>
      </c>
      <c r="U194" s="12">
        <f t="shared" si="53"/>
        <v>0</v>
      </c>
    </row>
    <row r="195" spans="1:21">
      <c r="A195" s="4"/>
      <c r="B195" s="13" t="str">
        <f t="shared" si="42"/>
        <v/>
      </c>
      <c r="C195" s="15" t="str">
        <f t="shared" si="40"/>
        <v/>
      </c>
      <c r="D195" s="49" t="str">
        <f t="shared" si="41"/>
        <v/>
      </c>
      <c r="E195" s="42" t="str">
        <f t="shared" si="43"/>
        <v/>
      </c>
      <c r="F195" s="42" t="str">
        <f t="shared" si="44"/>
        <v/>
      </c>
      <c r="G195" s="30" t="str">
        <f t="shared" si="45"/>
        <v/>
      </c>
      <c r="H195" s="46" t="str">
        <f t="shared" si="46"/>
        <v/>
      </c>
      <c r="I195" s="47"/>
      <c r="J195" s="45" t="str">
        <f t="shared" si="47"/>
        <v/>
      </c>
      <c r="K195" s="30" t="str">
        <f t="shared" si="48"/>
        <v/>
      </c>
      <c r="L195" s="30" t="str">
        <f t="shared" si="49"/>
        <v/>
      </c>
      <c r="M195" s="30" t="str">
        <f t="shared" si="50"/>
        <v/>
      </c>
      <c r="N195" s="30" t="str">
        <f t="shared" si="51"/>
        <v/>
      </c>
      <c r="O195" s="4"/>
      <c r="P195" s="48" t="str">
        <f>IF(I195="","",Amount*Mult*_xlfn.NORM.S.DIST(((LN(I195/K)+(r_dom-q+sigma^2/2)*U195))/(sigma*SQRT(U195)),1)*EXP(-q*U195))</f>
        <v/>
      </c>
      <c r="Q195" s="48" t="str">
        <f>IF(I195="","",SUM($D$37:D195))</f>
        <v/>
      </c>
      <c r="R195" s="48" t="str">
        <f t="shared" si="52"/>
        <v/>
      </c>
      <c r="U195" s="12">
        <f t="shared" si="53"/>
        <v>0</v>
      </c>
    </row>
    <row r="196" spans="1:21">
      <c r="A196" s="4"/>
      <c r="B196" s="13" t="str">
        <f t="shared" si="42"/>
        <v/>
      </c>
      <c r="C196" s="15" t="str">
        <f t="shared" si="40"/>
        <v/>
      </c>
      <c r="D196" s="49" t="str">
        <f t="shared" si="41"/>
        <v/>
      </c>
      <c r="E196" s="42" t="str">
        <f t="shared" si="43"/>
        <v/>
      </c>
      <c r="F196" s="42" t="str">
        <f t="shared" si="44"/>
        <v/>
      </c>
      <c r="G196" s="30" t="str">
        <f t="shared" si="45"/>
        <v/>
      </c>
      <c r="H196" s="46" t="str">
        <f t="shared" si="46"/>
        <v/>
      </c>
      <c r="I196" s="47"/>
      <c r="J196" s="45" t="str">
        <f t="shared" si="47"/>
        <v/>
      </c>
      <c r="K196" s="30" t="str">
        <f t="shared" si="48"/>
        <v/>
      </c>
      <c r="L196" s="30" t="str">
        <f t="shared" si="49"/>
        <v/>
      </c>
      <c r="M196" s="30" t="str">
        <f t="shared" si="50"/>
        <v/>
      </c>
      <c r="N196" s="30" t="str">
        <f t="shared" si="51"/>
        <v/>
      </c>
      <c r="O196" s="4"/>
      <c r="P196" s="48" t="str">
        <f>IF(I196="","",Amount*Mult*_xlfn.NORM.S.DIST(((LN(I196/K)+(r_dom-q+sigma^2/2)*U196))/(sigma*SQRT(U196)),1)*EXP(-q*U196))</f>
        <v/>
      </c>
      <c r="Q196" s="48" t="str">
        <f>IF(I196="","",SUM($D$37:D196))</f>
        <v/>
      </c>
      <c r="R196" s="48" t="str">
        <f t="shared" si="52"/>
        <v/>
      </c>
      <c r="U196" s="12">
        <f t="shared" si="53"/>
        <v>0</v>
      </c>
    </row>
    <row r="197" spans="1:21">
      <c r="A197" s="4"/>
      <c r="B197" s="13" t="str">
        <f t="shared" si="42"/>
        <v/>
      </c>
      <c r="C197" s="15" t="str">
        <f t="shared" si="40"/>
        <v/>
      </c>
      <c r="D197" s="49" t="str">
        <f t="shared" si="41"/>
        <v/>
      </c>
      <c r="E197" s="42" t="str">
        <f t="shared" si="43"/>
        <v/>
      </c>
      <c r="F197" s="42" t="str">
        <f t="shared" si="44"/>
        <v/>
      </c>
      <c r="G197" s="30" t="str">
        <f t="shared" si="45"/>
        <v/>
      </c>
      <c r="H197" s="46" t="str">
        <f t="shared" si="46"/>
        <v/>
      </c>
      <c r="I197" s="47"/>
      <c r="J197" s="45" t="str">
        <f t="shared" si="47"/>
        <v/>
      </c>
      <c r="K197" s="30" t="str">
        <f t="shared" si="48"/>
        <v/>
      </c>
      <c r="L197" s="30" t="str">
        <f t="shared" si="49"/>
        <v/>
      </c>
      <c r="M197" s="30" t="str">
        <f t="shared" si="50"/>
        <v/>
      </c>
      <c r="N197" s="30" t="str">
        <f t="shared" si="51"/>
        <v/>
      </c>
      <c r="O197" s="4"/>
      <c r="P197" s="48" t="str">
        <f>IF(I197="","",Amount*Mult*_xlfn.NORM.S.DIST(((LN(I197/K)+(r_dom-q+sigma^2/2)*U197))/(sigma*SQRT(U197)),1)*EXP(-q*U197))</f>
        <v/>
      </c>
      <c r="Q197" s="48" t="str">
        <f>IF(I197="","",SUM($D$37:D197))</f>
        <v/>
      </c>
      <c r="R197" s="48" t="str">
        <f t="shared" si="52"/>
        <v/>
      </c>
      <c r="U197" s="12">
        <f t="shared" si="53"/>
        <v>0</v>
      </c>
    </row>
    <row r="198" spans="1:21">
      <c r="A198" s="4"/>
      <c r="B198" s="13" t="str">
        <f t="shared" si="42"/>
        <v/>
      </c>
      <c r="C198" s="15" t="str">
        <f t="shared" si="40"/>
        <v/>
      </c>
      <c r="D198" s="49" t="str">
        <f t="shared" si="41"/>
        <v/>
      </c>
      <c r="E198" s="42" t="str">
        <f t="shared" si="43"/>
        <v/>
      </c>
      <c r="F198" s="42" t="str">
        <f t="shared" si="44"/>
        <v/>
      </c>
      <c r="G198" s="30" t="str">
        <f t="shared" si="45"/>
        <v/>
      </c>
      <c r="H198" s="46" t="str">
        <f t="shared" si="46"/>
        <v/>
      </c>
      <c r="I198" s="47"/>
      <c r="J198" s="45" t="str">
        <f t="shared" si="47"/>
        <v/>
      </c>
      <c r="K198" s="30" t="str">
        <f t="shared" si="48"/>
        <v/>
      </c>
      <c r="L198" s="30" t="str">
        <f t="shared" si="49"/>
        <v/>
      </c>
      <c r="M198" s="30" t="str">
        <f t="shared" si="50"/>
        <v/>
      </c>
      <c r="N198" s="30" t="str">
        <f t="shared" si="51"/>
        <v/>
      </c>
      <c r="O198" s="4"/>
      <c r="P198" s="48" t="str">
        <f>IF(I198="","",Amount*Mult*_xlfn.NORM.S.DIST(((LN(I198/K)+(r_dom-q+sigma^2/2)*U198))/(sigma*SQRT(U198)),1)*EXP(-q*U198))</f>
        <v/>
      </c>
      <c r="Q198" s="48" t="str">
        <f>IF(I198="","",SUM($D$37:D198))</f>
        <v/>
      </c>
      <c r="R198" s="48" t="str">
        <f t="shared" si="52"/>
        <v/>
      </c>
      <c r="U198" s="12">
        <f t="shared" si="53"/>
        <v>0</v>
      </c>
    </row>
    <row r="199" spans="1:21">
      <c r="A199" s="4"/>
      <c r="B199" s="13" t="str">
        <f t="shared" si="42"/>
        <v/>
      </c>
      <c r="C199" s="15" t="str">
        <f t="shared" si="40"/>
        <v/>
      </c>
      <c r="D199" s="49" t="str">
        <f t="shared" si="41"/>
        <v/>
      </c>
      <c r="E199" s="42" t="str">
        <f t="shared" si="43"/>
        <v/>
      </c>
      <c r="F199" s="42" t="str">
        <f t="shared" si="44"/>
        <v/>
      </c>
      <c r="G199" s="30" t="str">
        <f t="shared" si="45"/>
        <v/>
      </c>
      <c r="H199" s="46" t="str">
        <f t="shared" si="46"/>
        <v/>
      </c>
      <c r="I199" s="47"/>
      <c r="J199" s="45" t="str">
        <f t="shared" si="47"/>
        <v/>
      </c>
      <c r="K199" s="30" t="str">
        <f t="shared" si="48"/>
        <v/>
      </c>
      <c r="L199" s="30" t="str">
        <f t="shared" si="49"/>
        <v/>
      </c>
      <c r="M199" s="30" t="str">
        <f t="shared" si="50"/>
        <v/>
      </c>
      <c r="N199" s="30" t="str">
        <f t="shared" si="51"/>
        <v/>
      </c>
      <c r="O199" s="4"/>
      <c r="P199" s="48" t="str">
        <f>IF(I199="","",Amount*Mult*_xlfn.NORM.S.DIST(((LN(I199/K)+(r_dom-q+sigma^2/2)*U199))/(sigma*SQRT(U199)),1)*EXP(-q*U199))</f>
        <v/>
      </c>
      <c r="Q199" s="48" t="str">
        <f>IF(I199="","",SUM($D$37:D199))</f>
        <v/>
      </c>
      <c r="R199" s="48" t="str">
        <f t="shared" si="52"/>
        <v/>
      </c>
      <c r="U199" s="12">
        <f t="shared" si="53"/>
        <v>0</v>
      </c>
    </row>
    <row r="200" spans="1:21">
      <c r="A200" s="4"/>
      <c r="B200" s="13" t="str">
        <f t="shared" si="42"/>
        <v/>
      </c>
      <c r="C200" s="15" t="str">
        <f t="shared" si="40"/>
        <v/>
      </c>
      <c r="D200" s="49" t="str">
        <f t="shared" si="41"/>
        <v/>
      </c>
      <c r="E200" s="42" t="str">
        <f t="shared" si="43"/>
        <v/>
      </c>
      <c r="F200" s="42" t="str">
        <f t="shared" si="44"/>
        <v/>
      </c>
      <c r="G200" s="30" t="str">
        <f t="shared" si="45"/>
        <v/>
      </c>
      <c r="H200" s="46" t="str">
        <f t="shared" si="46"/>
        <v/>
      </c>
      <c r="I200" s="47"/>
      <c r="J200" s="45" t="str">
        <f t="shared" si="47"/>
        <v/>
      </c>
      <c r="K200" s="30" t="str">
        <f t="shared" si="48"/>
        <v/>
      </c>
      <c r="L200" s="30" t="str">
        <f t="shared" si="49"/>
        <v/>
      </c>
      <c r="M200" s="30" t="str">
        <f t="shared" si="50"/>
        <v/>
      </c>
      <c r="N200" s="30" t="str">
        <f t="shared" si="51"/>
        <v/>
      </c>
      <c r="O200" s="4"/>
      <c r="P200" s="48" t="str">
        <f>IF(I200="","",Amount*Mult*_xlfn.NORM.S.DIST(((LN(I200/K)+(r_dom-q+sigma^2/2)*U200))/(sigma*SQRT(U200)),1)*EXP(-q*U200))</f>
        <v/>
      </c>
      <c r="Q200" s="48" t="str">
        <f>IF(I200="","",SUM($D$37:D200))</f>
        <v/>
      </c>
      <c r="R200" s="48" t="str">
        <f t="shared" si="52"/>
        <v/>
      </c>
      <c r="U200" s="12">
        <f t="shared" si="53"/>
        <v>0</v>
      </c>
    </row>
    <row r="201" spans="1:21">
      <c r="B201" s="13"/>
      <c r="C201" s="15"/>
      <c r="D201" s="4"/>
      <c r="E201" s="4"/>
      <c r="U201" s="12"/>
    </row>
    <row r="202" spans="1:21">
      <c r="B202" s="13"/>
      <c r="C202" s="15"/>
      <c r="D202" s="4"/>
      <c r="E202" s="4"/>
      <c r="U202" s="12"/>
    </row>
    <row r="203" spans="1:21">
      <c r="B203" s="13"/>
      <c r="C203" s="15"/>
      <c r="D203" s="4"/>
      <c r="E203" s="4"/>
    </row>
    <row r="204" spans="1:21">
      <c r="B204" s="13"/>
      <c r="C204" s="15"/>
      <c r="D204" s="4"/>
      <c r="E204" s="4"/>
    </row>
    <row r="205" spans="1:21">
      <c r="B205" s="13"/>
      <c r="C205" s="15"/>
      <c r="D205" s="4"/>
      <c r="E205" s="4"/>
    </row>
    <row r="206" spans="1:21">
      <c r="B206" s="13"/>
      <c r="C206" s="15"/>
      <c r="D206" s="4"/>
      <c r="E206" s="4"/>
    </row>
    <row r="207" spans="1:21">
      <c r="B207" s="13"/>
      <c r="C207" s="15"/>
      <c r="D207" s="4"/>
      <c r="E207" s="4"/>
    </row>
    <row r="208" spans="1:21">
      <c r="B208" s="13"/>
      <c r="C208" s="15"/>
      <c r="D208" s="4"/>
      <c r="E208" s="4"/>
    </row>
    <row r="209" spans="3:5">
      <c r="C209" s="4"/>
      <c r="D209" s="4"/>
      <c r="E209" s="4"/>
    </row>
    <row r="210" spans="3:5">
      <c r="C210" s="4"/>
      <c r="D210" s="4"/>
      <c r="E210" s="4"/>
    </row>
    <row r="211" spans="3:5">
      <c r="C211" s="4"/>
      <c r="D211" s="4"/>
      <c r="E211" s="4"/>
    </row>
    <row r="212" spans="3:5">
      <c r="C212" s="4"/>
      <c r="D212" s="4"/>
      <c r="E212" s="4"/>
    </row>
    <row r="213" spans="3:5">
      <c r="C213" s="4"/>
      <c r="D213" s="4"/>
      <c r="E213" s="4"/>
    </row>
    <row r="214" spans="3:5">
      <c r="C214" s="4"/>
      <c r="D214" s="4"/>
      <c r="E214" s="4"/>
    </row>
    <row r="215" spans="3:5">
      <c r="C215" s="4"/>
      <c r="D215" s="4"/>
      <c r="E215" s="4"/>
    </row>
    <row r="216" spans="3:5">
      <c r="C216" s="4"/>
      <c r="D216" s="4"/>
      <c r="E216" s="4"/>
    </row>
    <row r="217" spans="3:5">
      <c r="C217" s="4"/>
      <c r="D217" s="4"/>
      <c r="E217" s="4"/>
    </row>
    <row r="218" spans="3:5">
      <c r="C218" s="4"/>
      <c r="D218" s="4"/>
      <c r="E218" s="4"/>
    </row>
    <row r="219" spans="3:5">
      <c r="C219" s="4"/>
      <c r="D219" s="4"/>
      <c r="E219" s="4"/>
    </row>
    <row r="220" spans="3:5">
      <c r="C220" s="4"/>
      <c r="D220" s="4"/>
      <c r="E220" s="4"/>
    </row>
    <row r="221" spans="3:5">
      <c r="C221" s="4"/>
      <c r="D221" s="4"/>
      <c r="E221" s="4"/>
    </row>
    <row r="222" spans="3:5">
      <c r="C222" s="4"/>
      <c r="D222" s="4"/>
      <c r="E222" s="4"/>
    </row>
    <row r="223" spans="3:5">
      <c r="C223" s="4"/>
      <c r="D223" s="4"/>
      <c r="E223" s="4"/>
    </row>
    <row r="224" spans="3:5">
      <c r="C224" s="4"/>
      <c r="D224" s="4"/>
      <c r="E224" s="4"/>
    </row>
    <row r="225" spans="3:5">
      <c r="C225" s="4"/>
      <c r="D225" s="4"/>
      <c r="E225" s="4"/>
    </row>
    <row r="226" spans="3:5">
      <c r="C226" s="4"/>
      <c r="D226" s="4"/>
      <c r="E226" s="4"/>
    </row>
    <row r="227" spans="3:5">
      <c r="C227" s="4"/>
      <c r="D227" s="4"/>
      <c r="E227" s="4"/>
    </row>
    <row r="228" spans="3:5">
      <c r="C228" s="4"/>
      <c r="D228" s="4"/>
      <c r="E228" s="4"/>
    </row>
    <row r="229" spans="3:5">
      <c r="C229" s="4"/>
      <c r="D229" s="4"/>
      <c r="E229" s="4"/>
    </row>
    <row r="230" spans="3:5">
      <c r="C230" s="4"/>
      <c r="D230" s="4"/>
      <c r="E230" s="4"/>
    </row>
    <row r="231" spans="3:5">
      <c r="C231" s="4"/>
      <c r="D231" s="4"/>
      <c r="E231" s="4"/>
    </row>
    <row r="232" spans="3:5">
      <c r="C232" s="4"/>
      <c r="D232" s="4"/>
      <c r="E232" s="4"/>
    </row>
    <row r="233" spans="3:5">
      <c r="C233" s="4"/>
      <c r="D233" s="4"/>
      <c r="E233" s="4"/>
    </row>
    <row r="234" spans="3:5">
      <c r="C234" s="4"/>
      <c r="D234" s="4"/>
      <c r="E234" s="4"/>
    </row>
    <row r="235" spans="3:5">
      <c r="C235" s="4"/>
      <c r="D235" s="4"/>
      <c r="E235" s="4"/>
    </row>
    <row r="236" spans="3:5">
      <c r="C236" s="4"/>
      <c r="D236" s="4"/>
      <c r="E236" s="4"/>
    </row>
    <row r="237" spans="3:5">
      <c r="C237" s="4"/>
      <c r="D237" s="4"/>
      <c r="E237" s="4"/>
    </row>
    <row r="238" spans="3:5">
      <c r="C238" s="4"/>
      <c r="D238" s="4"/>
      <c r="E238" s="4"/>
    </row>
    <row r="239" spans="3:5">
      <c r="C239" s="4"/>
      <c r="D239" s="4"/>
      <c r="E239" s="4"/>
    </row>
    <row r="240" spans="3:5">
      <c r="C240" s="4"/>
      <c r="D240" s="4"/>
      <c r="E240" s="4"/>
    </row>
    <row r="241" spans="3:5">
      <c r="C241" s="4"/>
      <c r="D241" s="4"/>
      <c r="E241" s="4"/>
    </row>
    <row r="242" spans="3:5">
      <c r="C242" s="4"/>
      <c r="D242" s="4"/>
      <c r="E242" s="4"/>
    </row>
    <row r="243" spans="3:5">
      <c r="C243" s="4"/>
      <c r="D243" s="4"/>
      <c r="E243" s="4"/>
    </row>
    <row r="244" spans="3:5">
      <c r="C244" s="4"/>
      <c r="D244" s="4"/>
      <c r="E244" s="4"/>
    </row>
    <row r="245" spans="3:5">
      <c r="C245" s="4"/>
      <c r="D245" s="4"/>
      <c r="E245" s="4"/>
    </row>
    <row r="246" spans="3:5">
      <c r="C246" s="4"/>
      <c r="D246" s="4"/>
      <c r="E246" s="4"/>
    </row>
    <row r="247" spans="3:5">
      <c r="C247" s="4"/>
      <c r="D247" s="4"/>
      <c r="E247" s="4"/>
    </row>
    <row r="248" spans="3:5">
      <c r="C248" s="4"/>
      <c r="D248" s="4"/>
      <c r="E248" s="4"/>
    </row>
    <row r="249" spans="3:5">
      <c r="C249" s="4"/>
      <c r="D249" s="4"/>
      <c r="E249" s="4"/>
    </row>
    <row r="250" spans="3:5">
      <c r="C250" s="4"/>
      <c r="D250" s="4"/>
      <c r="E250" s="4"/>
    </row>
    <row r="251" spans="3:5">
      <c r="C251" s="4"/>
      <c r="D251" s="4"/>
      <c r="E251" s="4"/>
    </row>
    <row r="252" spans="3:5">
      <c r="C252" s="4"/>
      <c r="D252" s="4"/>
      <c r="E252" s="4"/>
    </row>
    <row r="253" spans="3:5">
      <c r="C253" s="4"/>
      <c r="D253" s="4"/>
      <c r="E253" s="4"/>
    </row>
    <row r="254" spans="3:5">
      <c r="C254" s="4"/>
      <c r="D254" s="4"/>
      <c r="E254" s="4"/>
    </row>
    <row r="255" spans="3:5">
      <c r="C255" s="4"/>
      <c r="D255" s="4"/>
      <c r="E255" s="4"/>
    </row>
    <row r="256" spans="3:5">
      <c r="C256" s="4"/>
      <c r="D256" s="4"/>
      <c r="E256" s="4"/>
    </row>
    <row r="257" spans="3:5">
      <c r="C257" s="4"/>
      <c r="D257" s="4"/>
      <c r="E257" s="4"/>
    </row>
    <row r="258" spans="3:5">
      <c r="C258" s="4"/>
      <c r="D258" s="4"/>
      <c r="E258" s="4"/>
    </row>
    <row r="259" spans="3:5">
      <c r="C259" s="4"/>
      <c r="D259" s="4"/>
      <c r="E259" s="4"/>
    </row>
    <row r="260" spans="3:5">
      <c r="C260" s="4"/>
      <c r="D260" s="4"/>
      <c r="E260" s="4"/>
    </row>
    <row r="261" spans="3:5">
      <c r="C261" s="4"/>
      <c r="D261" s="4"/>
      <c r="E261" s="4"/>
    </row>
    <row r="262" spans="3:5">
      <c r="C262" s="4"/>
      <c r="D262" s="4"/>
      <c r="E262" s="4"/>
    </row>
    <row r="263" spans="3:5">
      <c r="C263" s="4"/>
      <c r="D263" s="4"/>
      <c r="E263" s="4"/>
    </row>
    <row r="264" spans="3:5">
      <c r="C264" s="4"/>
      <c r="D264" s="4"/>
      <c r="E264" s="4"/>
    </row>
    <row r="265" spans="3:5">
      <c r="C265" s="4"/>
      <c r="D265" s="4"/>
      <c r="E265" s="4"/>
    </row>
    <row r="266" spans="3:5">
      <c r="C266" s="4"/>
      <c r="D266" s="4"/>
      <c r="E266" s="4"/>
    </row>
    <row r="267" spans="3:5">
      <c r="C267" s="4"/>
      <c r="D267" s="4"/>
      <c r="E267" s="4"/>
    </row>
    <row r="268" spans="3:5">
      <c r="C268" s="4"/>
      <c r="D268" s="4"/>
      <c r="E268" s="4"/>
    </row>
    <row r="269" spans="3:5">
      <c r="C269" s="4"/>
      <c r="D269" s="4"/>
      <c r="E269" s="4"/>
    </row>
    <row r="270" spans="3:5">
      <c r="C270" s="4"/>
      <c r="D270" s="4"/>
      <c r="E270" s="4"/>
    </row>
    <row r="271" spans="3:5">
      <c r="C271" s="4"/>
      <c r="D271" s="4"/>
      <c r="E271" s="4"/>
    </row>
    <row r="272" spans="3:5">
      <c r="C272" s="4"/>
      <c r="D272" s="4"/>
      <c r="E272" s="4"/>
    </row>
    <row r="273" spans="3:5">
      <c r="C273" s="4"/>
      <c r="D273" s="4"/>
      <c r="E273" s="4"/>
    </row>
    <row r="274" spans="3:5">
      <c r="C274" s="4"/>
      <c r="D274" s="4"/>
      <c r="E274" s="4"/>
    </row>
    <row r="275" spans="3:5">
      <c r="C275" s="4"/>
      <c r="D275" s="4"/>
      <c r="E275" s="4"/>
    </row>
    <row r="276" spans="3:5">
      <c r="C276" s="4"/>
      <c r="D276" s="4"/>
      <c r="E276" s="4"/>
    </row>
    <row r="277" spans="3:5">
      <c r="C277" s="4"/>
      <c r="D277" s="4"/>
      <c r="E277" s="4"/>
    </row>
    <row r="278" spans="3:5">
      <c r="C278" s="4"/>
      <c r="D278" s="4"/>
      <c r="E278" s="4"/>
    </row>
    <row r="279" spans="3:5">
      <c r="C279" s="4"/>
      <c r="D279" s="4"/>
      <c r="E279" s="4"/>
    </row>
    <row r="280" spans="3:5">
      <c r="C280" s="4"/>
      <c r="D280" s="4"/>
      <c r="E280" s="4"/>
    </row>
    <row r="281" spans="3:5">
      <c r="C281" s="4"/>
      <c r="D281" s="4"/>
      <c r="E281" s="4"/>
    </row>
    <row r="282" spans="3:5">
      <c r="C282" s="4"/>
      <c r="D282" s="4"/>
      <c r="E282" s="4"/>
    </row>
    <row r="283" spans="3:5">
      <c r="C283" s="4"/>
      <c r="D283" s="4"/>
      <c r="E283" s="4"/>
    </row>
    <row r="284" spans="3:5">
      <c r="C284" s="4"/>
      <c r="D284" s="4"/>
      <c r="E284" s="4"/>
    </row>
    <row r="285" spans="3:5">
      <c r="C285" s="4"/>
      <c r="D285" s="4"/>
      <c r="E285" s="4"/>
    </row>
    <row r="286" spans="3:5">
      <c r="C286" s="4"/>
      <c r="D286" s="4"/>
      <c r="E286" s="4"/>
    </row>
    <row r="287" spans="3:5">
      <c r="C287" s="4"/>
      <c r="D287" s="4"/>
      <c r="E287" s="4"/>
    </row>
    <row r="288" spans="3:5">
      <c r="C288" s="4"/>
      <c r="D288" s="4"/>
      <c r="E288" s="4"/>
    </row>
    <row r="289" spans="3:5">
      <c r="C289" s="4"/>
      <c r="D289" s="4"/>
      <c r="E289" s="4"/>
    </row>
    <row r="290" spans="3:5">
      <c r="C290" s="4"/>
      <c r="D290" s="4"/>
      <c r="E290" s="4"/>
    </row>
    <row r="291" spans="3:5">
      <c r="C291" s="4"/>
      <c r="D291" s="4"/>
      <c r="E291" s="4"/>
    </row>
    <row r="292" spans="3:5">
      <c r="C292" s="4"/>
      <c r="D292" s="4"/>
      <c r="E292" s="4"/>
    </row>
    <row r="293" spans="3:5">
      <c r="C293" s="4"/>
      <c r="D293" s="4"/>
      <c r="E293" s="4"/>
    </row>
    <row r="294" spans="3:5">
      <c r="C294" s="4"/>
      <c r="D294" s="4"/>
      <c r="E294" s="4"/>
    </row>
    <row r="295" spans="3:5">
      <c r="C295" s="4"/>
      <c r="D295" s="4"/>
      <c r="E295" s="4"/>
    </row>
    <row r="296" spans="3:5">
      <c r="C296" s="4"/>
      <c r="D296" s="4"/>
      <c r="E296" s="4"/>
    </row>
    <row r="297" spans="3:5">
      <c r="C297" s="4"/>
      <c r="D297" s="4"/>
      <c r="E297" s="4"/>
    </row>
    <row r="298" spans="3:5">
      <c r="C298" s="4"/>
      <c r="D298" s="4"/>
      <c r="E298" s="4"/>
    </row>
    <row r="299" spans="3:5">
      <c r="C299" s="4"/>
      <c r="D299" s="4"/>
      <c r="E299" s="4"/>
    </row>
    <row r="300" spans="3:5">
      <c r="C300" s="4"/>
      <c r="D300" s="4"/>
      <c r="E300" s="4"/>
    </row>
    <row r="301" spans="3:5">
      <c r="C301" s="4"/>
      <c r="D301" s="4"/>
      <c r="E301" s="4"/>
    </row>
    <row r="302" spans="3:5">
      <c r="C302" s="4"/>
      <c r="D302" s="4"/>
      <c r="E302" s="4"/>
    </row>
    <row r="303" spans="3:5">
      <c r="C303" s="4"/>
      <c r="D303" s="4"/>
      <c r="E303" s="4"/>
    </row>
    <row r="304" spans="3:5">
      <c r="C304" s="4"/>
      <c r="D304" s="4"/>
      <c r="E304" s="4"/>
    </row>
    <row r="305" spans="3:5">
      <c r="C305" s="4"/>
      <c r="D305" s="4"/>
      <c r="E305" s="4"/>
    </row>
    <row r="306" spans="3:5">
      <c r="C306" s="4"/>
      <c r="D306" s="4"/>
      <c r="E306" s="4"/>
    </row>
    <row r="307" spans="3:5">
      <c r="C307" s="4"/>
      <c r="D307" s="4"/>
      <c r="E307" s="4"/>
    </row>
    <row r="308" spans="3:5">
      <c r="C308" s="4"/>
      <c r="D308" s="4"/>
      <c r="E308" s="4"/>
    </row>
    <row r="309" spans="3:5">
      <c r="C309" s="4"/>
      <c r="D309" s="4"/>
      <c r="E309" s="4"/>
    </row>
    <row r="310" spans="3:5">
      <c r="C310" s="4"/>
      <c r="D310" s="4"/>
      <c r="E310" s="4"/>
    </row>
    <row r="311" spans="3:5">
      <c r="C311" s="4"/>
      <c r="D311" s="4"/>
      <c r="E311" s="4"/>
    </row>
    <row r="312" spans="3:5">
      <c r="C312" s="4"/>
      <c r="D312" s="4"/>
      <c r="E312" s="4"/>
    </row>
    <row r="313" spans="3:5">
      <c r="C313" s="4"/>
      <c r="D313" s="4"/>
      <c r="E313" s="4"/>
    </row>
    <row r="314" spans="3:5">
      <c r="C314" s="4"/>
      <c r="D314" s="4"/>
      <c r="E314" s="4"/>
    </row>
    <row r="315" spans="3:5">
      <c r="C315" s="4"/>
      <c r="D315" s="4"/>
      <c r="E315" s="4"/>
    </row>
    <row r="316" spans="3:5">
      <c r="C316" s="4"/>
      <c r="D316" s="4"/>
      <c r="E316" s="4"/>
    </row>
    <row r="317" spans="3:5">
      <c r="C317" s="4"/>
      <c r="D317" s="4"/>
      <c r="E317" s="4"/>
    </row>
    <row r="318" spans="3:5">
      <c r="C318" s="4"/>
      <c r="D318" s="4"/>
      <c r="E318" s="4"/>
    </row>
    <row r="319" spans="3:5">
      <c r="C319" s="4"/>
      <c r="D319" s="4"/>
      <c r="E319" s="4"/>
    </row>
    <row r="320" spans="3:5">
      <c r="C320" s="4"/>
      <c r="D320" s="4"/>
      <c r="E320" s="4"/>
    </row>
    <row r="321" spans="3:5">
      <c r="C321" s="4"/>
      <c r="D321" s="4"/>
      <c r="E321" s="4"/>
    </row>
    <row r="322" spans="3:5">
      <c r="C322" s="4"/>
      <c r="D322" s="4"/>
      <c r="E322" s="4"/>
    </row>
    <row r="323" spans="3:5">
      <c r="C323" s="4"/>
      <c r="D323" s="4"/>
      <c r="E323" s="4"/>
    </row>
    <row r="324" spans="3:5">
      <c r="C324" s="4"/>
      <c r="D324" s="4"/>
      <c r="E324" s="4"/>
    </row>
    <row r="325" spans="3:5">
      <c r="C325" s="4"/>
      <c r="D325" s="4"/>
      <c r="E325" s="4"/>
    </row>
    <row r="326" spans="3:5">
      <c r="C326" s="4"/>
      <c r="D326" s="4"/>
      <c r="E326" s="4"/>
    </row>
    <row r="327" spans="3:5">
      <c r="C327" s="4"/>
      <c r="D327" s="4"/>
      <c r="E327" s="4"/>
    </row>
    <row r="328" spans="3:5">
      <c r="C328" s="4"/>
      <c r="D328" s="4"/>
      <c r="E328" s="4"/>
    </row>
    <row r="329" spans="3:5">
      <c r="C329" s="4"/>
      <c r="D329" s="4"/>
      <c r="E329" s="4"/>
    </row>
    <row r="330" spans="3:5">
      <c r="C330" s="4"/>
      <c r="D330" s="4"/>
      <c r="E330" s="4"/>
    </row>
    <row r="331" spans="3:5">
      <c r="C331" s="4"/>
      <c r="D331" s="4"/>
      <c r="E331" s="4"/>
    </row>
    <row r="332" spans="3:5">
      <c r="C332" s="4"/>
      <c r="D332" s="4"/>
      <c r="E332" s="4"/>
    </row>
    <row r="333" spans="3:5">
      <c r="C333" s="4"/>
      <c r="D333" s="4"/>
      <c r="E333" s="4"/>
    </row>
    <row r="334" spans="3:5">
      <c r="C334" s="4"/>
      <c r="D334" s="4"/>
      <c r="E334" s="4"/>
    </row>
    <row r="335" spans="3:5">
      <c r="C335" s="4"/>
      <c r="D335" s="4"/>
      <c r="E335" s="4"/>
    </row>
    <row r="336" spans="3:5">
      <c r="C336" s="4"/>
      <c r="D336" s="4"/>
      <c r="E336" s="4"/>
    </row>
    <row r="337" spans="3:5">
      <c r="C337" s="4"/>
      <c r="D337" s="4"/>
      <c r="E337" s="4"/>
    </row>
    <row r="338" spans="3:5">
      <c r="C338" s="4"/>
      <c r="D338" s="4"/>
      <c r="E338" s="4"/>
    </row>
    <row r="339" spans="3:5">
      <c r="C339" s="4"/>
      <c r="D339" s="4"/>
      <c r="E339" s="4"/>
    </row>
    <row r="340" spans="3:5">
      <c r="C340" s="4"/>
      <c r="D340" s="4"/>
      <c r="E340" s="4"/>
    </row>
    <row r="341" spans="3:5">
      <c r="C341" s="4"/>
      <c r="D341" s="4"/>
      <c r="E341" s="4"/>
    </row>
    <row r="342" spans="3:5">
      <c r="C342" s="4"/>
      <c r="D342" s="4"/>
      <c r="E342" s="4"/>
    </row>
    <row r="343" spans="3:5">
      <c r="C343" s="4"/>
      <c r="D343" s="4"/>
      <c r="E343" s="4"/>
    </row>
    <row r="344" spans="3:5">
      <c r="C344" s="4"/>
      <c r="D344" s="4"/>
      <c r="E344" s="4"/>
    </row>
    <row r="345" spans="3:5">
      <c r="C345" s="4"/>
      <c r="D345" s="4"/>
      <c r="E345" s="4"/>
    </row>
    <row r="346" spans="3:5">
      <c r="C346" s="4"/>
      <c r="D346" s="4"/>
      <c r="E346" s="4"/>
    </row>
    <row r="347" spans="3:5">
      <c r="C347" s="4"/>
      <c r="D347" s="4"/>
      <c r="E347" s="4"/>
    </row>
    <row r="348" spans="3:5">
      <c r="C348" s="4"/>
      <c r="D348" s="4"/>
      <c r="E348" s="4"/>
    </row>
    <row r="349" spans="3:5">
      <c r="C349" s="4"/>
      <c r="D349" s="4"/>
      <c r="E349" s="4"/>
    </row>
    <row r="350" spans="3:5">
      <c r="C350" s="4"/>
      <c r="D350" s="4"/>
      <c r="E350" s="4"/>
    </row>
    <row r="351" spans="3:5">
      <c r="C351" s="4"/>
      <c r="D351" s="4"/>
      <c r="E351" s="4"/>
    </row>
    <row r="352" spans="3:5">
      <c r="C352" s="4"/>
      <c r="D352" s="4"/>
      <c r="E352" s="4"/>
    </row>
    <row r="353" spans="3:5">
      <c r="C353" s="4"/>
      <c r="D353" s="4"/>
      <c r="E353" s="4"/>
    </row>
    <row r="354" spans="3:5">
      <c r="C354" s="4"/>
      <c r="D354" s="4"/>
      <c r="E354" s="4"/>
    </row>
    <row r="355" spans="3:5">
      <c r="C355" s="4"/>
      <c r="D355" s="4"/>
      <c r="E355" s="4"/>
    </row>
    <row r="356" spans="3:5">
      <c r="C356" s="4"/>
      <c r="D356" s="4"/>
      <c r="E356" s="4"/>
    </row>
    <row r="357" spans="3:5">
      <c r="C357" s="4"/>
      <c r="D357" s="4"/>
      <c r="E357" s="4"/>
    </row>
    <row r="358" spans="3:5">
      <c r="C358" s="4"/>
      <c r="D358" s="4"/>
      <c r="E358" s="4"/>
    </row>
    <row r="359" spans="3:5">
      <c r="C359" s="4"/>
      <c r="D359" s="4"/>
      <c r="E359" s="4"/>
    </row>
    <row r="360" spans="3:5">
      <c r="C360" s="4"/>
      <c r="D360" s="4"/>
      <c r="E360" s="4"/>
    </row>
    <row r="361" spans="3:5">
      <c r="C361" s="4"/>
      <c r="D361" s="4"/>
      <c r="E361" s="4"/>
    </row>
    <row r="362" spans="3:5">
      <c r="C362" s="4"/>
      <c r="D362" s="4"/>
      <c r="E362" s="4"/>
    </row>
    <row r="363" spans="3:5">
      <c r="C363" s="4"/>
      <c r="D363" s="4"/>
      <c r="E363" s="4"/>
    </row>
    <row r="364" spans="3:5">
      <c r="C364" s="4"/>
      <c r="D364" s="4"/>
      <c r="E364" s="4"/>
    </row>
    <row r="365" spans="3:5">
      <c r="C365" s="4"/>
      <c r="D365" s="4"/>
      <c r="E365" s="4"/>
    </row>
    <row r="366" spans="3:5">
      <c r="C366" s="4"/>
      <c r="D366" s="4"/>
      <c r="E366" s="4"/>
    </row>
    <row r="367" spans="3:5">
      <c r="C367" s="4"/>
      <c r="D367" s="4"/>
      <c r="E367" s="4"/>
    </row>
    <row r="368" spans="3:5">
      <c r="C368" s="4"/>
      <c r="D368" s="4"/>
      <c r="E368" s="4"/>
    </row>
    <row r="369" spans="3:5">
      <c r="C369" s="4"/>
      <c r="D369" s="4"/>
      <c r="E369" s="4"/>
    </row>
    <row r="370" spans="3:5">
      <c r="C370" s="4"/>
      <c r="D370" s="4"/>
      <c r="E370" s="4"/>
    </row>
    <row r="371" spans="3:5">
      <c r="C371" s="4"/>
      <c r="D371" s="4"/>
      <c r="E371" s="4"/>
    </row>
    <row r="372" spans="3:5">
      <c r="C372" s="4"/>
      <c r="D372" s="4"/>
      <c r="E372" s="4"/>
    </row>
    <row r="373" spans="3:5">
      <c r="C373" s="4"/>
      <c r="D373" s="4"/>
      <c r="E373" s="4"/>
    </row>
    <row r="374" spans="3:5">
      <c r="C374" s="4"/>
      <c r="D374" s="4"/>
      <c r="E374" s="4"/>
    </row>
    <row r="375" spans="3:5">
      <c r="C375" s="4"/>
      <c r="D375" s="4"/>
      <c r="E375" s="4"/>
    </row>
    <row r="376" spans="3:5">
      <c r="C376" s="4"/>
      <c r="D376" s="4"/>
      <c r="E376" s="4"/>
    </row>
    <row r="377" spans="3:5">
      <c r="C377" s="4"/>
      <c r="D377" s="4"/>
      <c r="E377" s="4"/>
    </row>
    <row r="378" spans="3:5">
      <c r="C378" s="4"/>
      <c r="D378" s="4"/>
      <c r="E378" s="4"/>
    </row>
    <row r="379" spans="3:5">
      <c r="C379" s="4"/>
      <c r="D379" s="4"/>
      <c r="E379" s="4"/>
    </row>
    <row r="380" spans="3:5">
      <c r="C380" s="4"/>
      <c r="D380" s="4"/>
      <c r="E380" s="4"/>
    </row>
    <row r="381" spans="3:5">
      <c r="C381" s="4"/>
      <c r="D381" s="4"/>
      <c r="E381" s="4"/>
    </row>
    <row r="382" spans="3:5">
      <c r="C382" s="4"/>
      <c r="D382" s="4"/>
      <c r="E382" s="4"/>
    </row>
    <row r="383" spans="3:5">
      <c r="C383" s="4"/>
      <c r="D383" s="4"/>
      <c r="E383" s="4"/>
    </row>
    <row r="384" spans="3:5">
      <c r="C384" s="4"/>
      <c r="D384" s="4"/>
      <c r="E384" s="4"/>
    </row>
    <row r="385" spans="3:5">
      <c r="C385" s="4"/>
      <c r="D385" s="4"/>
      <c r="E385" s="4"/>
    </row>
    <row r="386" spans="3:5">
      <c r="C386" s="4"/>
      <c r="D386" s="4"/>
      <c r="E386" s="4"/>
    </row>
    <row r="387" spans="3:5">
      <c r="C387" s="4"/>
      <c r="D387" s="4"/>
      <c r="E387" s="4"/>
    </row>
    <row r="388" spans="3:5">
      <c r="C388" s="4"/>
      <c r="D388" s="4"/>
      <c r="E388" s="4"/>
    </row>
    <row r="389" spans="3:5">
      <c r="C389" s="4"/>
      <c r="D389" s="4"/>
      <c r="E389" s="4"/>
    </row>
    <row r="390" spans="3:5">
      <c r="C390" s="4"/>
      <c r="D390" s="4"/>
      <c r="E390" s="4"/>
    </row>
    <row r="391" spans="3:5">
      <c r="C391" s="4"/>
      <c r="D391" s="4"/>
      <c r="E391" s="4"/>
    </row>
    <row r="392" spans="3:5">
      <c r="C392" s="4"/>
      <c r="D392" s="4"/>
      <c r="E392" s="4"/>
    </row>
    <row r="393" spans="3:5">
      <c r="C393" s="4"/>
      <c r="D393" s="4"/>
      <c r="E393" s="4"/>
    </row>
    <row r="394" spans="3:5">
      <c r="C394" s="4"/>
      <c r="D394" s="4"/>
      <c r="E394" s="4"/>
    </row>
    <row r="395" spans="3:5">
      <c r="C395" s="4"/>
      <c r="D395" s="4"/>
      <c r="E395" s="4"/>
    </row>
    <row r="396" spans="3:5">
      <c r="C396" s="4"/>
      <c r="D396" s="4"/>
      <c r="E396" s="4"/>
    </row>
    <row r="397" spans="3:5">
      <c r="C397" s="4"/>
      <c r="D397" s="4"/>
      <c r="E397" s="4"/>
    </row>
    <row r="398" spans="3:5">
      <c r="C398" s="4"/>
      <c r="D398" s="4"/>
      <c r="E398" s="4"/>
    </row>
    <row r="399" spans="3:5">
      <c r="C399" s="4"/>
      <c r="D399" s="4"/>
      <c r="E399" s="4"/>
    </row>
    <row r="400" spans="3:5">
      <c r="C400" s="4"/>
      <c r="D400" s="4"/>
      <c r="E400" s="4"/>
    </row>
    <row r="401" spans="3:5">
      <c r="C401" s="4"/>
      <c r="D401" s="4"/>
      <c r="E401" s="4"/>
    </row>
    <row r="402" spans="3:5">
      <c r="C402" s="4"/>
      <c r="D402" s="4"/>
      <c r="E402" s="4"/>
    </row>
    <row r="403" spans="3:5">
      <c r="C403" s="4"/>
      <c r="D403" s="4"/>
      <c r="E403" s="4"/>
    </row>
    <row r="404" spans="3:5">
      <c r="C404" s="4"/>
      <c r="D404" s="4"/>
      <c r="E404" s="4"/>
    </row>
    <row r="405" spans="3:5">
      <c r="C405" s="4"/>
      <c r="D405" s="4"/>
      <c r="E405" s="4"/>
    </row>
    <row r="406" spans="3:5">
      <c r="C406" s="4"/>
      <c r="D406" s="4"/>
      <c r="E406" s="4"/>
    </row>
    <row r="407" spans="3:5">
      <c r="C407" s="4"/>
      <c r="D407" s="4"/>
      <c r="E407" s="4"/>
    </row>
    <row r="408" spans="3:5">
      <c r="C408" s="4"/>
      <c r="D408" s="4"/>
      <c r="E408" s="4"/>
    </row>
    <row r="409" spans="3:5">
      <c r="C409" s="4"/>
      <c r="D409" s="4"/>
      <c r="E409" s="4"/>
    </row>
    <row r="410" spans="3:5">
      <c r="C410" s="4"/>
      <c r="D410" s="4"/>
      <c r="E410" s="4"/>
    </row>
    <row r="411" spans="3:5">
      <c r="C411" s="4"/>
      <c r="D411" s="4"/>
      <c r="E411" s="4"/>
    </row>
    <row r="412" spans="3:5">
      <c r="C412" s="4"/>
      <c r="D412" s="4"/>
      <c r="E412" s="4"/>
    </row>
    <row r="413" spans="3:5">
      <c r="C413" s="4"/>
      <c r="D413" s="4"/>
      <c r="E413" s="4"/>
    </row>
    <row r="414" spans="3:5">
      <c r="C414" s="4"/>
      <c r="D414" s="4"/>
      <c r="E414" s="4"/>
    </row>
    <row r="415" spans="3:5">
      <c r="C415" s="4"/>
      <c r="D415" s="4"/>
      <c r="E415" s="4"/>
    </row>
    <row r="416" spans="3:5">
      <c r="C416" s="4"/>
      <c r="D416" s="4"/>
      <c r="E416" s="4"/>
    </row>
    <row r="417" spans="3:5">
      <c r="C417" s="4"/>
      <c r="D417" s="4"/>
      <c r="E417" s="4"/>
    </row>
    <row r="418" spans="3:5">
      <c r="C418" s="4"/>
      <c r="D418" s="4"/>
      <c r="E418" s="4"/>
    </row>
    <row r="419" spans="3:5">
      <c r="C419" s="4"/>
      <c r="D419" s="4"/>
      <c r="E419" s="4"/>
    </row>
    <row r="420" spans="3:5">
      <c r="C420" s="4"/>
      <c r="D420" s="4"/>
      <c r="E420" s="4"/>
    </row>
    <row r="421" spans="3:5">
      <c r="C421" s="4"/>
      <c r="D421" s="4"/>
      <c r="E421" s="4"/>
    </row>
    <row r="422" spans="3:5">
      <c r="C422" s="4"/>
      <c r="D422" s="4"/>
      <c r="E422" s="4"/>
    </row>
    <row r="423" spans="3:5">
      <c r="C423" s="4"/>
      <c r="D423" s="4"/>
      <c r="E423" s="4"/>
    </row>
    <row r="424" spans="3:5">
      <c r="C424" s="4"/>
      <c r="D424" s="4"/>
      <c r="E424" s="4"/>
    </row>
    <row r="425" spans="3:5">
      <c r="C425" s="4"/>
      <c r="D425" s="4"/>
      <c r="E425" s="4"/>
    </row>
    <row r="426" spans="3:5">
      <c r="C426" s="4"/>
      <c r="D426" s="4"/>
      <c r="E426" s="4"/>
    </row>
    <row r="427" spans="3:5">
      <c r="C427" s="4"/>
      <c r="D427" s="4"/>
      <c r="E427" s="4"/>
    </row>
    <row r="428" spans="3:5">
      <c r="C428" s="4"/>
      <c r="D428" s="4"/>
      <c r="E428" s="4"/>
    </row>
    <row r="429" spans="3:5">
      <c r="C429" s="4"/>
      <c r="D429" s="4"/>
      <c r="E429" s="4"/>
    </row>
    <row r="430" spans="3:5">
      <c r="C430" s="4"/>
      <c r="D430" s="4"/>
      <c r="E430" s="4"/>
    </row>
    <row r="431" spans="3:5">
      <c r="C431" s="4"/>
      <c r="D431" s="4"/>
      <c r="E431" s="4"/>
    </row>
    <row r="432" spans="3:5">
      <c r="C432" s="4"/>
      <c r="D432" s="4"/>
      <c r="E432" s="4"/>
    </row>
    <row r="433" spans="3:5">
      <c r="C433" s="4"/>
      <c r="D433" s="4"/>
      <c r="E433" s="4"/>
    </row>
    <row r="434" spans="3:5">
      <c r="C434" s="4"/>
      <c r="D434" s="4"/>
      <c r="E434" s="4"/>
    </row>
    <row r="435" spans="3:5">
      <c r="C435" s="4"/>
      <c r="D435" s="4"/>
      <c r="E435" s="4"/>
    </row>
    <row r="436" spans="3:5">
      <c r="C436" s="4"/>
      <c r="D436" s="4"/>
      <c r="E436" s="4"/>
    </row>
    <row r="437" spans="3:5">
      <c r="C437" s="4"/>
      <c r="D437" s="4"/>
      <c r="E437" s="4"/>
    </row>
    <row r="438" spans="3:5">
      <c r="C438" s="4"/>
      <c r="D438" s="4"/>
      <c r="E438" s="4"/>
    </row>
    <row r="439" spans="3:5">
      <c r="C439" s="4"/>
      <c r="D439" s="4"/>
      <c r="E439" s="4"/>
    </row>
    <row r="440" spans="3:5">
      <c r="C440" s="4"/>
      <c r="D440" s="4"/>
      <c r="E440" s="4"/>
    </row>
    <row r="441" spans="3:5">
      <c r="C441" s="4"/>
      <c r="D441" s="4"/>
      <c r="E441" s="4"/>
    </row>
    <row r="442" spans="3:5">
      <c r="C442" s="4"/>
      <c r="D442" s="4"/>
      <c r="E442" s="4"/>
    </row>
    <row r="443" spans="3:5">
      <c r="C443" s="4"/>
      <c r="D443" s="4"/>
      <c r="E443" s="4"/>
    </row>
    <row r="444" spans="3:5">
      <c r="C444" s="4"/>
      <c r="D444" s="4"/>
      <c r="E444" s="4"/>
    </row>
    <row r="445" spans="3:5">
      <c r="C445" s="4"/>
      <c r="D445" s="4"/>
      <c r="E445" s="4"/>
    </row>
    <row r="446" spans="3:5">
      <c r="C446" s="4"/>
      <c r="D446" s="4"/>
      <c r="E446" s="4"/>
    </row>
    <row r="447" spans="3:5">
      <c r="C447" s="4"/>
      <c r="D447" s="4"/>
      <c r="E447" s="4"/>
    </row>
    <row r="448" spans="3:5">
      <c r="C448" s="4"/>
      <c r="D448" s="4"/>
      <c r="E448" s="4"/>
    </row>
    <row r="449" spans="3:5">
      <c r="C449" s="4"/>
      <c r="D449" s="4"/>
      <c r="E449" s="4"/>
    </row>
    <row r="450" spans="3:5">
      <c r="C450" s="4"/>
      <c r="D450" s="4"/>
      <c r="E450" s="4"/>
    </row>
    <row r="451" spans="3:5">
      <c r="C451" s="4"/>
      <c r="D451" s="4"/>
      <c r="E451" s="4"/>
    </row>
    <row r="452" spans="3:5">
      <c r="C452" s="4"/>
      <c r="D452" s="4"/>
      <c r="E452" s="4"/>
    </row>
    <row r="453" spans="3:5">
      <c r="C453" s="4"/>
      <c r="D453" s="4"/>
      <c r="E453" s="4"/>
    </row>
    <row r="454" spans="3:5">
      <c r="C454" s="4"/>
      <c r="D454" s="4"/>
      <c r="E454" s="4"/>
    </row>
    <row r="455" spans="3:5">
      <c r="C455" s="4"/>
      <c r="D455" s="4"/>
      <c r="E455" s="4"/>
    </row>
    <row r="456" spans="3:5">
      <c r="C456" s="4"/>
      <c r="D456" s="4"/>
      <c r="E456" s="4"/>
    </row>
    <row r="457" spans="3:5">
      <c r="C457" s="4"/>
      <c r="D457" s="4"/>
      <c r="E457" s="4"/>
    </row>
    <row r="458" spans="3:5">
      <c r="C458" s="4"/>
      <c r="D458" s="4"/>
      <c r="E458" s="4"/>
    </row>
    <row r="459" spans="3:5">
      <c r="C459" s="4"/>
      <c r="D459" s="4"/>
      <c r="E459" s="4"/>
    </row>
    <row r="460" spans="3:5">
      <c r="C460" s="4"/>
      <c r="D460" s="4"/>
      <c r="E460" s="4"/>
    </row>
    <row r="461" spans="3:5">
      <c r="C461" s="4"/>
      <c r="D461" s="4"/>
      <c r="E461" s="4"/>
    </row>
    <row r="462" spans="3:5">
      <c r="C462" s="4"/>
      <c r="D462" s="4"/>
      <c r="E462" s="4"/>
    </row>
    <row r="463" spans="3:5">
      <c r="C463" s="4"/>
      <c r="D463" s="4"/>
      <c r="E463" s="4"/>
    </row>
    <row r="464" spans="3:5">
      <c r="C464" s="4"/>
      <c r="D464" s="4"/>
      <c r="E464" s="4"/>
    </row>
    <row r="465" spans="3:5">
      <c r="C465" s="4"/>
      <c r="D465" s="4"/>
      <c r="E465" s="4"/>
    </row>
    <row r="466" spans="3:5">
      <c r="C466" s="4"/>
      <c r="D466" s="4"/>
      <c r="E466" s="4"/>
    </row>
    <row r="467" spans="3:5">
      <c r="C467" s="4"/>
      <c r="D467" s="4"/>
      <c r="E467" s="4"/>
    </row>
    <row r="468" spans="3:5">
      <c r="C468" s="4"/>
      <c r="D468" s="4"/>
      <c r="E468" s="4"/>
    </row>
    <row r="469" spans="3:5">
      <c r="C469" s="4"/>
      <c r="D469" s="4"/>
      <c r="E469" s="4"/>
    </row>
    <row r="470" spans="3:5">
      <c r="C470" s="4"/>
      <c r="D470" s="4"/>
      <c r="E470" s="4"/>
    </row>
    <row r="471" spans="3:5">
      <c r="C471" s="4"/>
      <c r="D471" s="4"/>
      <c r="E471" s="4"/>
    </row>
    <row r="472" spans="3:5">
      <c r="C472" s="4"/>
      <c r="D472" s="4"/>
      <c r="E472" s="4"/>
    </row>
    <row r="473" spans="3:5">
      <c r="C473" s="4"/>
      <c r="D473" s="4"/>
      <c r="E473" s="4"/>
    </row>
    <row r="474" spans="3:5">
      <c r="C474" s="4"/>
      <c r="D474" s="4"/>
      <c r="E474" s="4"/>
    </row>
    <row r="475" spans="3:5">
      <c r="C475" s="4"/>
      <c r="D475" s="4"/>
      <c r="E475" s="4"/>
    </row>
    <row r="476" spans="3:5">
      <c r="C476" s="4"/>
      <c r="D476" s="4"/>
      <c r="E476" s="4"/>
    </row>
    <row r="477" spans="3:5">
      <c r="C477" s="4"/>
      <c r="D477" s="4"/>
      <c r="E477" s="4"/>
    </row>
    <row r="478" spans="3:5">
      <c r="C478" s="4"/>
      <c r="D478" s="4"/>
      <c r="E478" s="4"/>
    </row>
    <row r="479" spans="3:5">
      <c r="C479" s="4"/>
      <c r="D479" s="4"/>
      <c r="E479" s="4"/>
    </row>
    <row r="480" spans="3:5">
      <c r="C480" s="4"/>
      <c r="D480" s="4"/>
      <c r="E480" s="4"/>
    </row>
    <row r="481" spans="3:5">
      <c r="C481" s="4"/>
      <c r="D481" s="4"/>
      <c r="E481" s="4"/>
    </row>
    <row r="482" spans="3:5">
      <c r="C482" s="4"/>
      <c r="D482" s="4"/>
      <c r="E482" s="4"/>
    </row>
    <row r="483" spans="3:5">
      <c r="C483" s="4"/>
      <c r="D483" s="4"/>
      <c r="E483" s="4"/>
    </row>
    <row r="484" spans="3:5">
      <c r="C484" s="4"/>
      <c r="D484" s="4"/>
      <c r="E484" s="4"/>
    </row>
    <row r="485" spans="3:5">
      <c r="C485" s="4"/>
      <c r="D485" s="4"/>
      <c r="E485" s="4"/>
    </row>
    <row r="486" spans="3:5">
      <c r="C486" s="4"/>
      <c r="D486" s="4"/>
      <c r="E486" s="4"/>
    </row>
    <row r="487" spans="3:5">
      <c r="C487" s="4"/>
      <c r="D487" s="4"/>
      <c r="E487" s="4"/>
    </row>
    <row r="488" spans="3:5">
      <c r="C488" s="4"/>
      <c r="D488" s="4"/>
      <c r="E488" s="4"/>
    </row>
    <row r="489" spans="3:5">
      <c r="C489" s="4"/>
      <c r="D489" s="4"/>
      <c r="E489" s="4"/>
    </row>
    <row r="490" spans="3:5">
      <c r="C490" s="4"/>
      <c r="D490" s="4"/>
      <c r="E490" s="4"/>
    </row>
    <row r="491" spans="3:5">
      <c r="C491" s="4"/>
      <c r="D491" s="4"/>
      <c r="E491" s="4"/>
    </row>
    <row r="492" spans="3:5">
      <c r="C492" s="4"/>
      <c r="D492" s="4"/>
      <c r="E492" s="4"/>
    </row>
    <row r="493" spans="3:5">
      <c r="C493" s="4"/>
      <c r="D493" s="4"/>
      <c r="E493" s="4"/>
    </row>
    <row r="494" spans="3:5">
      <c r="C494" s="4"/>
      <c r="D494" s="4"/>
      <c r="E494" s="4"/>
    </row>
    <row r="495" spans="3:5">
      <c r="C495" s="4"/>
      <c r="D495" s="4"/>
      <c r="E495" s="4"/>
    </row>
    <row r="496" spans="3:5">
      <c r="C496" s="4"/>
      <c r="D496" s="4"/>
      <c r="E496" s="4"/>
    </row>
    <row r="497" spans="3:5">
      <c r="C497" s="4"/>
      <c r="D497" s="4"/>
      <c r="E497" s="4"/>
    </row>
    <row r="498" spans="3:5">
      <c r="C498" s="4"/>
      <c r="D498" s="4"/>
      <c r="E498" s="4"/>
    </row>
    <row r="499" spans="3:5">
      <c r="C499" s="4"/>
      <c r="D499" s="4"/>
      <c r="E499" s="4"/>
    </row>
    <row r="500" spans="3:5">
      <c r="C500" s="4"/>
      <c r="D500" s="4"/>
      <c r="E500" s="4"/>
    </row>
    <row r="501" spans="3:5">
      <c r="C501" s="4"/>
      <c r="D501" s="4"/>
      <c r="E501" s="4"/>
    </row>
    <row r="502" spans="3:5">
      <c r="C502" s="4"/>
      <c r="D502" s="4"/>
      <c r="E502" s="4"/>
    </row>
    <row r="503" spans="3:5">
      <c r="C503" s="4"/>
      <c r="D503" s="4"/>
      <c r="E503" s="4"/>
    </row>
    <row r="504" spans="3:5">
      <c r="C504" s="4"/>
      <c r="D504" s="4"/>
      <c r="E504" s="4"/>
    </row>
    <row r="505" spans="3:5">
      <c r="C505" s="4"/>
      <c r="D505" s="4"/>
      <c r="E505" s="4"/>
    </row>
    <row r="506" spans="3:5">
      <c r="C506" s="4"/>
      <c r="D506" s="4"/>
      <c r="E506" s="4"/>
    </row>
    <row r="507" spans="3:5">
      <c r="C507" s="4"/>
      <c r="D507" s="4"/>
      <c r="E507" s="4"/>
    </row>
    <row r="508" spans="3:5">
      <c r="C508" s="4"/>
      <c r="D508" s="4"/>
      <c r="E508" s="4"/>
    </row>
    <row r="509" spans="3:5">
      <c r="C509" s="4"/>
      <c r="D509" s="4"/>
      <c r="E509" s="4"/>
    </row>
    <row r="510" spans="3:5">
      <c r="C510" s="4"/>
      <c r="D510" s="4"/>
      <c r="E510" s="4"/>
    </row>
    <row r="511" spans="3:5">
      <c r="C511" s="4"/>
      <c r="D511" s="4"/>
      <c r="E511" s="4"/>
    </row>
    <row r="512" spans="3:5">
      <c r="C512" s="4"/>
      <c r="D512" s="4"/>
      <c r="E512" s="4"/>
    </row>
    <row r="513" spans="3:5">
      <c r="C513" s="4"/>
      <c r="D513" s="4"/>
      <c r="E513" s="4"/>
    </row>
    <row r="514" spans="3:5">
      <c r="C514" s="4"/>
      <c r="D514" s="4"/>
      <c r="E514" s="4"/>
    </row>
    <row r="515" spans="3:5">
      <c r="C515" s="4"/>
      <c r="D515" s="4"/>
      <c r="E515" s="4"/>
    </row>
    <row r="516" spans="3:5">
      <c r="C516" s="4"/>
      <c r="D516" s="4"/>
      <c r="E516" s="4"/>
    </row>
    <row r="517" spans="3:5">
      <c r="C517" s="4"/>
      <c r="D517" s="4"/>
      <c r="E517" s="4"/>
    </row>
    <row r="518" spans="3:5">
      <c r="C518" s="4"/>
      <c r="D518" s="4"/>
      <c r="E518" s="4"/>
    </row>
    <row r="519" spans="3:5">
      <c r="C519" s="4"/>
      <c r="D519" s="4"/>
      <c r="E519" s="4"/>
    </row>
    <row r="520" spans="3:5">
      <c r="C520" s="4"/>
      <c r="D520" s="4"/>
      <c r="E520" s="4"/>
    </row>
    <row r="521" spans="3:5">
      <c r="C521" s="4"/>
      <c r="D521" s="4"/>
      <c r="E521" s="4"/>
    </row>
    <row r="522" spans="3:5">
      <c r="C522" s="4"/>
      <c r="D522" s="4"/>
      <c r="E522" s="4"/>
    </row>
    <row r="523" spans="3:5">
      <c r="C523" s="4"/>
      <c r="D523" s="4"/>
      <c r="E523" s="4"/>
    </row>
    <row r="524" spans="3:5">
      <c r="C524" s="4"/>
      <c r="D524" s="4"/>
      <c r="E524" s="4"/>
    </row>
    <row r="525" spans="3:5">
      <c r="C525" s="4"/>
      <c r="D525" s="4"/>
      <c r="E525" s="4"/>
    </row>
    <row r="526" spans="3:5">
      <c r="C526" s="4"/>
      <c r="D526" s="4"/>
      <c r="E526" s="4"/>
    </row>
    <row r="527" spans="3:5">
      <c r="C527" s="4"/>
      <c r="D527" s="4"/>
      <c r="E527" s="4"/>
    </row>
    <row r="528" spans="3:5">
      <c r="C528" s="4"/>
      <c r="D528" s="4"/>
      <c r="E528" s="4"/>
    </row>
    <row r="529" spans="3:5">
      <c r="C529" s="4"/>
      <c r="D529" s="4"/>
      <c r="E529" s="4"/>
    </row>
    <row r="530" spans="3:5">
      <c r="C530" s="4"/>
      <c r="D530" s="4"/>
      <c r="E530" s="4"/>
    </row>
    <row r="531" spans="3:5">
      <c r="C531" s="4"/>
      <c r="D531" s="4"/>
      <c r="E531" s="4"/>
    </row>
    <row r="532" spans="3:5">
      <c r="C532" s="4"/>
      <c r="D532" s="4"/>
      <c r="E532" s="4"/>
    </row>
    <row r="533" spans="3:5">
      <c r="C533" s="4"/>
      <c r="D533" s="4"/>
      <c r="E533" s="4"/>
    </row>
    <row r="534" spans="3:5">
      <c r="C534" s="4"/>
      <c r="D534" s="4"/>
      <c r="E534" s="4"/>
    </row>
    <row r="535" spans="3:5">
      <c r="C535" s="4"/>
      <c r="D535" s="4"/>
      <c r="E535" s="4"/>
    </row>
    <row r="536" spans="3:5">
      <c r="C536" s="4"/>
      <c r="D536" s="4"/>
      <c r="E536" s="4"/>
    </row>
    <row r="537" spans="3:5">
      <c r="C537" s="4"/>
      <c r="D537" s="4"/>
      <c r="E537" s="4"/>
    </row>
    <row r="538" spans="3:5">
      <c r="C538" s="4"/>
      <c r="D538" s="4"/>
      <c r="E538" s="4"/>
    </row>
    <row r="539" spans="3:5">
      <c r="C539" s="4"/>
      <c r="D539" s="4"/>
      <c r="E539" s="4"/>
    </row>
    <row r="540" spans="3:5">
      <c r="C540" s="4"/>
      <c r="D540" s="4"/>
      <c r="E540" s="4"/>
    </row>
    <row r="541" spans="3:5">
      <c r="C541" s="4"/>
      <c r="D541" s="4"/>
      <c r="E541" s="4"/>
    </row>
    <row r="542" spans="3:5">
      <c r="C542" s="4"/>
      <c r="D542" s="4"/>
      <c r="E542" s="4"/>
    </row>
    <row r="543" spans="3:5">
      <c r="C543" s="4"/>
      <c r="D543" s="4"/>
      <c r="E543" s="4"/>
    </row>
    <row r="544" spans="3:5">
      <c r="C544" s="4"/>
      <c r="D544" s="4"/>
      <c r="E544" s="4"/>
    </row>
    <row r="545" spans="3:5">
      <c r="C545" s="4"/>
      <c r="D545" s="4"/>
      <c r="E545" s="4"/>
    </row>
    <row r="546" spans="3:5">
      <c r="C546" s="4"/>
      <c r="D546" s="4"/>
      <c r="E546" s="4"/>
    </row>
    <row r="547" spans="3:5">
      <c r="C547" s="4"/>
      <c r="D547" s="4"/>
      <c r="E547" s="4"/>
    </row>
    <row r="548" spans="3:5">
      <c r="C548" s="4"/>
      <c r="D548" s="4"/>
      <c r="E548" s="4"/>
    </row>
    <row r="549" spans="3:5">
      <c r="C549" s="4"/>
      <c r="D549" s="4"/>
      <c r="E549" s="4"/>
    </row>
    <row r="550" spans="3:5">
      <c r="C550" s="4"/>
      <c r="D550" s="4"/>
      <c r="E550" s="4"/>
    </row>
    <row r="551" spans="3:5">
      <c r="C551" s="4"/>
      <c r="D551" s="4"/>
      <c r="E551" s="4"/>
    </row>
    <row r="552" spans="3:5">
      <c r="C552" s="4"/>
      <c r="D552" s="4"/>
      <c r="E552" s="4"/>
    </row>
    <row r="553" spans="3:5">
      <c r="C553" s="4"/>
      <c r="D553" s="4"/>
      <c r="E553" s="4"/>
    </row>
    <row r="554" spans="3:5">
      <c r="C554" s="4"/>
      <c r="D554" s="4"/>
      <c r="E554" s="4"/>
    </row>
    <row r="555" spans="3:5">
      <c r="C555" s="4"/>
      <c r="D555" s="4"/>
      <c r="E555" s="4"/>
    </row>
    <row r="556" spans="3:5">
      <c r="C556" s="4"/>
      <c r="D556" s="4"/>
      <c r="E556" s="4"/>
    </row>
    <row r="557" spans="3:5">
      <c r="C557" s="4"/>
      <c r="D557" s="4"/>
      <c r="E557" s="4"/>
    </row>
    <row r="558" spans="3:5">
      <c r="C558" s="4"/>
      <c r="D558" s="4"/>
      <c r="E558" s="4"/>
    </row>
    <row r="559" spans="3:5">
      <c r="C559" s="4"/>
      <c r="D559" s="4"/>
      <c r="E559" s="4"/>
    </row>
    <row r="560" spans="3:5">
      <c r="C560" s="4"/>
      <c r="D560" s="4"/>
      <c r="E560" s="4"/>
    </row>
    <row r="561" spans="3:5">
      <c r="C561" s="4"/>
      <c r="D561" s="4"/>
      <c r="E561" s="4"/>
    </row>
    <row r="562" spans="3:5">
      <c r="C562" s="4"/>
      <c r="D562" s="4"/>
      <c r="E562" s="4"/>
    </row>
    <row r="563" spans="3:5">
      <c r="C563" s="4"/>
      <c r="D563" s="4"/>
      <c r="E563" s="4"/>
    </row>
    <row r="564" spans="3:5">
      <c r="C564" s="4"/>
      <c r="D564" s="4"/>
      <c r="E564" s="4"/>
    </row>
    <row r="565" spans="3:5">
      <c r="C565" s="4"/>
      <c r="D565" s="4"/>
      <c r="E565" s="4"/>
    </row>
    <row r="566" spans="3:5">
      <c r="C566" s="4"/>
      <c r="D566" s="4"/>
      <c r="E566" s="4"/>
    </row>
    <row r="567" spans="3:5">
      <c r="C567" s="4"/>
      <c r="D567" s="4"/>
      <c r="E567" s="4"/>
    </row>
    <row r="568" spans="3:5">
      <c r="C568" s="4"/>
      <c r="D568" s="4"/>
      <c r="E568" s="4"/>
    </row>
    <row r="569" spans="3:5">
      <c r="C569" s="4"/>
      <c r="D569" s="4"/>
      <c r="E569" s="4"/>
    </row>
    <row r="570" spans="3:5">
      <c r="C570" s="4"/>
      <c r="D570" s="4"/>
      <c r="E570" s="4"/>
    </row>
    <row r="571" spans="3:5">
      <c r="C571" s="4"/>
      <c r="D571" s="4"/>
      <c r="E571" s="4"/>
    </row>
    <row r="572" spans="3:5">
      <c r="C572" s="4"/>
      <c r="D572" s="4"/>
      <c r="E572" s="4"/>
    </row>
    <row r="573" spans="3:5">
      <c r="C573" s="4"/>
      <c r="D573" s="4"/>
      <c r="E573" s="4"/>
    </row>
    <row r="574" spans="3:5">
      <c r="C574" s="4"/>
      <c r="D574" s="4"/>
      <c r="E574" s="4"/>
    </row>
    <row r="575" spans="3:5">
      <c r="C575" s="4"/>
      <c r="D575" s="4"/>
      <c r="E575" s="4"/>
    </row>
    <row r="576" spans="3:5">
      <c r="C576" s="4"/>
      <c r="D576" s="4"/>
      <c r="E576" s="4"/>
    </row>
    <row r="577" spans="3:5">
      <c r="C577" s="4"/>
      <c r="D577" s="4"/>
      <c r="E577" s="4"/>
    </row>
    <row r="578" spans="3:5">
      <c r="C578" s="4"/>
      <c r="D578" s="4"/>
      <c r="E578" s="4"/>
    </row>
    <row r="579" spans="3:5">
      <c r="C579" s="4"/>
      <c r="D579" s="4"/>
      <c r="E579" s="4"/>
    </row>
    <row r="580" spans="3:5">
      <c r="C580" s="4"/>
      <c r="D580" s="4"/>
      <c r="E580" s="4"/>
    </row>
    <row r="581" spans="3:5">
      <c r="C581" s="4"/>
      <c r="D581" s="4"/>
      <c r="E581" s="4"/>
    </row>
    <row r="582" spans="3:5">
      <c r="C582" s="4"/>
      <c r="D582" s="4"/>
      <c r="E582" s="4"/>
    </row>
    <row r="583" spans="3:5">
      <c r="C583" s="4"/>
      <c r="D583" s="4"/>
      <c r="E583" s="4"/>
    </row>
    <row r="584" spans="3:5">
      <c r="C584" s="4"/>
      <c r="D584" s="4"/>
      <c r="E584" s="4"/>
    </row>
    <row r="585" spans="3:5">
      <c r="C585" s="4"/>
      <c r="D585" s="4"/>
      <c r="E585" s="4"/>
    </row>
    <row r="586" spans="3:5">
      <c r="C586" s="4"/>
      <c r="D586" s="4"/>
      <c r="E586" s="4"/>
    </row>
    <row r="587" spans="3:5">
      <c r="C587" s="4"/>
      <c r="D587" s="4"/>
      <c r="E587" s="4"/>
    </row>
    <row r="588" spans="3:5">
      <c r="C588" s="4"/>
      <c r="D588" s="4"/>
      <c r="E588" s="4"/>
    </row>
    <row r="589" spans="3:5">
      <c r="C589" s="4"/>
      <c r="D589" s="4"/>
      <c r="E589" s="4"/>
    </row>
    <row r="590" spans="3:5">
      <c r="C590" s="4"/>
      <c r="D590" s="4"/>
      <c r="E590" s="4"/>
    </row>
    <row r="591" spans="3:5">
      <c r="C591" s="4"/>
      <c r="D591" s="4"/>
      <c r="E591" s="4"/>
    </row>
    <row r="592" spans="3:5">
      <c r="C592" s="4"/>
      <c r="D592" s="4"/>
      <c r="E592" s="4"/>
    </row>
    <row r="593" spans="3:5">
      <c r="C593" s="4"/>
      <c r="D593" s="4"/>
      <c r="E593" s="4"/>
    </row>
    <row r="594" spans="3:5">
      <c r="C594" s="4"/>
      <c r="D594" s="4"/>
      <c r="E594" s="4"/>
    </row>
    <row r="595" spans="3:5">
      <c r="C595" s="4"/>
      <c r="D595" s="4"/>
      <c r="E595" s="4"/>
    </row>
    <row r="596" spans="3:5">
      <c r="C596" s="4"/>
      <c r="D596" s="4"/>
      <c r="E596" s="4"/>
    </row>
    <row r="597" spans="3:5">
      <c r="C597" s="4"/>
      <c r="D597" s="4"/>
      <c r="E597" s="4"/>
    </row>
    <row r="598" spans="3:5">
      <c r="C598" s="4"/>
      <c r="D598" s="4"/>
      <c r="E598" s="4"/>
    </row>
    <row r="599" spans="3:5">
      <c r="C599" s="4"/>
      <c r="D599" s="4"/>
      <c r="E599" s="4"/>
    </row>
    <row r="600" spans="3:5">
      <c r="C600" s="4"/>
      <c r="D600" s="4"/>
      <c r="E600" s="4"/>
    </row>
    <row r="601" spans="3:5">
      <c r="C601" s="4"/>
      <c r="D601" s="4"/>
      <c r="E601" s="4"/>
    </row>
    <row r="602" spans="3:5">
      <c r="C602" s="4"/>
      <c r="D602" s="4"/>
      <c r="E602" s="4"/>
    </row>
    <row r="603" spans="3:5">
      <c r="C603" s="4"/>
      <c r="D603" s="4"/>
      <c r="E603" s="4"/>
    </row>
    <row r="604" spans="3:5">
      <c r="C604" s="4"/>
      <c r="D604" s="4"/>
      <c r="E604" s="4"/>
    </row>
    <row r="605" spans="3:5">
      <c r="C605" s="4"/>
      <c r="D605" s="4"/>
      <c r="E605" s="4"/>
    </row>
    <row r="606" spans="3:5">
      <c r="C606" s="4"/>
      <c r="D606" s="4"/>
      <c r="E606" s="4"/>
    </row>
    <row r="607" spans="3:5">
      <c r="C607" s="4"/>
      <c r="D607" s="4"/>
      <c r="E607" s="4"/>
    </row>
    <row r="608" spans="3:5">
      <c r="C608" s="4"/>
      <c r="D608" s="4"/>
      <c r="E608" s="4"/>
    </row>
    <row r="609" spans="3:5">
      <c r="C609" s="4"/>
      <c r="D609" s="4"/>
      <c r="E609" s="4"/>
    </row>
    <row r="610" spans="3:5">
      <c r="C610" s="4"/>
      <c r="D610" s="4"/>
      <c r="E610" s="4"/>
    </row>
    <row r="611" spans="3:5">
      <c r="C611" s="4"/>
      <c r="D611" s="4"/>
      <c r="E611" s="4"/>
    </row>
    <row r="612" spans="3:5">
      <c r="C612" s="4"/>
      <c r="D612" s="4"/>
      <c r="E612" s="4"/>
    </row>
    <row r="613" spans="3:5">
      <c r="C613" s="4"/>
      <c r="D613" s="4"/>
      <c r="E613" s="4"/>
    </row>
    <row r="614" spans="3:5">
      <c r="C614" s="4"/>
      <c r="D614" s="4"/>
      <c r="E614" s="4"/>
    </row>
    <row r="615" spans="3:5">
      <c r="C615" s="4"/>
      <c r="D615" s="4"/>
      <c r="E615" s="4"/>
    </row>
    <row r="616" spans="3:5">
      <c r="C616" s="4"/>
      <c r="D616" s="4"/>
      <c r="E616" s="4"/>
    </row>
    <row r="617" spans="3:5">
      <c r="C617" s="4"/>
      <c r="D617" s="4"/>
      <c r="E617" s="4"/>
    </row>
    <row r="618" spans="3:5">
      <c r="C618" s="4"/>
      <c r="D618" s="4"/>
      <c r="E618" s="4"/>
    </row>
    <row r="619" spans="3:5">
      <c r="C619" s="4"/>
      <c r="D619" s="4"/>
      <c r="E619" s="4"/>
    </row>
    <row r="620" spans="3:5">
      <c r="C620" s="4"/>
      <c r="D620" s="4"/>
      <c r="E620" s="4"/>
    </row>
    <row r="621" spans="3:5">
      <c r="C621" s="4"/>
      <c r="D621" s="4"/>
      <c r="E621" s="4"/>
    </row>
    <row r="622" spans="3:5">
      <c r="C622" s="4"/>
      <c r="D622" s="4"/>
      <c r="E622" s="4"/>
    </row>
    <row r="623" spans="3:5">
      <c r="C623" s="4"/>
      <c r="D623" s="4"/>
      <c r="E623" s="4"/>
    </row>
    <row r="624" spans="3:5">
      <c r="C624" s="4"/>
      <c r="D624" s="4"/>
      <c r="E624" s="4"/>
    </row>
    <row r="625" spans="3:5">
      <c r="C625" s="4"/>
      <c r="D625" s="4"/>
      <c r="E625" s="4"/>
    </row>
    <row r="626" spans="3:5">
      <c r="C626" s="4"/>
      <c r="D626" s="4"/>
      <c r="E626" s="4"/>
    </row>
    <row r="627" spans="3:5">
      <c r="C627" s="4"/>
      <c r="D627" s="4"/>
      <c r="E627" s="4"/>
    </row>
    <row r="628" spans="3:5">
      <c r="C628" s="4"/>
      <c r="D628" s="4"/>
      <c r="E628" s="4"/>
    </row>
    <row r="629" spans="3:5">
      <c r="C629" s="4"/>
      <c r="D629" s="4"/>
      <c r="E629" s="4"/>
    </row>
    <row r="630" spans="3:5">
      <c r="C630" s="4"/>
      <c r="D630" s="4"/>
      <c r="E630" s="4"/>
    </row>
    <row r="631" spans="3:5">
      <c r="C631" s="4"/>
      <c r="D631" s="4"/>
      <c r="E631" s="4"/>
    </row>
    <row r="632" spans="3:5">
      <c r="C632" s="4"/>
      <c r="D632" s="4"/>
      <c r="E632" s="4"/>
    </row>
    <row r="633" spans="3:5">
      <c r="C633" s="4"/>
      <c r="D633" s="4"/>
      <c r="E633" s="4"/>
    </row>
    <row r="634" spans="3:5">
      <c r="C634" s="4"/>
      <c r="D634" s="4"/>
      <c r="E634" s="4"/>
    </row>
    <row r="635" spans="3:5">
      <c r="C635" s="4"/>
      <c r="D635" s="4"/>
      <c r="E635" s="4"/>
    </row>
    <row r="636" spans="3:5">
      <c r="C636" s="4"/>
      <c r="D636" s="4"/>
      <c r="E636" s="4"/>
    </row>
    <row r="637" spans="3:5">
      <c r="C637" s="4"/>
      <c r="D637" s="4"/>
      <c r="E637" s="4"/>
    </row>
    <row r="638" spans="3:5">
      <c r="C638" s="4"/>
      <c r="D638" s="4"/>
      <c r="E638" s="4"/>
    </row>
    <row r="639" spans="3:5">
      <c r="C639" s="4"/>
      <c r="D639" s="4"/>
      <c r="E639" s="4"/>
    </row>
    <row r="640" spans="3:5">
      <c r="C640" s="4"/>
      <c r="D640" s="4"/>
      <c r="E640" s="4"/>
    </row>
    <row r="641" spans="3:5">
      <c r="C641" s="4"/>
      <c r="D641" s="4"/>
      <c r="E641" s="4"/>
    </row>
    <row r="642" spans="3:5">
      <c r="C642" s="4"/>
      <c r="D642" s="4"/>
      <c r="E642" s="4"/>
    </row>
    <row r="643" spans="3:5">
      <c r="C643" s="4"/>
      <c r="D643" s="4"/>
      <c r="E643" s="4"/>
    </row>
    <row r="644" spans="3:5">
      <c r="C644" s="4"/>
      <c r="D644" s="4"/>
      <c r="E644" s="4"/>
    </row>
    <row r="645" spans="3:5">
      <c r="C645" s="4"/>
      <c r="D645" s="4"/>
      <c r="E645" s="4"/>
    </row>
    <row r="646" spans="3:5">
      <c r="C646" s="4"/>
      <c r="D646" s="4"/>
      <c r="E646" s="4"/>
    </row>
    <row r="647" spans="3:5">
      <c r="C647" s="4"/>
      <c r="D647" s="4"/>
      <c r="E647" s="4"/>
    </row>
    <row r="648" spans="3:5">
      <c r="C648" s="4"/>
      <c r="D648" s="4"/>
      <c r="E648" s="4"/>
    </row>
    <row r="649" spans="3:5">
      <c r="C649" s="4"/>
      <c r="D649" s="4"/>
      <c r="E649" s="4"/>
    </row>
    <row r="650" spans="3:5">
      <c r="C650" s="4"/>
      <c r="D650" s="4"/>
      <c r="E650" s="4"/>
    </row>
    <row r="651" spans="3:5">
      <c r="C651" s="4"/>
      <c r="D651" s="4"/>
      <c r="E651" s="4"/>
    </row>
    <row r="652" spans="3:5">
      <c r="C652" s="4"/>
      <c r="D652" s="4"/>
      <c r="E652" s="4"/>
    </row>
    <row r="653" spans="3:5">
      <c r="C653" s="4"/>
      <c r="D653" s="4"/>
      <c r="E653" s="4"/>
    </row>
    <row r="654" spans="3:5">
      <c r="C654" s="4"/>
      <c r="D654" s="4"/>
      <c r="E654" s="4"/>
    </row>
    <row r="655" spans="3:5">
      <c r="C655" s="4"/>
      <c r="D655" s="4"/>
      <c r="E655" s="4"/>
    </row>
    <row r="656" spans="3:5">
      <c r="C656" s="4"/>
      <c r="D656" s="4"/>
      <c r="E656" s="4"/>
    </row>
    <row r="657" spans="3:5">
      <c r="C657" s="4"/>
      <c r="D657" s="4"/>
      <c r="E657" s="4"/>
    </row>
    <row r="658" spans="3:5">
      <c r="C658" s="4"/>
      <c r="D658" s="4"/>
      <c r="E658" s="4"/>
    </row>
    <row r="659" spans="3:5">
      <c r="C659" s="4"/>
      <c r="D659" s="4"/>
      <c r="E659" s="4"/>
    </row>
    <row r="660" spans="3:5">
      <c r="C660" s="4"/>
      <c r="D660" s="4"/>
      <c r="E660" s="4"/>
    </row>
    <row r="661" spans="3:5">
      <c r="C661" s="4"/>
      <c r="D661" s="4"/>
      <c r="E661" s="4"/>
    </row>
    <row r="662" spans="3:5">
      <c r="C662" s="4"/>
      <c r="D662" s="4"/>
      <c r="E662" s="4"/>
    </row>
    <row r="663" spans="3:5">
      <c r="C663" s="4"/>
      <c r="D663" s="4"/>
      <c r="E663" s="4"/>
    </row>
    <row r="664" spans="3:5">
      <c r="C664" s="4"/>
      <c r="D664" s="4"/>
      <c r="E664" s="4"/>
    </row>
    <row r="665" spans="3:5">
      <c r="C665" s="4"/>
      <c r="D665" s="4"/>
      <c r="E665" s="4"/>
    </row>
    <row r="666" spans="3:5">
      <c r="C666" s="4"/>
      <c r="D666" s="4"/>
      <c r="E666" s="4"/>
    </row>
    <row r="667" spans="3:5">
      <c r="C667" s="4"/>
      <c r="D667" s="4"/>
      <c r="E667" s="4"/>
    </row>
    <row r="668" spans="3:5">
      <c r="C668" s="4"/>
      <c r="D668" s="4"/>
      <c r="E668" s="4"/>
    </row>
    <row r="669" spans="3:5">
      <c r="C669" s="4"/>
      <c r="D669" s="4"/>
      <c r="E669" s="4"/>
    </row>
    <row r="670" spans="3:5">
      <c r="C670" s="4"/>
      <c r="D670" s="4"/>
      <c r="E670" s="4"/>
    </row>
    <row r="671" spans="3:5">
      <c r="C671" s="4"/>
      <c r="D671" s="4"/>
      <c r="E671" s="4"/>
    </row>
    <row r="672" spans="3:5">
      <c r="C672" s="4"/>
      <c r="D672" s="4"/>
      <c r="E672" s="4"/>
    </row>
    <row r="673" spans="3:5">
      <c r="C673" s="4"/>
      <c r="D673" s="4"/>
      <c r="E673" s="4"/>
    </row>
    <row r="674" spans="3:5">
      <c r="C674" s="4"/>
      <c r="D674" s="4"/>
      <c r="E674" s="4"/>
    </row>
    <row r="675" spans="3:5">
      <c r="C675" s="4"/>
      <c r="D675" s="4"/>
      <c r="E675" s="4"/>
    </row>
    <row r="676" spans="3:5">
      <c r="C676" s="4"/>
      <c r="D676" s="4"/>
      <c r="E676" s="4"/>
    </row>
    <row r="677" spans="3:5">
      <c r="C677" s="4"/>
      <c r="D677" s="4"/>
      <c r="E677" s="4"/>
    </row>
    <row r="678" spans="3:5">
      <c r="C678" s="4"/>
      <c r="D678" s="4"/>
      <c r="E678" s="4"/>
    </row>
    <row r="679" spans="3:5">
      <c r="C679" s="4"/>
      <c r="D679" s="4"/>
      <c r="E679" s="4"/>
    </row>
    <row r="680" spans="3:5">
      <c r="C680" s="4"/>
      <c r="D680" s="4"/>
      <c r="E680" s="4"/>
    </row>
    <row r="681" spans="3:5">
      <c r="C681" s="4"/>
      <c r="D681" s="4"/>
      <c r="E681" s="4"/>
    </row>
    <row r="682" spans="3:5">
      <c r="C682" s="4"/>
      <c r="D682" s="4"/>
      <c r="E682" s="4"/>
    </row>
    <row r="683" spans="3:5">
      <c r="C683" s="4"/>
      <c r="D683" s="4"/>
      <c r="E683" s="4"/>
    </row>
    <row r="684" spans="3:5">
      <c r="C684" s="4"/>
      <c r="D684" s="4"/>
      <c r="E684" s="4"/>
    </row>
    <row r="685" spans="3:5">
      <c r="C685" s="4"/>
      <c r="D685" s="4"/>
      <c r="E685" s="4"/>
    </row>
    <row r="686" spans="3:5">
      <c r="C686" s="4"/>
      <c r="D686" s="4"/>
      <c r="E686" s="4"/>
    </row>
    <row r="687" spans="3:5">
      <c r="C687" s="4"/>
      <c r="D687" s="4"/>
      <c r="E687" s="4"/>
    </row>
    <row r="688" spans="3:5">
      <c r="C688" s="4"/>
      <c r="D688" s="4"/>
      <c r="E688" s="4"/>
    </row>
    <row r="689" spans="3:5">
      <c r="C689" s="4"/>
      <c r="D689" s="4"/>
      <c r="E689" s="4"/>
    </row>
    <row r="690" spans="3:5">
      <c r="C690" s="4"/>
      <c r="D690" s="4"/>
      <c r="E690" s="4"/>
    </row>
    <row r="691" spans="3:5">
      <c r="C691" s="4"/>
      <c r="D691" s="4"/>
      <c r="E691" s="4"/>
    </row>
    <row r="692" spans="3:5">
      <c r="C692" s="4"/>
      <c r="D692" s="4"/>
      <c r="E692" s="4"/>
    </row>
    <row r="693" spans="3:5">
      <c r="C693" s="4"/>
      <c r="D693" s="4"/>
      <c r="E693" s="4"/>
    </row>
    <row r="694" spans="3:5">
      <c r="C694" s="4"/>
      <c r="D694" s="4"/>
      <c r="E694" s="4"/>
    </row>
    <row r="695" spans="3:5">
      <c r="C695" s="4"/>
      <c r="D695" s="4"/>
      <c r="E695" s="4"/>
    </row>
    <row r="696" spans="3:5">
      <c r="C696" s="4"/>
      <c r="D696" s="4"/>
      <c r="E696" s="4"/>
    </row>
    <row r="697" spans="3:5">
      <c r="C697" s="4"/>
      <c r="D697" s="4"/>
      <c r="E697" s="4"/>
    </row>
    <row r="698" spans="3:5">
      <c r="C698" s="4"/>
      <c r="D698" s="4"/>
      <c r="E698" s="4"/>
    </row>
    <row r="699" spans="3:5">
      <c r="C699" s="4"/>
      <c r="D699" s="4"/>
      <c r="E699" s="4"/>
    </row>
    <row r="700" spans="3:5">
      <c r="C700" s="4"/>
      <c r="D700" s="4"/>
      <c r="E700" s="4"/>
    </row>
    <row r="701" spans="3:5">
      <c r="E701" s="4"/>
    </row>
    <row r="702" spans="3:5">
      <c r="E702" s="4"/>
    </row>
    <row r="703" spans="3:5">
      <c r="E703" s="4"/>
    </row>
    <row r="704" spans="3:5">
      <c r="E704" s="4"/>
    </row>
    <row r="705" spans="5:5">
      <c r="E705" s="4"/>
    </row>
    <row r="706" spans="5:5">
      <c r="E706" s="4"/>
    </row>
    <row r="707" spans="5:5">
      <c r="E707" s="4"/>
    </row>
  </sheetData>
  <mergeCells count="1">
    <mergeCell ref="K4:K5"/>
  </mergeCells>
  <phoneticPr fontId="9" type="noConversion"/>
  <pageMargins left="0.75" right="0.75" top="1" bottom="1" header="0.5" footer="0.5"/>
  <pageSetup orientation="portrait" horizontalDpi="4294967292" verticalDpi="4294967292"/>
  <ignoredErrors>
    <ignoredError sqref="J32" emptyCellReferenc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imulate_path">
                <anchor moveWithCells="1" sizeWithCells="1">
                  <from>
                    <xdr:col>11</xdr:col>
                    <xdr:colOff>38100</xdr:colOff>
                    <xdr:row>3</xdr:row>
                    <xdr:rowOff>0</xdr:rowOff>
                  </from>
                  <to>
                    <xdr:col>13</xdr:col>
                    <xdr:colOff>101600</xdr:colOff>
                    <xdr:row>4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0" defaultRowHeight="15" x14ac:dyDescent="0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Trade1</vt:lpstr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Evelyne Strechinsky</dc:creator>
  <cp:lastModifiedBy>Evelyne Strechinsky</cp:lastModifiedBy>
  <cp:lastPrinted>2019-01-26T16:09:50Z</cp:lastPrinted>
  <dcterms:created xsi:type="dcterms:W3CDTF">2019-01-25T14:46:06Z</dcterms:created>
  <dcterms:modified xsi:type="dcterms:W3CDTF">2019-01-26T16:11:03Z</dcterms:modified>
</cp:coreProperties>
</file>